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home\astralinux.ru\ashustov\Документы\Проекты\Мегафон\Облако\"/>
    </mc:Choice>
  </mc:AlternateContent>
  <bookViews>
    <workbookView xWindow="799" yWindow="2029" windowWidth="20788" windowHeight="10826" tabRatio="500"/>
  </bookViews>
  <sheets>
    <sheet name="2.1 Объем проекта и работ" sheetId="1" r:id="rId1"/>
    <sheet name="2.2 Функ. требования" sheetId="2" r:id="rId2"/>
    <sheet name="2.3 Сайзинг" sheetId="3" r:id="rId3"/>
    <sheet name="2.4 Требования к работам (ПНР)" sheetId="4" r:id="rId4"/>
    <sheet name="2.5 Требования к интеграциям" sheetId="5" r:id="rId5"/>
    <sheet name="2.6 Требования к ТП" sheetId="6" r:id="rId6"/>
    <sheet name="2.7 Требования к Поставщику" sheetId="7" r:id="rId7"/>
    <sheet name="2.8 СПРАВОЧНО_Конфигурации HW" sheetId="8" r:id="rId8"/>
    <sheet name="2.9 Соответствие ГОСТ Р 56938" sheetId="9" r:id="rId9"/>
  </sheets>
  <definedNames>
    <definedName name="Excel_BuiltIn_Print_Area_1" localSheetId="0">#REF!</definedName>
    <definedName name="Excel_BuiltIn_Print_Area_1" localSheetId="3">#REF!</definedName>
    <definedName name="Excel_BuiltIn_Print_Area_1">#REF!</definedName>
    <definedName name="OSS_SCC" localSheetId="0">#REF!</definedName>
    <definedName name="OSS_SCC" localSheetId="3">#REF!</definedName>
    <definedName name="OSS_SCC">#REF!</definedName>
    <definedName name="Кол_во_ядер_на_1_CPU">#REF!</definedName>
    <definedName name="Мониторинг">OFFSET(#REF!,0,0,COUNTA(#REF!),1)</definedName>
    <definedName name="Назначение">#REF!</definedName>
    <definedName name="Операционная_система">#REF!</definedName>
    <definedName name="Площадка">#REF!</definedName>
    <definedName name="покрытие">#REF!</definedName>
    <definedName name="Резервное_копирование">OFFSET(#REF!,0,0,COUNTA(#REF!),1)</definedName>
    <definedName name="СУБД">#REF!</definedName>
    <definedName name="Тип_дисков">#REF!</definedName>
    <definedName name="Тип_сервера">#REF!</definedName>
    <definedName name="Филиал">#REF!</definedName>
    <definedName name="Цу">#REF!</definedName>
  </definedNames>
  <calcPr calcId="162913"/>
</workbook>
</file>

<file path=xl/calcChain.xml><?xml version="1.0" encoding="utf-8"?>
<calcChain xmlns="http://schemas.openxmlformats.org/spreadsheetml/2006/main">
  <c r="I28" i="3" l="1"/>
  <c r="I27" i="3"/>
  <c r="I25" i="3"/>
  <c r="I24" i="3"/>
  <c r="N77" i="1"/>
  <c r="N76" i="1"/>
  <c r="N75" i="1"/>
  <c r="B75" i="1"/>
  <c r="B76" i="1" s="1"/>
  <c r="B77" i="1" s="1"/>
  <c r="N74" i="1"/>
  <c r="N73" i="1"/>
  <c r="N72" i="1"/>
  <c r="N71" i="1"/>
  <c r="N70" i="1"/>
  <c r="N69" i="1"/>
  <c r="B69" i="1"/>
  <c r="B70" i="1" s="1"/>
  <c r="B71" i="1" s="1"/>
  <c r="B72" i="1" s="1"/>
  <c r="B73" i="1" s="1"/>
  <c r="N68" i="1"/>
  <c r="B68" i="1"/>
  <c r="N67" i="1"/>
  <c r="N66" i="1"/>
  <c r="N65" i="1"/>
  <c r="N64" i="1"/>
  <c r="N63" i="1"/>
  <c r="L43" i="1"/>
  <c r="L42" i="1"/>
</calcChain>
</file>

<file path=xl/sharedStrings.xml><?xml version="1.0" encoding="utf-8"?>
<sst xmlns="http://schemas.openxmlformats.org/spreadsheetml/2006/main" count="2139" uniqueCount="1351">
  <si>
    <t>Приложение № 2.1</t>
  </si>
  <si>
    <t>Лот 2 Облачная платформа виртуализации для Telco-сегмента</t>
  </si>
  <si>
    <t>Наименование закупочной процедуры:</t>
  </si>
  <si>
    <t>Облачная платформа виртуализации «МегаФон»</t>
  </si>
  <si>
    <t>Лот2: Облачная платформа виртуализации для Telco-сегмента</t>
  </si>
  <si>
    <t>Предмет закупки:</t>
  </si>
  <si>
    <t>Внедрение, последующее развитие и техническая поддержка облачной платформы виртуализации для Телко-сегмента.</t>
  </si>
  <si>
    <t>Назначение закупки:</t>
  </si>
  <si>
    <t>В составе Платформы (Платформа или комплекс Платформ) должен входить следующий основной функционал:</t>
  </si>
  <si>
    <t>•	Платформа виртуализации серверных ресурсов.</t>
  </si>
  <si>
    <t>•	Программно-определяемое хранилище (SDS) на базе гиперконвергентного решения.</t>
  </si>
  <si>
    <t>•	Программно-определяемая сеть (SDN).</t>
  </si>
  <si>
    <t>•	Реализация облачного функционала (портал самообслуживания).</t>
  </si>
  <si>
    <t>Объем проекта и работ:</t>
  </si>
  <si>
    <t>1. Работы по развертыванию тестовой зоны (Таблица 1) на оборудовании Заказчика – без оплаты.</t>
  </si>
  <si>
    <t>Проведение тестирования для определения соответствия функционала требованиям ТЗ.</t>
  </si>
  <si>
    <t xml:space="preserve">Также в рамках тестирования производится миграция нескольких ВМ с текущей платформы виртуализации Заказчика для подтверждения функционала миграции. </t>
  </si>
  <si>
    <t>Оформляется протоколом тестирования. В случае необходимости Исполнителем предлагается план устранения выявленных замечаний.</t>
  </si>
  <si>
    <t>2. Разработка HLD/LLD дизайна Платформы</t>
  </si>
  <si>
    <t>3. Работы по первоначальному развертыванию (ПНР в объеме Год 1) облачной платформы Telco (Лот 2) на аппаратном обеспечении Заказчика (Таблица 2)</t>
  </si>
  <si>
    <t>4. Работы по интеграции с существующими системами Заказчика</t>
  </si>
  <si>
    <t>5. Разработка методики и проведение ПСИ</t>
  </si>
  <si>
    <t>6. Консультирование (обучение) персонала Заказчика (Таблица 3)</t>
  </si>
  <si>
    <t>7. Гарантийная техническая поддержка в течение 2 лет</t>
  </si>
  <si>
    <t>8. Последующая постгарантийная техническая поддержка в течение 5 лет</t>
  </si>
  <si>
    <t>9. Работы по дальнейшему масштабированию Платформы по отдельным запросам Заказчика</t>
  </si>
  <si>
    <t>Таблица 1. Конфигурация тестовой зоны</t>
  </si>
  <si>
    <t>Лот 2</t>
  </si>
  <si>
    <t>Telco</t>
  </si>
  <si>
    <t xml:space="preserve">Site # </t>
  </si>
  <si>
    <t>nodes #</t>
  </si>
  <si>
    <t>Таблица 2. Планируемые емкости Telco</t>
  </si>
  <si>
    <t>Емкостные характеристики проекта, указанные ниже, приведены справочно и являются экспертной оценкой на основании Стратегии Компании и ближайших планов. Они будут корректироваться по мере реализации стратегии.</t>
  </si>
  <si>
    <t>Год 1 (ПНР)</t>
  </si>
  <si>
    <t>Год 2</t>
  </si>
  <si>
    <t>Год 3</t>
  </si>
  <si>
    <t>Год 4</t>
  </si>
  <si>
    <t>Год 5</t>
  </si>
  <si>
    <t>Год 6</t>
  </si>
  <si>
    <t>Год 7</t>
  </si>
  <si>
    <t>Total</t>
  </si>
  <si>
    <r>
      <rPr>
        <sz val="11"/>
        <color theme="1"/>
        <rFont val="Arial Narrow"/>
        <family val="2"/>
        <charset val="204"/>
      </rPr>
      <t xml:space="preserve">Значения в таблице - прогноз </t>
    </r>
    <r>
      <rPr>
        <b/>
        <sz val="11"/>
        <color theme="1"/>
        <rFont val="Arial Narrow"/>
        <family val="2"/>
        <charset val="204"/>
      </rPr>
      <t xml:space="preserve">новых </t>
    </r>
    <r>
      <rPr>
        <sz val="11"/>
        <color theme="1"/>
        <rFont val="Arial Narrow"/>
        <family val="2"/>
        <charset val="204"/>
      </rPr>
      <t>продуктивных инсталляций на конец периода</t>
    </r>
  </si>
  <si>
    <t>Таблица 3.</t>
  </si>
  <si>
    <t>Консультирование Заказчика в рамках ПНР одной площадки развертывания (должно включать курсы для всех компонентов предлагаемого решения базового и экспертного уровня, в актуальной версии продукта)</t>
  </si>
  <si>
    <t>Администраторы облачного решения</t>
  </si>
  <si>
    <t>Администраторы VNF</t>
  </si>
  <si>
    <t>Установка, настройка и эксплуатация платформы виртуализации</t>
  </si>
  <si>
    <t>-</t>
  </si>
  <si>
    <t>Установка, настройка и эксплуатация SDS</t>
  </si>
  <si>
    <t>Установка, настройка и эксплуатация SDN</t>
  </si>
  <si>
    <t>Установка, настройка и эксплуатация облачного функционала</t>
  </si>
  <si>
    <t>Продвинутый курс по trobleshooting, performance всех компонентов Платформы</t>
  </si>
  <si>
    <t>Основы Telco-части инсталляции (NFVI), требуемые для эксплуатации VNF</t>
  </si>
  <si>
    <t>Таблица 4</t>
  </si>
  <si>
    <t>Работы по запросам (прогноз)</t>
  </si>
  <si>
    <t>№</t>
  </si>
  <si>
    <t>Наименование</t>
  </si>
  <si>
    <t>Год 1</t>
  </si>
  <si>
    <t>Развертывание Платформы на одной новой площадке (ПНР) в объеме контура управления и 5 гипервизоров, объединненых под управлением одного экземпляра управляющего ПО.</t>
  </si>
  <si>
    <t>1.1</t>
  </si>
  <si>
    <t>Разработка HLD/LLD дизайна для одного экземпляра Платформы</t>
  </si>
  <si>
    <t>1.2</t>
  </si>
  <si>
    <t>Установка и конфигурирование одного экземпляра Платформы, включая обеспечение ее корректного взаимодействия и интеграции с системами Заказчика</t>
  </si>
  <si>
    <t>1.3</t>
  </si>
  <si>
    <t>Проведение приемо-сдаточных испытаний одного экземпляра Платформы, предоставление отчетности.</t>
  </si>
  <si>
    <t>1.4</t>
  </si>
  <si>
    <t xml:space="preserve">Консультирование персонала Заказчика для одной новой площадки Платформы в соответствии с Таблицей 3. </t>
  </si>
  <si>
    <t>Проведение планово-профилактических работ, связанных с обновлением, конфигурированием, изменением версионности компонентов Платформы, в часы наименьшей нагрузки с использованием удаленного доступа в объеме 100 гипервизоров.</t>
  </si>
  <si>
    <t>Запуск удаленного (edge) вычислительного "кластера" Платформы в минимальном объеме (по умолчанию - 3) гипервизоров без контура управления, объединненых под управлением одного экземпляра управляющего ПО для развертывания на площадке с минимальной потребностью в виртуальных ресурсах.</t>
  </si>
  <si>
    <t>Запуск одного нового "кластера" Платформы в объеме 5 гипервизоров при уже развернутом контуре управления, включая, но не ограничиваясь, установку и настройку гипервизоров, добавление их на платформу, создание и настройку кластера, запуск кластера в пром. эксплуатацию.</t>
  </si>
  <si>
    <t>Расширение одного существующего "кластера" Платформы на 5 гипервизоров при уже развернутом контуре управления, включая, но не ограничиваясь, установку и настройку гипервизоров, добавление их на платформу, добавление в существующий кластер без влияния на работающие в нем ВМ.</t>
  </si>
  <si>
    <t>Разработка 1 нового метода API для интеграции с внешними системами инвентаризации, управления платформой или другими системами автоматизации в зависимости от потребности. Подготовка документации.</t>
  </si>
  <si>
    <t>Доработка 1 существующего метода API для интеграции с внешними системами инвентаризации, управления платформой или другими системами автоматизации в зависимости от потребности. Актуализация документации</t>
  </si>
  <si>
    <t>Проведение разового аудита одного "кластера" Платформы, объединненой под управлением одного экземпляра управляющего ПО,  для выявления рекомендаций по обновлению ПО и замечаний для последующего устранения (healthcheck).</t>
  </si>
  <si>
    <t>Миграция 1 ВМ с legacy платформы виртуализации в согласованные часы наименьшей нагрузки с использованием удаленного доступа, в том числе с выполнением необходимой переконфигурации и минимальным простоем.</t>
  </si>
  <si>
    <t>Обеспечение полного цикла запуска одной виртуализированной функции (VNF), состоящей из 1-3 виртуальных машин, в развернутой облачной платформе средствами элементов управления системы (от планирования до запуска в промышленную эксплуатацию): создание проекта и организация доступа к нему, выделение квот ресурсов, настройка виртуальных сетевых интерфейсов, загрузка образов и запуск VNF, проверка работоспособности.</t>
  </si>
  <si>
    <t>Обеспечение полного цикла запуска одной виртуализированной функции (VNF), состоящей из 4-8 виртуальных машин, в развернутой облачной платформе средствами элементов управления системы (от планирования до запуска в промышленную эксплуатацию): создание проекта и организация доступа к нему, выделение квот ресурсов, настройка виртуальных сетевых интерфейсов, загрузка образов и запуск VNF, проверка работоспособности.</t>
  </si>
  <si>
    <t>Обеспечение полного цикла запуска одной виртуализированной функции (VNF), состоящей из 9 и более виртуальных машин, в развернутой облачной платформе средствами элементов управления системы (от планирования до запуска в промышленную эксплуатацию): создание проекта и организация доступа к нему, выделение квот ресурсов, настройка виртуальных сетевых интерфейсов, загрузка образов и запуск VNF, проверка работоспособности.</t>
  </si>
  <si>
    <t>Приложение № 2.2</t>
  </si>
  <si>
    <t>Вендор</t>
  </si>
  <si>
    <t>?</t>
  </si>
  <si>
    <t>Наименование продукта</t>
  </si>
  <si>
    <t>Интегратор</t>
  </si>
  <si>
    <t>Контактное лицо интегратора для вопросов  по тех.требованиям (ФИО, e-mail, телефон)</t>
  </si>
  <si>
    <t>Общие требования</t>
  </si>
  <si>
    <t>№ п.п.</t>
  </si>
  <si>
    <t>Название</t>
  </si>
  <si>
    <t>Ответ
Участника
(Да/Нет/Частично)</t>
  </si>
  <si>
    <t>Комментарии Участника</t>
  </si>
  <si>
    <t>Ссылка на техническую документацию подтверждающую соответствие техническому требованию (участник указывает: название документа, наименование раздела/главы, номер страницы) и доступ к технической документации.</t>
  </si>
  <si>
    <t>Страной происхождения поставляемой Платформы является Российская федерация</t>
  </si>
  <si>
    <t>Да</t>
  </si>
  <si>
    <t>Производителем поставляемой Платформы является организация, зарегистрированная в Российской Федерации</t>
  </si>
  <si>
    <t xml:space="preserve">Поставляемая Платформа соответствует требованиям Указа Президента Российской Федерации от 01.05.2022 № 250 "О дополнительных мерах по обеспечению информационной безопасности Российской Федерации" </t>
  </si>
  <si>
    <t>Предлагаемые решения содержатся в реестрах Российского ПО</t>
  </si>
  <si>
    <t>Соответствие предлагаемого решения ГОСТу Р 56938 - 2016, указанного в Приложении 2.9 " СПРАВОЧНО_ГОСТ Р 56938"</t>
  </si>
  <si>
    <t>Функциональные требования</t>
  </si>
  <si>
    <t>Общие функ. требования</t>
  </si>
  <si>
    <t>Предлагаемое решение имеет коммерческие внедрения с развернутыми в коммерческой эксплуатации минимум 2 телеком инсталляции с Core элементами сети (например vEPC, vIMS, vPCEF, vPCRF), на каждом из которых запущены коммерческие VNF минимум двух различных поставщиков в облачном окружении / облачной инфраструктуре (compute, network, storage).
Должны быть также виртуализированы сетевые ресурсы (overlay SDN) и ресурсы хранения (SDS).
Указать подтверждающие референсы (всю доступную информацию об установке) в т.ч. Интернет-публикации о коммерческих внедрениях.</t>
  </si>
  <si>
    <t>Частично</t>
  </si>
  <si>
    <t>В текущей реализации поддерживаются SDN на основе OpenNebula: Linux bridge, 802.1Q, VxLAN, OpenvSwitch, но полное управление сетями по модели SDN в разработке.</t>
  </si>
  <si>
    <t>Наличие открытой документации, необходимой для обеспечения совместимости с серверным аппаратным обеспечением.</t>
  </si>
  <si>
    <t>ПО работает на базе ОС СН ALSE. Имеется программа технологического партнерства, целью которой является подтверждение работоспособности.
+ Коллаборация с партнерами аппаратных комплексов и решений</t>
  </si>
  <si>
    <t>https://astra.ru/ready-for-astra/compatible-hardware/</t>
  </si>
  <si>
    <t>Предлагаемое решение имеет иерархическую архитектуру для централизованного управления не менее 10 инсталляциями геораспределенных экземпляров VIM, включая полноценную работу с несколькими VIM из единого интерфейса (запуск нового VIM, управление существующими, централизованная автоматизация, аналитика, мониторинг, управление аккаунтами и RBAC).</t>
  </si>
  <si>
    <t>Возможность функциональной, гибкой и производительной платформы по управлению различными облачными средами (CMP - Cloud Management Platform), с функционалом учета потребляемых ресурсов</t>
  </si>
  <si>
    <t>BILLmanager стыкуется с различными платформами виртуализации</t>
  </si>
  <si>
    <t>1.5</t>
  </si>
  <si>
    <t>Наличие централизованных дашбордов для получения и отображения состояния инфраструктуры геораспределенных VIM в реальном времени (включая проблемы, рекомендации по их устранению и оптимизации производительности) с возможностью кастомизации внешнего вида.</t>
  </si>
  <si>
    <t>Astra Monitoring закрывает данную проблематику</t>
  </si>
  <si>
    <t>1.6</t>
  </si>
  <si>
    <t>Модель лицензирования предусматривает динамическое распределение лицензий таким образом, что учитывается актуальное распределение облачных логических ресурсов, вне зависимости от конкретных используемых физических ресурсов, т.е. отсутствует привязка лицензий к конкретным экземплярам физической инфраструктуры (например, к серверам по s/n или к сетевым картам по mac-адресам).</t>
  </si>
  <si>
    <t>1.7</t>
  </si>
  <si>
    <t>Совместимость с конфигурациями HW, указанными в Приложении 2.8 "СПРАВОЧНО_Конфигурации HW"</t>
  </si>
  <si>
    <t>Да/Нет</t>
  </si>
  <si>
    <t>По информации от отдела RFA получена информация об отсутствии испытаний. Требуется проверка путем установки ОС на HW.</t>
  </si>
  <si>
    <t>1.8</t>
  </si>
  <si>
    <t>Обеспечение возможности горизонтального масштабирования облачного кластера путем увеличения количества узлов с ролью вычисления, хранения данных (в т.ч. путем добавления дисковой емкости) без прерывания работы ВМ</t>
  </si>
  <si>
    <t>1.9</t>
  </si>
  <si>
    <t>Возможность использования гиперконвергентной конфигурации узлов (узел совмещает роли вычисления и хранения данных)</t>
  </si>
  <si>
    <t>1.10</t>
  </si>
  <si>
    <t>Возможность использования традиционных СХД вместо SDS, возможность интеграции с NAS, FC, FCoE, iSCSI, NVMe-oF-FC, NVMe-oF-TCP, NVMe-oF-RoCEv2</t>
  </si>
  <si>
    <t>1.11</t>
  </si>
  <si>
    <t>Возможность запуска клиентского интерфейса управления облачной платформой из многопользовательского Citrix-окружения</t>
  </si>
  <si>
    <t>Нет</t>
  </si>
  <si>
    <t>1.12</t>
  </si>
  <si>
    <t>Функционал авторизации через доменные учетные записи соответствующие стандартам RFC2247, RFC1779 с игнорированием регистра (ignore uppercase\lowercase).</t>
  </si>
  <si>
    <t>Автоматизация имеется, но регистр учитывается.</t>
  </si>
  <si>
    <t>1.13</t>
  </si>
  <si>
    <t>Функционал прозрачной аутентификации пользователей (технология единого входа Single Sign-On (SSO)) при успешной аутентификации в домене Microsoft AD / ALD Pro (i.e. via Kerberos (RFC 4120))</t>
  </si>
  <si>
    <t>IAM в разработке</t>
  </si>
  <si>
    <t>1.14</t>
  </si>
  <si>
    <t>Решение позволяет реализовать бесшовный апгрейд ПО инфраструктурных компонент платформы без остановки сервисов ВМ, без задействования дополнительной инфраструктуры в процессе апгрейда (in place).</t>
  </si>
  <si>
    <t>Бесшовный апгрейд в проработке. Но сценарии апгрейда позволяет избежать остановки сервисов и решения в целом</t>
  </si>
  <si>
    <t>1.15</t>
  </si>
  <si>
    <t>Возможность установки и обновления компонентов с локального репозитория без доступа к Интернет.</t>
  </si>
  <si>
    <t>1.16</t>
  </si>
  <si>
    <t>Наличие функционала для root cause анализа и performance bottleneck identification, корреляция и автоматическое определение корневых источников проблем</t>
  </si>
  <si>
    <t>Если только сторонними средствами.
Частично можно отследить через Astra Monitoring</t>
  </si>
  <si>
    <t>Управление физической инфраструктурой (Bare-metal provisioning)</t>
  </si>
  <si>
    <t>2.1</t>
  </si>
  <si>
    <t>Наличие системы управления оборудованием в составе решения, включающей, как минимум, управление питанием и мониторинг здоровья аппаратных компонентов.</t>
  </si>
  <si>
    <t>DCIManager</t>
  </si>
  <si>
    <t>2.2</t>
  </si>
  <si>
    <t>Наличие системы автоматической инвентаризации оборудования, в частности, извлечение информации по P/N и S/N (при поддержке данной возможности со стороны оборудования)</t>
  </si>
  <si>
    <t>DCIManager, ACM</t>
  </si>
  <si>
    <t>2.3</t>
  </si>
  <si>
    <t>Возможность выгрузки инвентарной информации по baremetal-серверам в CSV, XML, YML файлы, как вручную так и по расписанию.</t>
  </si>
  <si>
    <t xml:space="preserve">DCIManager. Не все типы обозначенных расширений для выгрузки отчетов поддерживаются. </t>
  </si>
  <si>
    <t>https://www.ispsystem.ru/docs/dcimanager-admin/oborudovanie/servery/otchty</t>
  </si>
  <si>
    <t>2.4</t>
  </si>
  <si>
    <t>Наличие системы удаленной установки и настройки ПО виртуализации на baremetal-сервера. Возможность параллельной установки серверов. Поддерка протоколов PXE, DHCP, TFTP и управления через IPMI</t>
  </si>
  <si>
    <t>2.5</t>
  </si>
  <si>
    <t>Возможность автоматизированного добавления физических хостов на платформу</t>
  </si>
  <si>
    <t>2.6</t>
  </si>
  <si>
    <t>Возможность кастомизации настроек, автоматически применяемых при добавлении физических хостов на платформу</t>
  </si>
  <si>
    <t>При использовании Playbook’а для автоматического добавления, можно кастомизировать в процессе.</t>
  </si>
  <si>
    <t>3</t>
  </si>
  <si>
    <t>Централизованное управление (VIM)</t>
  </si>
  <si>
    <t>3.1</t>
  </si>
  <si>
    <t>Наличие графического интерфейса управления, интегрированного в общий интерфейс управления облачной платформы</t>
  </si>
  <si>
    <t>У каждой из подсистем свой интерфейс управления, а решения интегрированы между собой</t>
  </si>
  <si>
    <t>3.2</t>
  </si>
  <si>
    <t>Возможность автоматического создания/изменения/удаления виртуальных машин с возможностью кастомизации скриптов развертывания (playbook, cloud init scripts etc). Перечислить поддерживаемые инструменты.</t>
  </si>
  <si>
    <t>Terraform, Ansible, контекстуализация, Bash</t>
  </si>
  <si>
    <t>3.3</t>
  </si>
  <si>
    <t>Возможность управления виртуальной инфраструктурой более старых минорных версий, в пределах major-версии Решения в целом (обратная совместимость)</t>
  </si>
  <si>
    <t>Для гарантированной работы платформы крайне желательна гомогенность компонентов</t>
  </si>
  <si>
    <t>3.4</t>
  </si>
  <si>
    <t>Возможность управления виртуальной инфраструктурой с разницей N-2 в major-версиях Решения в целом (обратная совместимость)</t>
  </si>
  <si>
    <t>3.5</t>
  </si>
  <si>
    <t>Наличие каталога объектов и ресурсов облачной платформы, а также наличие функционала экспорта этих данных в формате XLS, CSV.</t>
  </si>
  <si>
    <t>С использованием продуктов из экосистемы, которые на уровне своего функционала позволяют выгружать подобные отчеты</t>
  </si>
  <si>
    <t>3.6</t>
  </si>
  <si>
    <t>Возможность управления сетевыми ресурсами через интерфейс VIM (включая конфигурирование networks, subnets, ports, addresses, forwarding rules) для обеспечения внутренней и внешней связности</t>
  </si>
  <si>
    <t>3.7</t>
  </si>
  <si>
    <t>Транзакционная модель управления ресурсами облачной платформы с возможностью отката заданий</t>
  </si>
  <si>
    <t>OneFlow, Terraform, кастомизированные hook’и</t>
  </si>
  <si>
    <t>3.8</t>
  </si>
  <si>
    <t>Возможность одновременного исполнения параллельных задач по управлению ресурсами облачной платформы (выделение/удаление/реконфигурация)</t>
  </si>
  <si>
    <t>3.9</t>
  </si>
  <si>
    <t>Возможность агрегации и сегментации ресурсов облачной платформы (например, Avalability Zone, Host aggregation, Affinity Groups), которые формируются по разным признакам (например, аппаратной архитектуре, производительности, тип оборудования, наличию тех или иных дополнительных функциональностей/возможностей), для дальнейшего развертывания ВМ на данной группе хостов</t>
  </si>
  <si>
    <t>3.10</t>
  </si>
  <si>
    <t>Возможность эксклюзивного резервирования аппаратных ресурсов за конкретными ВМ или группами ВМ.</t>
  </si>
  <si>
    <t>3.11</t>
  </si>
  <si>
    <t>Возможность установки ограничений для исключения размещения ВМ или групп ВМ на конкретном наборе аппаратных ресурсов.</t>
  </si>
  <si>
    <t>3.12</t>
  </si>
  <si>
    <t>Возможность резервировать производительность (CPU / RAM / Throughput) и осуществлять приоритезацию (QoS) IOPS, для ВМ или групп ВМ</t>
  </si>
  <si>
    <t>3.13</t>
  </si>
  <si>
    <t>Возможность обеспечивать ресурсную изоляцию между различными проектами/tenant (группами ВМ), размещаемыми на единой платформе</t>
  </si>
  <si>
    <t>3.14</t>
  </si>
  <si>
    <t>Возможность управления коэффициентами переподписки (overcommitment ratio) на ресурсы в рамках заданного пула, в том числе полностью ее запретить.</t>
  </si>
  <si>
    <t>3.15</t>
  </si>
  <si>
    <t>Сохранение и просмотр истории выделения\изменения ресурсов для ВМ/проекта/пула ресурсов/tenant</t>
  </si>
  <si>
    <t>Для ВМ можно посмотреть историю размещения и всю остальную информацию в логах. Для тенантов — BILLManager</t>
  </si>
  <si>
    <t>3.16</t>
  </si>
  <si>
    <t>Сохранение и просмотр истории фактического потребления ресурсов для ВМ/проекта/пула ресурсов/tenant</t>
  </si>
  <si>
    <t>Средствами мониторинга, где метрики хранятся</t>
  </si>
  <si>
    <t>3.17</t>
  </si>
  <si>
    <t>Возможность создания и управления шаблонами виртуальных машин, развертывания машин по шаблонам</t>
  </si>
  <si>
    <t>3.18</t>
  </si>
  <si>
    <t>Сохранение и просмотр истории изменения конфигурации виртуальных машин с возможностью сравнения версий с разным временем (Drift report)</t>
  </si>
  <si>
    <t>3.19</t>
  </si>
  <si>
    <t>Возможность изменения конфигурации ВМ (hdd, ram, cpu) без ее перезапуска (hot plug\unplug), в т.ч. добавление новых дисков и сетевых интерфейсов</t>
  </si>
  <si>
    <t>3.20</t>
  </si>
  <si>
    <t>Наличие механизмов управления функционалом affinity/anti-affinity по размещению ВМ</t>
  </si>
  <si>
    <t>3.21</t>
  </si>
  <si>
    <t>Наличие функционала для создания и восстановления snapshot для ВМ без прерывания сервиса (live snapshot). Возможность управления для пользователя snapshot-ами ВМ из интерфейса портала самообслуживания.</t>
  </si>
  <si>
    <t>При условии, что используемое хранилище под ВМ позволяет работать со снимками.
Восстановление ВМ из снапшота идет на холодную</t>
  </si>
  <si>
    <t>3.22</t>
  </si>
  <si>
    <t>Наличие функционала клонирования ВМ</t>
  </si>
  <si>
    <t>3.23</t>
  </si>
  <si>
    <t>Возможность хранения и управления образами ОС (добавление, удаление, обновление, копирование).</t>
  </si>
  <si>
    <t>3.24</t>
  </si>
  <si>
    <t>Поддержка форматов дисковых образов - aki, ami, ari, iso, qcow2, raw, vdi, vhd, vhdx, vmdk</t>
  </si>
  <si>
    <t>iso, qcow2, raw</t>
  </si>
  <si>
    <t>3.25</t>
  </si>
  <si>
    <t>Поддержка форматов образа контейнера - aki, ami, ari, bare, docker, ova, ovf</t>
  </si>
  <si>
    <t>3.26</t>
  </si>
  <si>
    <t>Наличие встроенного механизма динамического управления питанием с возможностью выключения серверного оборудования (Soft off) для балансировки вычислительной нагрузки, экономии энергопотребления во время наименьшей нагрузки на облачную инфраструктуру.</t>
  </si>
  <si>
    <t>3.27</t>
  </si>
  <si>
    <t>Возможность осуществлять reboot/force reboot &amp; power off/ force power off (и HW и ВМ)</t>
  </si>
  <si>
    <t>4</t>
  </si>
  <si>
    <t>Управление вычислительными ресурсами</t>
  </si>
  <si>
    <t>4.1</t>
  </si>
  <si>
    <t>Наличие функционала оптимизации NUMA topology awareness, путем автоматического размещения процессов на тех процессорах, к которым относится память данного CPU (для предотвращения потери производительности при обращении процесса к памяти соседнего процессора в многопроцессорном сервере compute node)</t>
  </si>
  <si>
    <t>4.2</t>
  </si>
  <si>
    <t>Поддержка PCI pass-through</t>
  </si>
  <si>
    <t>4.3</t>
  </si>
  <si>
    <t>Наличие функционала оптимизации памяти гипервизора, используемой виртуальными машинами (изъятие неиспользуемой памяти, сжатие, использование общих блоков и т.д.)</t>
  </si>
  <si>
    <t>В версии ACP 2.1 еще и Ballooning. На текущий момент KSM</t>
  </si>
  <si>
    <t>4.4</t>
  </si>
  <si>
    <t>Наличие функционала Receive Side Scaling (RSS) – Multi Queue Receive</t>
  </si>
  <si>
    <t>Если драйвер устройства позволяет</t>
  </si>
  <si>
    <t>4.5</t>
  </si>
  <si>
    <t>Возможность пересылки пакетов Jumbo frames (packet size above 1500 Bytes) между любыми сетевыми элементами</t>
  </si>
  <si>
    <t>4.6</t>
  </si>
  <si>
    <t>Поддержка large pages и huge pages (для увеличения скорости процессов, интенсивно работающих с памятью)</t>
  </si>
  <si>
    <t>4.7</t>
  </si>
  <si>
    <t>Поддержка следующих гостевых операционных систем. Указать перечень поддерживаемых ОС, включая, но не ограничиваясь списком:
 * RHEL
 * Ubuntu Server
 * Windows Server
 * Oracle Linux
 * CentOS
 * CentOS Stream
 * Debian</t>
  </si>
  <si>
    <t>RHEL
Ubuntu
Windows Server 2012/2016/2019/2022
Oracle Linux
CentOS
Debian
Suse</t>
  </si>
  <si>
    <t>4.8</t>
  </si>
  <si>
    <t>Поддержка гостевых операционных систем отечественных производителей. Указать перечень поддерживаемых ОС, включая, но не ограничиваясь списком:
 * RED OS
 * AlterOS
 * ROSA Linux
 * ALT Linux
 * ОС "Эльбрус"
 * ОС "Атлант"
 * Astra Linux</t>
  </si>
  <si>
    <t>AlterOS
RED OS
Rosa Linux
ALT Linux
Astra Linux
Любая ОС под архитектуру i686, x86_64. Существует техническая возможность создания дистрибутива облачной платформы под другие архитектуры.</t>
  </si>
  <si>
    <t>4.9</t>
  </si>
  <si>
    <t>Функционал подключения к консоли виртуальных машин для удаленного управления</t>
  </si>
  <si>
    <t>4.10</t>
  </si>
  <si>
    <t>Функционал управления контейнерной инфраструктурой Kubernetes (виртуализация и CNI), создание и управление кластерами контейнеров, настройка их конфигурации, функционал контейнеризации приложений и управления ими</t>
  </si>
  <si>
    <t>В будущих версиях</t>
  </si>
  <si>
    <t>4.11</t>
  </si>
  <si>
    <t>Поддержка узлов вычисления с GPU. Поддержка прямого проброса физической GPU в ВМ (GPU Passthrough). Возможность разделения GPU на vGPU (поддержка технологии Nvidia vGPU или аналогичная фунциональность).</t>
  </si>
  <si>
    <t>Управление ресурсами хранения</t>
  </si>
  <si>
    <t>5.1</t>
  </si>
  <si>
    <t>Наличие графического интерфейса управления SDS, интегрированного в общий интерфейс управления облачной платформы</t>
  </si>
  <si>
    <t>5.2</t>
  </si>
  <si>
    <t>Возможность использования all-flash конфигурации дисков узлом хранения - SSD (MLC/eMLC), NVMe/SCM. Возможность создания all-flash конфигураций без выделенных кэш-носителей.</t>
  </si>
  <si>
    <t>5.3</t>
  </si>
  <si>
    <t>Наличие функционала дедупликации и сжатия данных.</t>
  </si>
  <si>
    <t>Для РК</t>
  </si>
  <si>
    <t>5.4</t>
  </si>
  <si>
    <t>Наличие механизмов проверки целостности хранимых данных (самодиагностика), алгоритмов автоматического обнаружения и восстановления данных (при silent disk errors)</t>
  </si>
  <si>
    <t>5.5</t>
  </si>
  <si>
    <t>Обеспечение консистентности копий хранимых данных между собой на уровне кластера узлов хранения. Необходима поддержка следующих методов обеспечения избыточности: зеркалирование (указать доступное количество копий), erasure coding (указать доступные варианты N+M).Перечислить иные поддерживаемые механизмы обеспечения избыточности данных если имеются.</t>
  </si>
  <si>
    <t>При использовании SDS TROK. Полное зеркалирование данных и репликация между узлами хранения. Репликация синхронная тройна
Erasure coding — SDS Ceph</t>
  </si>
  <si>
    <t>5.6</t>
  </si>
  <si>
    <t>Транзакционная модель записи на распределенные узлы хранения (контроль и откат записи на уровне кластера, а не узла хранения). Отсутствие SPOF на уровне одного сервера\хоста хранения.</t>
  </si>
  <si>
    <t>SDS Ceph</t>
  </si>
  <si>
    <t>5.7</t>
  </si>
  <si>
    <t>Наличие интерфейса ISCSI target для внешних подключений.</t>
  </si>
  <si>
    <t>Можно организовать программными средствами, работающими в ОС</t>
  </si>
  <si>
    <t>5.8</t>
  </si>
  <si>
    <t>Функционал scale up (добавление дисков в незаполненные слоты действующих узлов хранения), scale out (добавление новых узлов хранения), а также расширение емкости кластера путем замены дисков малой емкости на новые работают без прерывания сервисов</t>
  </si>
  <si>
    <t>Если аппаратная составляющая позволяет данные процедуры проводить на «горячую»</t>
  </si>
  <si>
    <t>5.9</t>
  </si>
  <si>
    <t>Масштабирование системы путем добавления новых дисков (либо замены неисправных дисков) не должно требовать дополнительных лицензий</t>
  </si>
  <si>
    <t>5.10</t>
  </si>
  <si>
    <t>Решение поддерживает серверное оборудование COTS от любого производителя и поддерживает использование оборудования различных поставщиков в кластере хранения.
Вендор предоставляет информацию о поддерживаемых конфигурациях/компонентах серверного аппаратного обеспечения</t>
  </si>
  <si>
    <t>5.11</t>
  </si>
  <si>
    <t>Возможность предоставления данных по моделям block storage/object storage/file system для подключения к SDS внешних систем. Перечислить поддерживаемые протоколы подключения.</t>
  </si>
  <si>
    <t>Блочное и файловое хранилище поддерживаются. Объектное S3 будет реализовано в SDS TROK ориентировочно середина 2026 года.
ISCSI, FC</t>
  </si>
  <si>
    <t>5.12</t>
  </si>
  <si>
    <t>Функционал георезервирования в конфигурации active/active между кластерами на разных площадках, соединенных по L3-сети, раундтрип между площадками - до 50 мс. Количество кластеров, объединенных в георезерв - до 4</t>
  </si>
  <si>
    <t>В разработке как со стороны ПК СВ Брест, так и SDS TROK</t>
  </si>
  <si>
    <t>5.13</t>
  </si>
  <si>
    <t>Функционал синхронной и асинхронной репликации между SDS на разных площадках</t>
  </si>
  <si>
    <t>5.14</t>
  </si>
  <si>
    <t>Функционал распределенного хранилища, поддерживающих блочный, файловый и объектный интерфейсы доступа, а также поддерживающих параллельность операций и различные уровни и степени резервирования</t>
  </si>
  <si>
    <t>Блочное и файловое хранилище поддерживаются. Объектное S3 будет реализовано в SDS TROK ориентировочно середина 2026 года.</t>
  </si>
  <si>
    <t>5.15</t>
  </si>
  <si>
    <t>Функциональность кеширования данных</t>
  </si>
  <si>
    <t>Если аппаратная составляющая поддерживает, то ДА</t>
  </si>
  <si>
    <t>5.16</t>
  </si>
  <si>
    <t>Обновление встроенного программного обеспечения серверного оборудования и обновление версии операционной системы на storage node не приводит к прерыванию сервисов кластера</t>
  </si>
  <si>
    <t>При миграции сервисов на смежные узлы кластера</t>
  </si>
  <si>
    <t>5.17</t>
  </si>
  <si>
    <t>Возможность построения выделенного кластера хранения (на выделенных узлах, не HCI).</t>
  </si>
  <si>
    <t>SDS TROK, NvME-oF, iSCSI, NFS</t>
  </si>
  <si>
    <t>5.18</t>
  </si>
  <si>
    <t>Возможность обеспечения отказоустойчивости при одновременном выходе из строя двух любых элементов (доменов отказа) SDS: носители, узлы (серверы), т.е. обеспечивается FTT=2. При этом сохраняется непрерывность сервисов и доступа к данным, исключается потеря данных и существенная деградация производительности, выполняется автоматический ребилд данных на свободном пространстве кластера</t>
  </si>
  <si>
    <t>В разработке</t>
  </si>
  <si>
    <t>Управление сетевыми ресурсами</t>
  </si>
  <si>
    <t>6.1</t>
  </si>
  <si>
    <t>Наличие графического интерфейса для управления сетевыми службами инфраструктуры и ее параметрами, интегрированного в общий интерфейс управления облачной платформы</t>
  </si>
  <si>
    <t>6.2</t>
  </si>
  <si>
    <t>Наличие механизмов Troubleshooting и Root cause analysis SDN overlay сетевой среды</t>
  </si>
  <si>
    <t>6.3</t>
  </si>
  <si>
    <t>Обеспечение сетевой изоляции проекта/пула ресурсов/tenant поверх общей сетевой инфраструктуры</t>
  </si>
  <si>
    <t>6.4</t>
  </si>
  <si>
    <t>Наличие функционала ограничения проекта/пула ресурсов/tenant по потребляемым сетевым ресурсам (сети, подсети, порты, виртуальные машрутизаторы, FWaaS, LBaaS).</t>
  </si>
  <si>
    <t>6.5</t>
  </si>
  <si>
    <t>Наличие функционала конфигурирования нескольких виртуальных NIC (vNIC) на каждой ВМ с возможностью конфигурации отдельных IP и MAC на каждом vNIC. Наличие функционала vNIC teaming.</t>
  </si>
  <si>
    <t>6.6</t>
  </si>
  <si>
    <t xml:space="preserve">Возможность запрета смены MAC адреса для vNIC ВМ </t>
  </si>
  <si>
    <t>6.7</t>
  </si>
  <si>
    <t>Возможность предоставления проекта/пула ресурсов/tenant более одной сети, а также с пересекающейся сетевой адресацией</t>
  </si>
  <si>
    <t>6.8</t>
  </si>
  <si>
    <t>Возможность настройки взаимодействия между сетями проекта/пула ресурсов/tenant внутри облачной платформы и во внешнюю сеть</t>
  </si>
  <si>
    <t>6.9</t>
  </si>
  <si>
    <t>Возможность расширения емкости компонентов виртуальной сетевой инфраструктуры путем горизонтального масштабирования</t>
  </si>
  <si>
    <t>6.10</t>
  </si>
  <si>
    <t>Поддержка LACP</t>
  </si>
  <si>
    <t>6.11</t>
  </si>
  <si>
    <t>Возможность зеркалирования трафика ВМ</t>
  </si>
  <si>
    <t>6.12</t>
  </si>
  <si>
    <t>Поддержка overlay-сетей (примеры - VXLAN, geneve и т.д.), возможность терминации на SW VTEP</t>
  </si>
  <si>
    <t>6.13</t>
  </si>
  <si>
    <t>Поддержка IPv4, IPv6</t>
  </si>
  <si>
    <t>6.14</t>
  </si>
  <si>
    <t>Поддержка 802.1Q tagging. Поддержка VLAN в виртуальных машинах (в том числе передача пакетов с разными VLAN-метками по одному виртуальному сетевому интерфейсу (vNIC))</t>
  </si>
  <si>
    <t>6.15</t>
  </si>
  <si>
    <t>Наличие функционала управления пропускной способностью и обеспечение QoS</t>
  </si>
  <si>
    <t>6.16</t>
  </si>
  <si>
    <t>Наличие функционала распределенного роутера (distributed router) между хостами</t>
  </si>
  <si>
    <t>6.17</t>
  </si>
  <si>
    <t>Возможность изоляции проекта/пула ресурсов/tenant на уровне конфигурации экземпляра FW, NAT, маршрутизатора для создания различных правил и различных таблиц маршрутизации (функционал VRF).</t>
  </si>
  <si>
    <t>6.18</t>
  </si>
  <si>
    <t>Наличие функционала floating IP address для сетей проекта/пула ресурсов/tenant</t>
  </si>
  <si>
    <t>6.19</t>
  </si>
  <si>
    <t>Наличие функционала Statefull Firewall с поддержкой до L4 включительно (FWaaS) с возможностью применения как на периметре облачной инфраструктуры, так и внутри его (на уровне vNIC)</t>
  </si>
  <si>
    <t>6.20</t>
  </si>
  <si>
    <t>Наличие функционала Statefull Firewall с поддержкой до L7 включительно (FWaaS) с возможностью применения как на периметре облачной инфраструктуры, так и внутри его (на уровне vNIC)</t>
  </si>
  <si>
    <t>6.21</t>
  </si>
  <si>
    <t>Наличие функционала балансировки сетевой нагрузки и агрегации сетевых соединений (LBaaS на уровнях OSI, включая L4+) с Web, SSL и  TCP-based scale-out.</t>
  </si>
  <si>
    <t>Встроенных нету. Termidesk Connect закрывает данную задачу</t>
  </si>
  <si>
    <t>6.22</t>
  </si>
  <si>
    <t>Наличие функционала терминации IPSec туннелей</t>
  </si>
  <si>
    <t>С помощью strongswan на уровне ОС</t>
  </si>
  <si>
    <t>6.23</t>
  </si>
  <si>
    <t>Возможность организации распределенных сетевых сервисов vRouter, FWaaS, LBaaS, VPNaaS, DNSaaS.</t>
  </si>
  <si>
    <t>6.24</t>
  </si>
  <si>
    <t>Возможность клонирования и одновременного создания нескольких копий сетевых сервисов, таких как FWaaS, LBaaS</t>
  </si>
  <si>
    <t>6.25</t>
  </si>
  <si>
    <t>Возможность построения overlay-сетей с использованием стандартов\протоколов 802.1Q VLAN, VXLAN, VXLAN/EVPN, GRE, GENEVE.</t>
  </si>
  <si>
    <t>6.26</t>
  </si>
  <si>
    <t>Возможность локальной коммутации и маршрутизации трафика между ВМ, расположенных на одном экземпляре вычислительного ресурса</t>
  </si>
  <si>
    <t>6.27</t>
  </si>
  <si>
    <t>Возможность локальной коммутации и маршрутизации трафика между ВМ, расположенных на разных экземплярах вычислительных ресурсов, без выхода за пределы облачной платформы</t>
  </si>
  <si>
    <t>6.28</t>
  </si>
  <si>
    <t>Возможность активации/деактивации функционала security-group на каждом порту в отдельности (возможность отключения anti-spoofing правил)</t>
  </si>
  <si>
    <t>6.29</t>
  </si>
  <si>
    <t>Функционал RBAC (в частности, определение QoS policy для доступа проекта/пула ресурсов/tenant к внешним сетям)</t>
  </si>
  <si>
    <t>7</t>
  </si>
  <si>
    <t>Отказоустойчивость и высокая доступность</t>
  </si>
  <si>
    <t>7.1</t>
  </si>
  <si>
    <t xml:space="preserve">Обеспечение отказоустойчивости и высокой доступности для управляющих узлов облачной платформы и их интерфейсов управления. </t>
  </si>
  <si>
    <t>7.2</t>
  </si>
  <si>
    <t xml:space="preserve">Архитектура решения способна обеспечить отсутствие деградации сервисов или потери данных при единичных сбоях (hdd, host, network, rack). </t>
  </si>
  <si>
    <t>7.3</t>
  </si>
  <si>
    <t>Обеспечение облачной платформой отказоустойчивости при одновременном полном отказе нескольких вычислительных узлов и узлов хранения данных (например, отказ стойки).</t>
  </si>
  <si>
    <t>DR в разработке</t>
  </si>
  <si>
    <t>7.4</t>
  </si>
  <si>
    <t>Наличие функционала автоматического восстановления элементов облачной платформы (self healing) после выхода из строя аппаратного обеспечения.</t>
  </si>
  <si>
    <t>7.5</t>
  </si>
  <si>
    <t>Наличие механизма ручной и автоматической миграции виртуальных машин (без их выключения) между серверами виртуализации (hosts) для балансировки нагрузки на вычислительные ресурсы физических серверов</t>
  </si>
  <si>
    <t>7.6</t>
  </si>
  <si>
    <t xml:space="preserve">Наличие возможности гибкой конфигурации алгоритмов балансировки нагрузки (консервативный, агрессивный и т.д.) вычислительных ресурсов между серверами виртуализации (гипервизорами). </t>
  </si>
  <si>
    <t>По CPU</t>
  </si>
  <si>
    <t>7.7</t>
  </si>
  <si>
    <t>Наличие механизмов перезапуска ВМ на основе политик, например, при отказах на вычислительных узлах или узлах хранения данных</t>
  </si>
  <si>
    <t>7.8</t>
  </si>
  <si>
    <t xml:space="preserve">Возможность рестарта и миграции виртуальных коммутаторов/роутеров на основе политик в случае сбоя. </t>
  </si>
  <si>
    <t>7.9</t>
  </si>
  <si>
    <t>Наличие режима "обслуживания" (Maintenance Mode) для серверов виртуализации (hosts)  элементов облачной инфраструктуры (compute, storage, network, control) для обеспечения проведения регламентных работ</t>
  </si>
  <si>
    <t>7.10</t>
  </si>
  <si>
    <t>Наличие встроенного механизма резервного копирования и восстановления управляющих серверов. Наличие возможности выборочного и общего бекапирования настроек компонентов решения как в ручном, так и автоматическом режиме. Оптимизация данных, сохраняемых в резервную копию</t>
  </si>
  <si>
    <t>7.11</t>
  </si>
  <si>
    <t>Возможность разделения ресурсов на зоны доступности с целью логического разделения для физической изоляции или отказоустойчивости. Включая ресурсы хранения.</t>
  </si>
  <si>
    <t>7.12</t>
  </si>
  <si>
    <t>Наличие механизмов защиты от Split-Brain при условии нарушения сетевой связанности между стойками/площадками/нодами , если потерян трафик управления, мониторинга, оркестрации, дисковые подсистемы</t>
  </si>
  <si>
    <t>7.13</t>
  </si>
  <si>
    <t>Возможность живой миграция дисков ВМ между хранилищами облачной платформы (аналог storage vMotion).</t>
  </si>
  <si>
    <t>Не для всех типов хранилищ поддерживается</t>
  </si>
  <si>
    <t>https://wiki.astralinux.ru/brest/4.0.1/vozmoyonosti-hranilishch-v-pk-sv-brest-348178368.html</t>
  </si>
  <si>
    <t>8</t>
  </si>
  <si>
    <t>Резервное копирование</t>
  </si>
  <si>
    <t>8.1</t>
  </si>
  <si>
    <t>Наличие встроенной системы резервного копирования для ВМ/контейнеров или отдельного продукта собственной разработки с аналогичным функционалом. Указать способы лицензирования</t>
  </si>
  <si>
    <t>Для бэкапа ВМ внутренние средства резервного копирования имеются. Для более профессионального решения — RuBackup. 3 модели лицензирования RuBackup имеет</t>
  </si>
  <si>
    <t>8.2</t>
  </si>
  <si>
    <t>Возможность собственного продукта по РК осуществлять РК ВМ с отличных от предлагаемого Решения платформ виртуализации. Перечислить поддерживаемые платформы.</t>
  </si>
  <si>
    <t>RuBackup</t>
  </si>
  <si>
    <t>8.3</t>
  </si>
  <si>
    <t>Возможность обеспечения консистентных (согласованных на уровне дисковых операций) резервных копий ВМ (snapshot-ы памяти и диска)</t>
  </si>
  <si>
    <t>8.4</t>
  </si>
  <si>
    <t>Функциональность оптимизации передаваемых данных на стороне облачной платформы, наличие механизмов дедупликации и сжатия для минимизации объема хранимых резервных копий данных</t>
  </si>
  <si>
    <t>В версии ACP 2.1</t>
  </si>
  <si>
    <t>8.5</t>
  </si>
  <si>
    <t>Возможность передавать резервные копии, как по сети передачи, так и по сети хранения данных</t>
  </si>
  <si>
    <t>8.6</t>
  </si>
  <si>
    <t>Возможность интеграции с системой резервного копирования Veeam</t>
  </si>
  <si>
    <t>8.7</t>
  </si>
  <si>
    <t>Возможность интеграции с системой резервного копирования КиберБэкап и\или иным отечественным инструментом резервного копирования ВМ. Привести список совместимых систем РК</t>
  </si>
  <si>
    <t>Безопасность</t>
  </si>
  <si>
    <t>9.1</t>
  </si>
  <si>
    <t>Реализации ролевой модели доступа (RBAC) ко всем компонентам решения. Возможность предоставления доступа к конкретной операции нужному пользователю облачной платформы</t>
  </si>
  <si>
    <t>9.2</t>
  </si>
  <si>
    <t>Журналирование и аудит действий пользователей со стороны всех компонентов решения, наличие детальных логов всех операций, выполняемых пользователями в системе</t>
  </si>
  <si>
    <t>логирование действий</t>
  </si>
  <si>
    <t>9.3</t>
  </si>
  <si>
    <t>Наличие единой точки консолидации системных журналов от физических и программных компонент.
Возможность выгрузки следующей информации в различные системы анализа (splunk, syslog и т.п.):
• Текстовые/csv файлы с логами/выгрузками - варианты интеграции:
   * установка агентов на хосты-источники
   * выгружающее ПО подключается на удалённый sftp
   * выгружающее ПО предоставляет свой ресурс по sftp
• Чтение сообщений из очередей при их использовании (i.e. RabbitMQ)</t>
  </si>
  <si>
    <t>9.4</t>
  </si>
  <si>
    <t>Обеспечение защиты SSH, WEB доступа, наличие и управление требованиями к сложности паролей</t>
  </si>
  <si>
    <t>9.5</t>
  </si>
  <si>
    <t>Наличие механизма доверенной загрузки как для гипервизоров, так и для виртуальных машин (secureboot).</t>
  </si>
  <si>
    <t>Для гипервизоров — сторонними средствами</t>
  </si>
  <si>
    <t>9.6</t>
  </si>
  <si>
    <t>Возможность настройки прохождения согласований запросов на услугу для портала самообслуживания</t>
  </si>
  <si>
    <t>9.7</t>
  </si>
  <si>
    <t>Аутентификация пользователя перед разрешением любых действий в GUI платформы или через API</t>
  </si>
  <si>
    <t>9.8</t>
  </si>
  <si>
    <t>Наличие механизмов защиты (шифрования) аутентификации по сети (LDAPS)</t>
  </si>
  <si>
    <t>9.9</t>
  </si>
  <si>
    <t>Использование централизованного источника информации о пользователях в системе (ФКCУД, AD, ALD Pro, LDAP-каталоги, другое).</t>
  </si>
  <si>
    <t>9.10</t>
  </si>
  <si>
    <t>Наличие централизованного и/или локального механизма обеспечения сложности пароля.</t>
  </si>
  <si>
    <t>9.11</t>
  </si>
  <si>
    <t>Наличие ограничения срока действия пароля в днях (централизованный и локальный механизм).</t>
  </si>
  <si>
    <t>9.12</t>
  </si>
  <si>
    <t>Наличие ограничения минимальной длины пароля (централизованный и локальный механизм).</t>
  </si>
  <si>
    <t>9.13</t>
  </si>
  <si>
    <t>Шифрование аутентификационной информации (пароли, токены) при хранении данных.</t>
  </si>
  <si>
    <t>9.14</t>
  </si>
  <si>
    <t>Ограничение разрешенного числа неудачных попыток входа в систему.</t>
  </si>
  <si>
    <t>9.15</t>
  </si>
  <si>
    <t>Протоколирование действий пользователя через API.</t>
  </si>
  <si>
    <t>9.16</t>
  </si>
  <si>
    <t>Протоколирование всех действий администратора через интерфейс системы.
Примеры действий:
 * создание/удаление учетной записи
 * блокировка/разблокировка учетной записи
 * изменение прав доступа учетной записи
 * сброс пароля учетной записи (с указанием учетной записи, от имени которой произведены изменения)
 * отключение протоколирования
 * изменение уровня протоколирования
 * очистка журналов протоколирования
 * изменение настроек сервисов ИБ: парольных политик, используемых протоколов, параметров шифрования, аутентификации и т.п.
 * создание/изменение группы/роли/профиля доступа
 * удаление группы/роли/профиля доступа.
 * удаление или изменение ВМ</t>
  </si>
  <si>
    <t>9.17</t>
  </si>
  <si>
    <t>Защита каналов связи при передаче данных, выгружаемых при операциях экспорта или обращениях по API (протокол HTTPS)</t>
  </si>
  <si>
    <t>9.18</t>
  </si>
  <si>
    <t>Логи по разным проектам/пулам ресурсов/tenant формируются в отдельных файлах, с возможностью предоставления дифференцированного доступа для разных пользователей</t>
  </si>
  <si>
    <t>9.19</t>
  </si>
  <si>
    <t>Возможность интеграции с продуктами антивирусной защиты Kaspersky Security. Перечислить поддерживаемые продукты.</t>
  </si>
  <si>
    <t>Справа ссылочка и по разработчику «Лаборатория Касперского» можно отфильтровать продукты. Их много</t>
  </si>
  <si>
    <t>https://astra.ru/ready-for-astra/compatible-software/</t>
  </si>
  <si>
    <t>Портал самообслуживания</t>
  </si>
  <si>
    <t>10.1</t>
  </si>
  <si>
    <t>Наличие централизованного WEB интерфейса управления с доступом по HTTPS</t>
  </si>
  <si>
    <t>10.2</t>
  </si>
  <si>
    <t>Наличие системы отслеживания и управления запросами для портала самообслуживания, с возможностью просмотра статуса текущего исполнения запросов</t>
  </si>
  <si>
    <t>10.3</t>
  </si>
  <si>
    <t>Возможность кастомизации набора действий\кнопок доступных в портале самообслуживания (snapshots, backup, etc).</t>
  </si>
  <si>
    <t>10.4</t>
  </si>
  <si>
    <t>Возможность управления жизненным циклом созданных объектов для портала самообслуживания (создание, изменение, вывод)</t>
  </si>
  <si>
    <t>10.5</t>
  </si>
  <si>
    <t>Интерфейс пользователя включает мониторинг производительности для созданных объектов</t>
  </si>
  <si>
    <t>Да — для ПК СВ Брест, Для BILLManager — Нет</t>
  </si>
  <si>
    <t>10.6</t>
  </si>
  <si>
    <t>Наличие интерфейса просмотра доступных пользователю ресурсов и их текущую утилизацию</t>
  </si>
  <si>
    <t>В ПК СВ Брест, Для BILLManager — Нет</t>
  </si>
  <si>
    <t>10.7</t>
  </si>
  <si>
    <t>Наличие русскоязычного интерфейса портала самообслуживания</t>
  </si>
  <si>
    <t>10.8</t>
  </si>
  <si>
    <t xml:space="preserve">Наличие карты\дерева топологии объектов для портала самообслуживания </t>
  </si>
  <si>
    <t>10.9</t>
  </si>
  <si>
    <t>Наличие портала самообслуживания для авторизованных пользователей, позволяющего управлять ресурсами в соотвествии с предоставленными полномочиями</t>
  </si>
  <si>
    <t>10.10</t>
  </si>
  <si>
    <t>Функциональность квотирования ресурсов при обработке запросов на их выделения со стороны пользователей</t>
  </si>
  <si>
    <t>Система мониторинга и траблшутинга</t>
  </si>
  <si>
    <t>11.1</t>
  </si>
  <si>
    <t>Решение включает встроенную систему мониторинга и траблшутинга всех программных и аппаратных компонентов</t>
  </si>
  <si>
    <t>11.2</t>
  </si>
  <si>
    <t>Наличие возможности организации мониторинга метрик физической инфраструктуры средствами Zabbix без влияния на работоспособность и производительность</t>
  </si>
  <si>
    <t>11.3</t>
  </si>
  <si>
    <t xml:space="preserve">Система мониторинга позволяет в централизованном интерфейсе наблюдать доступность, производительность, утилизацию, аварийные сообщения, события из системных журналов (logs) на каждом слое виртуализированной и физической инфраструктуры - оборудование, гипервизор, гостевые операционные системы, middleware, приложения. </t>
  </si>
  <si>
    <t>11.4</t>
  </si>
  <si>
    <t>Возможность генерации аварийных сообщений по уровням загрузки HW, включая CPU, RAM, HDD, сетевые интерфейсы</t>
  </si>
  <si>
    <t>11.5</t>
  </si>
  <si>
    <t>Возможность генерации аварийных сообщений по уровням загрузки SW включая лицензионную емкость</t>
  </si>
  <si>
    <t>11.6</t>
  </si>
  <si>
    <t>Наличие инструментов расчета процента текущей утилизации облачной платформы (емкость, использование ресурсов, etc).</t>
  </si>
  <si>
    <t>11.7</t>
  </si>
  <si>
    <t>Наличие перечня метрик KPI (в %) для отображения основных параметров работы инфраструктуры. Типовые шаблоны для отчетности по KPI (наличие trigger-ов на значения KPI).</t>
  </si>
  <si>
    <t>В связи с проблематичностью создания  типовых шаблонов для отчетности по KPI, данный функционал рассматривается реализуется индивидуально в рамках проекта</t>
  </si>
  <si>
    <t>11.8</t>
  </si>
  <si>
    <t>Наличие централизованного логирования со всех управляемых нод</t>
  </si>
  <si>
    <t>11.9</t>
  </si>
  <si>
    <t>Наличие мониторинга доступности всех управляемых нод</t>
  </si>
  <si>
    <t>11.10</t>
  </si>
  <si>
    <t>Наличие мониторинга производительности для всех управляемых нод</t>
  </si>
  <si>
    <t>Автоматизация и административный инструментарий</t>
  </si>
  <si>
    <t>12.1</t>
  </si>
  <si>
    <t>Наличие открытых API к платформе или иная аналогичная функциональность</t>
  </si>
  <si>
    <t>12.2</t>
  </si>
  <si>
    <t>Наличие документированного REST API для управления всеми подсистемами облачной платформы включая, но не ограничиваясь: виртуализации (включая создание/изменение/удаление ВМ); сетевой (включая создание и настройку виртуальных сетей); идентификации; хранения и предоставления данных.</t>
  </si>
  <si>
    <t>12.3</t>
  </si>
  <si>
    <t>Наличие документированного API для выгрузки инвентарной информации.</t>
  </si>
  <si>
    <t>12.4</t>
  </si>
  <si>
    <t>Наличие документированного API для администрирования и управления системой хранения (разворачивание новых узлов, настройка кластера, обслуживание, мониторинг статуса).</t>
  </si>
  <si>
    <t>12.5</t>
  </si>
  <si>
    <t>Наличие документированного API для интеграции с внешней системой резервного копирования.</t>
  </si>
  <si>
    <t>12.6</t>
  </si>
  <si>
    <t>API/REST API платформы поддерживает операции - авторизация, подключение/отключение к VIM, работа с сессиями</t>
  </si>
  <si>
    <t>12.7</t>
  </si>
  <si>
    <t>API/REST API платформы поддерживает операции - создание/изменение/переименование/удаление ВМ, в т.ч. создание из шаблонов</t>
  </si>
  <si>
    <t>12.8</t>
  </si>
  <si>
    <t>API/REST API платформы поддерживает операции - управление снапшотами (создание/удаление)</t>
  </si>
  <si>
    <t>12.9</t>
  </si>
  <si>
    <t>API/REST API платформы поддерживает операции - управление питанием ВМ (включение/перезагрузка/выключение)</t>
  </si>
  <si>
    <t>12.10</t>
  </si>
  <si>
    <t>API/REST API платформы поддерживает операции - получение расширенных свойств и атрибутов объектов (ВМ, хостов, кластеров, свичей, дисков/датасторов)</t>
  </si>
  <si>
    <t>12.11</t>
  </si>
  <si>
    <t>API/REST API платформы поддерживает операции - управление ролями, правами и разрешениями на объекты</t>
  </si>
  <si>
    <t>12.12</t>
  </si>
  <si>
    <t>API/REST API платформы поддерживает операции - кастомизация гостевой ОС ВМ (настройки сетевых интерфейсов, ввод в домен, выполнение скриптов)</t>
  </si>
  <si>
    <t>12.13</t>
  </si>
  <si>
    <t>Наличие централизованного CLI интерфейса или иных команд для управления инфраструктурой</t>
  </si>
  <si>
    <t>12.14</t>
  </si>
  <si>
    <t>Наличие централизованного CLI интерфейса для управления сетевыми службами инфраструктуры и их параметрами</t>
  </si>
  <si>
    <t>12.15</t>
  </si>
  <si>
    <t>Наличие централизованного CLI интерфейса для управления службами хранения и их параметрами</t>
  </si>
  <si>
    <t>12.16</t>
  </si>
  <si>
    <t>Наличие инструмента с возможностью автоматизации процесса выполнения последовательности CLI команд (скрипт) с возможностью воздействия на всех слоях облачной платформы</t>
  </si>
  <si>
    <t>В Экосистеме Группы Астра имеется продукт Astra Automation, который опционально входит в состав платформы. И позволяет выполнять последовательности CLI команд с воздействием на всех слоях облачной платформы.</t>
  </si>
  <si>
    <t>12.17</t>
  </si>
  <si>
    <t>Наличие инструмента для автоматизации процесса развертывания новых узлов существующей облачной платформы</t>
  </si>
  <si>
    <t>12.18</t>
  </si>
  <si>
    <t>Наличие инструмента для автоматизации процесса развертывания новой инсталляции облачной платформы через GUI и CLI</t>
  </si>
  <si>
    <t>12.19</t>
  </si>
  <si>
    <t>Наличие функционала\инструментария для миграции ВМ в\из отличных от Решения платформ виртуализации (например, VMware, FusionSphere, RDO (RedHat), Proxmox). Указать поддерживаемые.</t>
  </si>
  <si>
    <t>Инструмент qemu-img
Проприетарное ПО Mind</t>
  </si>
  <si>
    <t>12.20</t>
  </si>
  <si>
    <t>Наличие инструментария для конвертации физических машин в виртуальные</t>
  </si>
  <si>
    <t>Через проприетарное ПО Mind</t>
  </si>
  <si>
    <t>12.21</t>
  </si>
  <si>
    <t>Наличие инструментария для синхронизации настроек и пользовательских данных (аккаунты, права) облачной платформы между несколькими VIM инсталляциями</t>
  </si>
  <si>
    <t>12.22</t>
  </si>
  <si>
    <t>Наличие в составе предлагаемого решения средств автоматической установки обновлений ПО для всех управляющих компонентов облачной платформы</t>
  </si>
  <si>
    <t>ACM решает данную задачу</t>
  </si>
  <si>
    <t>12.23</t>
  </si>
  <si>
    <t>Возможность проведения автоматизированных валидационных тестов инфраструктуры после развертывания</t>
  </si>
  <si>
    <t>12.24</t>
  </si>
  <si>
    <t>Оркестрация виртуальных сущностей с использованием шаблонов или конфигурационных файлов (например, cloudinit или heat)</t>
  </si>
  <si>
    <t>12.25</t>
  </si>
  <si>
    <t>Функциональность тестирования аппаратного обеспечения с возможностью генерации синтетической нагрузки средствами облачной платформы</t>
  </si>
  <si>
    <t>12.26</t>
  </si>
  <si>
    <t>Решение полностью совместимо со стандартными ресурсными провайдерами инфраструктуры HashiCorp Terraform для управления инфрастуктурой по модели Infrastructure as a code (IaaC).</t>
  </si>
  <si>
    <t>12.27</t>
  </si>
  <si>
    <t>Возможность в автоматическом режиме разворачивать заранее предопределенные конфигурации набора виртуальных машин (IaaC)</t>
  </si>
  <si>
    <t>13</t>
  </si>
  <si>
    <t>Биллинг</t>
  </si>
  <si>
    <t>13.1</t>
  </si>
  <si>
    <t>Возможность просмотра ресурсов, доступных для конкретного проекта/пула ресурсов/tenant (vCPU, RAM, HDD etc) через GUI или интерфейс API VIM</t>
  </si>
  <si>
    <t>13.2</t>
  </si>
  <si>
    <t>Возможность интеграции Решения с внешними биллинговыми системами</t>
  </si>
  <si>
    <t>Портал самообслуживания, тарификации и биллинга из состава облачной платформы позволяет создать интеграцию с внешним BILLManager</t>
  </si>
  <si>
    <t>13.3</t>
  </si>
  <si>
    <t>Возможность автоматического расчета расходов на потребленные ресурсы/услуги локальных ресурсов</t>
  </si>
  <si>
    <t>13.4</t>
  </si>
  <si>
    <t>Наличие автоматических и кастомизируемых отчетов</t>
  </si>
  <si>
    <t>13.5</t>
  </si>
  <si>
    <t>Наличие возможности регулировать глубину хранения аналитической информации (минимальная глубина хранения 12 мес.)</t>
  </si>
  <si>
    <t>13.6</t>
  </si>
  <si>
    <t>Возможность построения трендов утилизации инфраструктуры для планирования закупки ресурсов</t>
  </si>
  <si>
    <t>14</t>
  </si>
  <si>
    <t>Емкостные характеристики</t>
  </si>
  <si>
    <t>14.1</t>
  </si>
  <si>
    <t>Емкостные характеристики предлагаемого решения соответствуют таблице 1 Приложения 2.1 с возможностью последующего горизонтального масштабирования.</t>
  </si>
  <si>
    <t>14.2</t>
  </si>
  <si>
    <t>Клиентское ПО и графические консоли управления предлагаемого решения обеспечивает время отклика не более 3 сек на операциях, не требующих обращения к серверному backend.</t>
  </si>
  <si>
    <t>14.3</t>
  </si>
  <si>
    <t>Предлагаемое решение поддерживает одновременную работу не менее 1000 активных пользователей в графических и CLI интерфейсах.</t>
  </si>
  <si>
    <t>14.4</t>
  </si>
  <si>
    <t>Предлагаемое решение не имеет ограничений по общему количеству пользователей, зарегистрированных в системе.</t>
  </si>
  <si>
    <t>14.5</t>
  </si>
  <si>
    <t>Максимальное число vCPU в одной ВМ не менее 128. Указать рекомендуемое и максимальное значение для предлагаемого решения.</t>
  </si>
  <si>
    <t>https://wiki.astralinux.ru/brest/4.0.1/maksimal-nye-znacheniya-konfiguratsii-pk-sv-331358995.html</t>
  </si>
  <si>
    <t>14.6</t>
  </si>
  <si>
    <t>Максимальный объём vRAM в одной ВМ не менее 4 TB. Указать рекомендуемое и максимальное значение для предлагаемого решения.</t>
  </si>
  <si>
    <t>14.7</t>
  </si>
  <si>
    <t>Максимальное число vDISK томов в одной ВМ не менее 30. Указать рекомендуемое и максимальное значение для предлагаемого решения.</t>
  </si>
  <si>
    <t>26 — virtio-blk; 100 — vitio-scsi</t>
  </si>
  <si>
    <t>14.8</t>
  </si>
  <si>
    <t>Максимальный объём одного vDISK в одной ВМ не менее 60 TB. Указать рекомендуемое и максимальное значение для предлагаемого решения.</t>
  </si>
  <si>
    <t>8 Пб</t>
  </si>
  <si>
    <t>14.9</t>
  </si>
  <si>
    <t>Максимальное число SCSI адаптеров в одной ВМ не менее 4. Указать рекомендуемое и максимальное значение для предлагаемого решения.</t>
  </si>
  <si>
    <t>14.10</t>
  </si>
  <si>
    <t>Максимальное число vNIC в одной ВМ не менее 10. Указать рекомендуемое и максимальное значение для предлагаемого решения.</t>
  </si>
  <si>
    <t>14.11</t>
  </si>
  <si>
    <t>Максимальное поддерживаемое число vCPU на одном узле вычислений (физическом сервере) не менее 1000. Указать рекомендуемое и максимальное значение для предлагаемого решения.</t>
  </si>
  <si>
    <t>14.12</t>
  </si>
  <si>
    <t>При использовании OpenStack keystone компонеты, возможность развертывание более 1000 физических хостов без ущерба производительности, например, путем горизонтального масштабирования сервиса keystone.</t>
  </si>
  <si>
    <t>OpenStack не используется</t>
  </si>
  <si>
    <t>14.13</t>
  </si>
  <si>
    <t>Поддержка "сырого" объема на узел хранения не менее 64TB</t>
  </si>
  <si>
    <t>14.14</t>
  </si>
  <si>
    <t>Поддержка не менее 40 дисков на узел хранения</t>
  </si>
  <si>
    <t>14.15</t>
  </si>
  <si>
    <t>Поддержка "сырого" объема на  кластер хранения не менее 8 PB</t>
  </si>
  <si>
    <t>14.16</t>
  </si>
  <si>
    <t>Поддержка не менее 3 узлов в кластере хранения</t>
  </si>
  <si>
    <t>14.17</t>
  </si>
  <si>
    <t>Отсутствие ограничений на количество портов виртуального коммутатора. Указать рекомендуемое и максимальное значение для предлагаемого решения.</t>
  </si>
  <si>
    <t>14.18</t>
  </si>
  <si>
    <t>Отсутствие ограничений на количество виртуальных логических сетей. Указать рекомендуемое и максимальное значение для предлагаемого решения.</t>
  </si>
  <si>
    <t>14.19</t>
  </si>
  <si>
    <t xml:space="preserve">Максимальное число дисков (LUNs), подключаемых по Fibre Channel/iSCSI, на один гипервизор не менее 1024. </t>
  </si>
  <si>
    <t>14.20</t>
  </si>
  <si>
    <t xml:space="preserve">Максимальное кол-во путей до дисков (LUNs), подключаемых по Fibre Channel, на один гипервизор не менее 4096. </t>
  </si>
  <si>
    <t>15</t>
  </si>
  <si>
    <t>15.1</t>
  </si>
  <si>
    <t>Предлагаемое решение имеет не менее трех коммерческих интеграций платформы в операторах связи с развернутыми в коммерческой эксплуатации VNFM других поставщиков, которые используются для автоматизации управления коммерческими VNF. Указать подтверждающие референсы (всю доступную информацию об установке) в т.ч. Интернет-Публикации о коммерческих внедрениях.</t>
  </si>
  <si>
    <t>15.2</t>
  </si>
  <si>
    <t>Предлагаемое решение имеет не менее трех коммерческих интеграций платформы в операторах связи с развернутыми в коммерческой эксплуатации NFVO других поставщиков, которые используются для оркестрации коммерческих VNF. Указать подтверждающие референсы (всю доступную информацию об установке) в т.ч. Интернет-Публикации о коммерческих внедрениях.</t>
  </si>
  <si>
    <t>15.3</t>
  </si>
  <si>
    <t>Интеграционный интерфейс в сторону VNFM (Vi-Vnfm) соответствует ETSI NFV IFA006</t>
  </si>
  <si>
    <t>15.4</t>
  </si>
  <si>
    <t>Интеграционный интерфейс в сторону NFVO (Or-Vi) соответствует ETSI NFV IFA005</t>
  </si>
  <si>
    <t>15.5</t>
  </si>
  <si>
    <t>Наличие открытой (доступной любому вендору VNF без ограничений) программы сертификации VNF для установки на предлагаемом продукте.</t>
  </si>
  <si>
    <t>15.6</t>
  </si>
  <si>
    <t>Наличие открытой (доступной любому вендору VNF без ограничений) девелоперской версии/лицензии NFVI+VIM для установки у разработчиков VNF, программы триал или лицензии позволяющей использовать в некомерческих целях (до применения в коммерческих целях).</t>
  </si>
  <si>
    <t>15.7</t>
  </si>
  <si>
    <t>Возможность использования облачной платформы в конфигурации для Edge Cloud (с минимальным количеством хостов для отказоустойчивого кластера = 3)</t>
  </si>
  <si>
    <t>15.8</t>
  </si>
  <si>
    <t>Функционал предоставления информации владельцу тенанта/пула ресурсов текущего уровня переподписки ресурсов</t>
  </si>
  <si>
    <t>В рамках запроса в HelpDesk</t>
  </si>
  <si>
    <t>15.9</t>
  </si>
  <si>
    <t>Поддержка узлом вычислений (compute node) следующих комбинаций ethernet-портов: 4 * 100GbE, 8 * 40GbE, 8 * 25 GbE, 16 * 10GbE - на compute node может использоваться один из перечисленных вариантов</t>
  </si>
  <si>
    <t>15.10</t>
  </si>
  <si>
    <t>Функционал DPDK на уровне ОС, драйверов NIC, а также vSwitch</t>
  </si>
  <si>
    <t>15.11</t>
  </si>
  <si>
    <t>Поддержка SR-IOV</t>
  </si>
  <si>
    <t>15.12</t>
  </si>
  <si>
    <t>Наличие функционала CPU pinning</t>
  </si>
  <si>
    <t>15.13</t>
  </si>
  <si>
    <t>Платформа должна обеспечивать режим размещения latency-sensitive VNF (например vBSC,  vRNC) с детерминированной планировкой и низкими задержками/джиттеров, без привязки к конкретной реализации ядра. Указать ограничения</t>
  </si>
  <si>
    <t>15.14</t>
  </si>
  <si>
    <t>Поддержка протоколов для обмена информацией между сетевой компонентой облачной платформы и SDN-DC контроллерами, реализованными в виде отдельной аппаратно-программной платформы (XMPP, OVSDB, OpenFlow, P4Runtime, gNMI/OpenConfig, gNOI, Netconf, PCEP). Указать поддерживаемые протоколы.</t>
  </si>
  <si>
    <t>15.15</t>
  </si>
  <si>
    <t>Возможность управления overlay сетями облачной платформы со стороны внешнего SDN-DC контроллера по протоколам XMPP, OVSDB, OpenFlow.</t>
  </si>
  <si>
    <t>15.16</t>
  </si>
  <si>
    <t>Возможность размещения сетевой части облачной платформы на выделенных серверах (network node), без совмещения с control node (типы нод соответствуют классификации в openstack). Платформа должна обеспечивать возможность пропуска трафика North-South требуемых виртуальных машин через выделенные сетевые узлы</t>
  </si>
  <si>
    <t>15.17</t>
  </si>
  <si>
    <t>Возможности построения и организации компонент undercloud и overcloud в высокодоступной георезервируемой конфигурации</t>
  </si>
  <si>
    <t>15.18</t>
  </si>
  <si>
    <t>Функционал IPv6 подсетей тенантов в dual-stack конфигурации (динамическое назначение IPv6 адреса виртуальным машинам используя Stateless Address Auto-configuration (SLAAC) или DHCPv6</t>
  </si>
  <si>
    <t>15.19</t>
  </si>
  <si>
    <t>Платформа должна обеспечивать возможность доставки SCTP-трафика, включая протоколы семейства SIGTRAN, к виртуальной машине с двух независимых сетевых плоскостей, подаваемых через разные физические порты сервера</t>
  </si>
  <si>
    <t>Приложение № 2.3</t>
  </si>
  <si>
    <t>Сайзинг-модель (типовые конфигурации Заказчика)</t>
  </si>
  <si>
    <t>Площадка</t>
  </si>
  <si>
    <t>Тип сервера</t>
  </si>
  <si>
    <t>Роль сервера</t>
  </si>
  <si>
    <t>Операционная система</t>
  </si>
  <si>
    <t>СУБД</t>
  </si>
  <si>
    <t>CPU, шт.</t>
  </si>
  <si>
    <t>Ядер на 1 CPU, шт.</t>
  </si>
  <si>
    <t>RAM, ГБ</t>
  </si>
  <si>
    <t>Полезный объем HDD, ГБ</t>
  </si>
  <si>
    <t>Тип дисков</t>
  </si>
  <si>
    <t>Мониторинг</t>
  </si>
  <si>
    <t>Ответ участника, указать к-во шт</t>
  </si>
  <si>
    <t>Виртуальные серверы приложений</t>
  </si>
  <si>
    <t>Основная / Резервная</t>
  </si>
  <si>
    <t>Виртуальный</t>
  </si>
  <si>
    <t>Сервер приложений</t>
  </si>
  <si>
    <t>CentOS*</t>
  </si>
  <si>
    <t>Не требуется</t>
  </si>
  <si>
    <t>SSD</t>
  </si>
  <si>
    <t>Тестовая</t>
  </si>
  <si>
    <t>Медленные</t>
  </si>
  <si>
    <t>Быстрые</t>
  </si>
  <si>
    <t>Виртуальные серверы БД</t>
  </si>
  <si>
    <t>Сервер БД</t>
  </si>
  <si>
    <t>Postgres SQL*</t>
  </si>
  <si>
    <t>Физические серверы приложений</t>
  </si>
  <si>
    <t>Физический</t>
  </si>
  <si>
    <t>Локальные</t>
  </si>
  <si>
    <t xml:space="preserve">Физические серверы БД </t>
  </si>
  <si>
    <t>Postgres SQL</t>
  </si>
  <si>
    <t>СХД</t>
  </si>
  <si>
    <t>* CentOS - Рекомендуемая ОС для ифнраструктурных серверов, может быть изменена на альтернативную ОС в случае предоставления поддержки в комплекте поставки</t>
  </si>
  <si>
    <t>Приложение № 2.4</t>
  </si>
  <si>
    <t>"Распределение обязанностей при выполнении работ"</t>
  </si>
  <si>
    <t>Применяемые в таблицах сокращения:</t>
  </si>
  <si>
    <t>З  = Обязанность лежит на Заказчике</t>
  </si>
  <si>
    <t>И =  Обязанность лежит на Исполнителе</t>
  </si>
  <si>
    <t xml:space="preserve"> -   =  Не применяется</t>
  </si>
  <si>
    <t>З/И =  Обязанность лежит на Заказчике /Исполнитель оказывает содействие и осуществляет контроль</t>
  </si>
  <si>
    <t>И/З =  Обязанность лежит на Исполнителе/Заказчик оказывает содействие и осуществляет контроль</t>
  </si>
  <si>
    <t>TBD =  Должно быть определено в каждом конкретном случае.</t>
  </si>
  <si>
    <t>Подготовка Площадок</t>
  </si>
  <si>
    <t xml:space="preserve">Площадки должны быть подготовлены Заказчиком в соответствии с отраслевыми нормативными требованиями и законодательством, а также соответствовать требованиям производителя программного обеспечения </t>
  </si>
  <si>
    <t>Распределение обязанностей</t>
  </si>
  <si>
    <t xml:space="preserve">Наименование </t>
  </si>
  <si>
    <t>Обязанность</t>
  </si>
  <si>
    <t>Подтверждение Участника (Да/Нет)</t>
  </si>
  <si>
    <t>Project Manager. Общее ведение проекта, разработка плана. Оперативный еженедельный отчет (что сделано, что планируется сделать, текущие вопросы, которые срывают сроки, ответственные, еженедельный отчет для руководства). Ответственность за срыв сроков и отставания от Плана-Графика. Организация еженедельных встреч с обсуждение текущих вопросов. Отслеживание плана-графика, решение возникающих проблем, приводящих к срыву сроков согласованного плана-графика</t>
  </si>
  <si>
    <t>И</t>
  </si>
  <si>
    <t>Тестирование на соответствие требованиям ТЗ без оплаты со стороны Заказчика</t>
  </si>
  <si>
    <t>* к тестированию допускается один участник (Победитель)</t>
  </si>
  <si>
    <t>Наименование работ</t>
  </si>
  <si>
    <t>Длительность
(не более, календарных дней)</t>
  </si>
  <si>
    <t>Составление дизайна тестовой инсталляции Платформы и плана тестирования.
План тестирования предполагает проверку функционала Платформы и совместимости с инфраструктурой Компании Заказчика, также в рамках тестирования производится миграция нескольких ВМ с текущей платформы виртуализации Заказчика для подтверждения функционала миграции.</t>
  </si>
  <si>
    <t>Утверждение дизайна тестовой инсталляции Платформы и плана тестирования</t>
  </si>
  <si>
    <t>З</t>
  </si>
  <si>
    <t>Подготовка тестовой инфраструктуры, в соответствии с утвержденным дизайном.</t>
  </si>
  <si>
    <t>Развертывание Платформы в соответствии с утвержденным дизайном тестового стенда</t>
  </si>
  <si>
    <t>Испытание Платформы на применимость в ПАО МегаФон, в рамках тестового стенда. Формирование перечня замечаний.</t>
  </si>
  <si>
    <t>Составление Акта тестирования (включая перечень замечаний со сроками устранения)</t>
  </si>
  <si>
    <t>Разработка HLD/LLD дизайна</t>
  </si>
  <si>
    <t>Сроки выполнения работ</t>
  </si>
  <si>
    <t>Предоставление опросных листов для разработки HLD, LLD и схем интеграции</t>
  </si>
  <si>
    <t>Заполнение опросных листов для разработки HLD, LLD и схем интеграции</t>
  </si>
  <si>
    <t>Подготовка и предоставление дизайна HLD и схем интеграций с учетом географического распределения с возможностью масштабирования как внутри площадки, так и возможность добавления новой площадки. Площадки могут быть с наличием системы управления, так и без. Разработка LLD (e2e дизайн), включая физические и логические схемы подключения к сетевой фабрике, дизайн оборудования в стойке\на площадке и детальную схему кабельных соединений, IP-план, схемы маршрутизации трафика, детализированная проработка согласованного решения до уровня шаблонов конфигурации, определение информационной модели - состава данных для инфообмена с системами Заказчика в рамках интеграций</t>
  </si>
  <si>
    <t>не более 2 недель на площадку</t>
  </si>
  <si>
    <t>Предоставление исходных данных для сетевого планирования</t>
  </si>
  <si>
    <t>Сетевое планирование, подготовка пакета документации</t>
  </si>
  <si>
    <t>Утверждение документации.</t>
  </si>
  <si>
    <t>Установка и конфигурирование Платформы, 
включая обеспечение ее корректного взаимодействия и интеграции с системами Заказчика*</t>
  </si>
  <si>
    <t>*Процесс установки и настройки одной из инсталляций Платформы должен быть проведен в формате видеоконференции с передачей знаний персоналу Заказчика.</t>
  </si>
  <si>
    <t>Наименование Работ</t>
  </si>
  <si>
    <t>Предоставление Оборудования для развертывания Платформы</t>
  </si>
  <si>
    <t>Инвентаризация Оборудования на соответствие предоставленной спецификации</t>
  </si>
  <si>
    <t>И/З</t>
  </si>
  <si>
    <t>Проверка наличия и комплектности технической документации, поставленной Заказчику</t>
  </si>
  <si>
    <t>Планирование изменения аппаратной реализации по результатам инвентаризации</t>
  </si>
  <si>
    <t>Проведение изменений аппаратной реализации по результатам инвентаризации</t>
  </si>
  <si>
    <t>Согласование перечня ПО</t>
  </si>
  <si>
    <t>Поставка ПО</t>
  </si>
  <si>
    <t>Проверка наличия программного обеспечения в соответствии с проектной документацией</t>
  </si>
  <si>
    <t>Установка и конфигурирование Платформы, включая гипервизоры и управляющие элементы</t>
  </si>
  <si>
    <t>Не более 5 недель на площадку</t>
  </si>
  <si>
    <t>Установка и активация лицензий</t>
  </si>
  <si>
    <t>Конфигурирование сетевой подсистемы, подсистемы хранения и настроек безопасности Платформы</t>
  </si>
  <si>
    <t>Настройка Платформы для обеспечения ее корректного взаимодействия со смежными системами. Фиксация проблем взаимодействия.</t>
  </si>
  <si>
    <t>Привлечение профильных специалистов Заказчика для решения проблем взаимодействия Платформы со смежными системами</t>
  </si>
  <si>
    <t>Консультационная поддержка и проактивное взаимодействие с производителями смежных компонентов (HW, СХД, SAN, NET) в рамках решения мультивендорных вопросов (в частности, по вопросам совместимости и консистентности реализованных интеграций)</t>
  </si>
  <si>
    <t>Устранение проблем взаимодействия Платформы со смежными системами</t>
  </si>
  <si>
    <t>Настройка приложений и конфигурирование устанавливаемого ПО для организации интеграций и взаимодействия с системами Заказчика (см приложение 2.5):
 * Разработка необходимых шаблонов для передачи данных\метрик\сообщений\аварий по интеграции
 * Настройка интеграции для двустороннего инфообмена между Платформой и интегрируемой внешней системой.
 * Документирование интеграции и форматов передаваемых данных\метрик\сообщений
 * Устранение выявленных недостатков</t>
  </si>
  <si>
    <t>Мониторинг стабильности работы установленного ПО и его реконфигурация при необходимости после переключения коммерческой нагрузки</t>
  </si>
  <si>
    <t>Приемо-сдаточные испытания</t>
  </si>
  <si>
    <t>Приемо-сдаточные испытания необходимы для проверки работоспособности программного обеспечения. Испытания проводятся на основании стандартных процедур производителя, а также процедур сдачи-приемки, определенные между Заказчиком и Исполнителем, если таковые были установлены при подписании Заказа. В ходе приемо-сдаточных испытаний Исполнитель демонстрирует Заказчику соответствие характеристик программного обеспечения, введенного в эксплуатацию в рамках выполнения Заказа, заявленным производителем. По окончании работ, в случае успешных испытаний Стороны подписывают Акт технической приемки, на основании которого Стороны подписывают Акт сдачи-приемки.</t>
  </si>
  <si>
    <t>Подготовка и согласование программы Приемо-сдаточных испытаний, включая, но не ограничиваясь:
 - Исполнение функционального тестирования Платформы
 - Исполнение нагрузочного тестирования Платформы
 - Исполнение сценариев проверки работоспособности интеграций с системами Заказчика</t>
  </si>
  <si>
    <t>Подготовка Платформы заданной конфигурации к приемо-сдаточным испытаниям</t>
  </si>
  <si>
    <t>Предоставление специалистов подразделений эксплуатации, необходимых для приемки программного обеспечения</t>
  </si>
  <si>
    <t>Проведение Приемо-сдаточных испытаний в соответствии с согласованной программой Приемо-сдаточных испытаний</t>
  </si>
  <si>
    <t>Устранение замечаний, выявленных в рамках Приемо-сдаточных испытаний</t>
  </si>
  <si>
    <t>Составление отчета о Приемо-сдаточных испытаниях  (включая перечень замечаний со сроками устранения)</t>
  </si>
  <si>
    <t>Составление Акта выполненных Работ</t>
  </si>
  <si>
    <t>Приложение № 2.5</t>
  </si>
  <si>
    <t>Требования к интеграциям</t>
  </si>
  <si>
    <t>Задача интеграции</t>
  </si>
  <si>
    <t>Программный продукт</t>
  </si>
  <si>
    <t>Поддержка версий не ниже:</t>
  </si>
  <si>
    <t>Протоколы</t>
  </si>
  <si>
    <t>Интеграция с со службой каталогов.</t>
  </si>
  <si>
    <t xml:space="preserve">Microsoft Active Directory </t>
  </si>
  <si>
    <t xml:space="preserve">DomainMode - Windows2016Domain, Schema Version 88. </t>
  </si>
  <si>
    <t>LDAPS, Kerberos, SAML, OAuth 2.0 / OpenID Connect (OIDC)</t>
  </si>
  <si>
    <t>ALD PRO</t>
  </si>
  <si>
    <t>ALD PRO 2.5.0</t>
  </si>
  <si>
    <t>Интеграция с SIEM системой для выявления инцидентов ИБ.</t>
  </si>
  <si>
    <t>после подписания NDA</t>
  </si>
  <si>
    <t>Интеграция с почтовой системой</t>
  </si>
  <si>
    <t>Microsoft Exchange</t>
  </si>
  <si>
    <t>2019 (15.2)</t>
  </si>
  <si>
    <t>SMTP TLS 1.2</t>
  </si>
  <si>
    <t>Интеграция с мониторингом заказчика.</t>
  </si>
  <si>
    <t>Zabbix</t>
  </si>
  <si>
    <t>SNMPv3,  IPMI, API</t>
  </si>
  <si>
    <t>Интеграция с системой учета CMDB (выгрузка инвентарной информации)</t>
  </si>
  <si>
    <t>Web-сервис, реализованный на стеке Oracle СУБД + Oracle APEX.</t>
  </si>
  <si>
    <t>REST API, DBLINK</t>
  </si>
  <si>
    <t>Интеграция с автоматизацией CloudBot по созданию/изменению/удалению ВМ 
Поддержка функц. требований 12.6-12.12</t>
  </si>
  <si>
    <t>Собственная разработка</t>
  </si>
  <si>
    <t>REST API</t>
  </si>
  <si>
    <t>Интеграция с SM.</t>
  </si>
  <si>
    <t>Micro Focus Service Manager 9.64.2002-P2</t>
  </si>
  <si>
    <t>SOAP основной и предпочтительный,
REST урезанный функционал.</t>
  </si>
  <si>
    <t>Приложение № 2.6</t>
  </si>
  <si>
    <t>Требования к Технической поддержке в гарантийный и послегарантийный периоды</t>
  </si>
  <si>
    <t>Требование</t>
  </si>
  <si>
    <t>Подтверждение
Участника
(Да/Нет)</t>
  </si>
  <si>
    <t>Срок поддержки Системы (End of Support) должен заканчиваться не ранее, чем через 84 месяца после ввода Системы в Промышленную эксплуатацию.</t>
  </si>
  <si>
    <t>На всю поставляемую Продукцию, лицензии и работы предоставляется срок гарантии не менее 24 месяцев (с возможностью продления услуг ТП), включая мажорные и минорные обновления ПО, начиная от даты подписания Заказчиком Акта приемки полностью законченного проекта.</t>
  </si>
  <si>
    <t>Участник подтверждает готовность оказывать услуги послегарантийной технической поддержки на условиях и в соответствии с требованиями Технического задания (включая приложения к ТЗ) не менее 5 лет после окончания срока гарантийной поддержки.</t>
  </si>
  <si>
    <t>Поддержка должна предоставляться для перечня инсталляций ПО на инфраструктуре Заказчика с условием возможного переименования линейки продуктов или конкретного экземпляра ПО.</t>
  </si>
  <si>
    <t>Техническая поддержка должна включать возможности:</t>
  </si>
  <si>
    <t xml:space="preserve"> - Непосредственного взаимодействия с инженерами Исполнителя в рамках Кейсов по телефону, электронной почте, а также в онлайн сессиях с помощью системы аудио/видеоконференцсвязи Заказчика, использование других систем не допускается.</t>
  </si>
  <si>
    <t xml:space="preserve"> - Предоставления Услуг технической поддержки без выезда на Площадку, в том числе с помощью удаленного доступа.</t>
  </si>
  <si>
    <t xml:space="preserve"> - Последующий контроль решения Проблем уровня "Критичный" в режиме Online до предоставления Постоянного решения.</t>
  </si>
  <si>
    <t xml:space="preserve"> - Предоставления новых версий программного обеспечения и обновлений программного обеспечения в рамках закупленного функционала для устранения Проблем или обеспечения полного набора услуг технической поддержки.</t>
  </si>
  <si>
    <t xml:space="preserve"> - Предоставления материалов, необходимых Заказчику для своевременной подготовки системы к установке и эксплуатации новой версии ПО.</t>
  </si>
  <si>
    <t xml:space="preserve"> - Консультации по Обновлению до новых версий ПО, консультации по установке обновлений на текущую версию ПО.</t>
  </si>
  <si>
    <t xml:space="preserve"> - Консультации по эксплуатации ПО, включая вопросы:
 o Инсталляции и конфигурирования 
 o Оптимизации производительности
 o Обеспечения высокой доступности сервисов, предоставляемых ПО
 o Резервного копирования и методов предотвращения потерь данных
 o Обеспечения информационной безопасности
 o Способов диагностики и идентификации проблем
 o Практик организации мониторинга</t>
  </si>
  <si>
    <t xml:space="preserve"> - Установки ПО:</t>
  </si>
  <si>
    <t xml:space="preserve">  o   Установка новых версий ПО (без/с добавлением новой функциональности).</t>
  </si>
  <si>
    <t xml:space="preserve">  o   Установка обновлений ПО.</t>
  </si>
  <si>
    <t xml:space="preserve">  o   Поддержка установки новых версий ПО по согласованному удаленному доступу.</t>
  </si>
  <si>
    <t xml:space="preserve">  o   Поддержка установки обновления ПО по согласованному удаленному доступу.</t>
  </si>
  <si>
    <t xml:space="preserve">  o   Возможность отката на предыдущую версию ПО.</t>
  </si>
  <si>
    <t xml:space="preserve">  o   Предоставление инструкции по обновлению ПО с перечнем совместимости версий компонентов системы/ОС.</t>
  </si>
  <si>
    <t>Техническая поддержка должна обеспечивать возможность открытия Кейсов по телефону, электронной почте, на портале поддержки Исполнителя.</t>
  </si>
  <si>
    <t>Возможность создания обращений в техническую поддержку должна быть в круглосуточном режиме 24/7/365, вне зависимости от уровня критичности обращения.</t>
  </si>
  <si>
    <t>В рамках технической поддержки на Портале Исполнителя должно быть организовано:</t>
  </si>
  <si>
    <t xml:space="preserve"> - Хранилище дистрибутивов с информацией о контрольных суммах дистрибутивов.</t>
  </si>
  <si>
    <t xml:space="preserve"> - Информационный портал с документацией для обеспечения Информационного сопровождения.</t>
  </si>
  <si>
    <t xml:space="preserve"> - Система приема и обработки заявок от Заказчика (Кейсов).</t>
  </si>
  <si>
    <t xml:space="preserve"> - Информирование о наборе, типе и сроке действующих лицензий Заказчика.</t>
  </si>
  <si>
    <t>Исполнитель должен обеспечить возможность выгрузки информации об истории Кейсов поддержки с Портала Исполнителя, либо в рамках Консультационного кейса.</t>
  </si>
  <si>
    <t>В рамках поддержки, на портале Исполнителя для Заказчика должен быть организован личный кабинет, весь функционал, касающийся оформления и ведения кейсов должен быть доступен в том числе, через Портал. К личному кабинету Заказчика, данным и файлам, загружаемым на Портал, не должны иметь доступ третьи лица.</t>
  </si>
  <si>
    <t>Портал поддержки Исполнителя должен располагаться в сети Интернет и быть доступным с территории РФ, портал должен работать по защищенному каналу (https).</t>
  </si>
  <si>
    <t>Вся необходимая диагностическая информация (логи, файлы конфигураций, дампы, образы, снапшоты) передаются Исполнителю через портал Исполнителя, доступный с территории РФ, через защищенный канал передачи данных (SFTP/https) либо через портал Заказчика, доступный из сети Интернет. Способ передачи данных определяет Заказчик.</t>
  </si>
  <si>
    <t>Резервным способом передачи информации является электронная почта, при этом данные по Кейсу должны пересылаться в зашифрованном архиве, защищенном паролем. Пароль должен отвечать требованиям Компании к парольной защите (минимум 16 символов трех групп символов, двух разных раскладок). Пароль от архива при этом должен передаваться с помощью альтернативного метода связи, например, смс сообщения.</t>
  </si>
  <si>
    <t>Оказываемая техническая поддержка, не накладывает никаких временных и функциональных ограничений и не требует дополнительной оплаты или покупки расширенных условий технической поддержки.</t>
  </si>
  <si>
    <t>Поддержка должна осуществляться для всех, поставляемых в рамках закупочной процедуры, продуктов, включая ОС инфраструктурных серверов, поставляемых в рамках данного ТЗ.</t>
  </si>
  <si>
    <t>Требование к уровню технической поддержки</t>
  </si>
  <si>
    <r>
      <rPr>
        <sz val="12"/>
        <color theme="1"/>
        <rFont val="Arial Narrow"/>
        <family val="2"/>
        <charset val="204"/>
      </rPr>
      <t xml:space="preserve"> - Поддержка должна осуществляться в соответствии с согласованным c Заказчиком</t>
    </r>
    <r>
      <rPr>
        <b/>
        <sz val="12"/>
        <color theme="1"/>
        <rFont val="Arial Narrow"/>
        <family val="2"/>
        <charset val="204"/>
      </rPr>
      <t xml:space="preserve"> SLA</t>
    </r>
    <r>
      <rPr>
        <sz val="12"/>
        <color theme="1"/>
        <rFont val="Arial Narrow"/>
        <family val="2"/>
        <charset val="204"/>
      </rPr>
      <t xml:space="preserve"> (см. Таблица 1 и Таблица 2)</t>
    </r>
  </si>
  <si>
    <t xml:space="preserve"> - Степень критичности кейса определяется Заказчиком и может быть изменена только с согласования Заказчика</t>
  </si>
  <si>
    <t xml:space="preserve"> - Количество кейсов любой степени критичности не ограничено</t>
  </si>
  <si>
    <r>
      <rPr>
        <b/>
        <sz val="12"/>
        <rFont val="Arial Narrow"/>
        <family val="2"/>
        <charset val="204"/>
      </rPr>
      <t>Штрафные санкции</t>
    </r>
    <r>
      <rPr>
        <sz val="12"/>
        <rFont val="Arial Narrow"/>
        <family val="2"/>
        <charset val="204"/>
      </rPr>
      <t xml:space="preserve"> в гарантийный и послегарантийный периоды перечислены в Таблице 3.
«Санкции для запросов Услуг Технической поддержки Программного обеспечения, открытых в пределах срока действия Договора и Заказа могут рассчитываться и применяться ежеквартально на основании превышения сроков, установленных в SLA. 
Моментом расчета санкций является последний календарный день расчетного квартала.</t>
    </r>
  </si>
  <si>
    <r>
      <rPr>
        <sz val="12"/>
        <color theme="1"/>
        <rFont val="Arial Narrow"/>
        <family val="2"/>
        <charset val="204"/>
      </rPr>
      <t>Исполнитель подтверждает готовность предоставления Отчетности по ТП заказчику. Отчетность по Технической поддержке подразумевает регулярное</t>
    </r>
    <r>
      <rPr>
        <sz val="12"/>
        <rFont val="Arial Narrow"/>
        <family val="2"/>
        <charset val="204"/>
      </rPr>
      <t xml:space="preserve"> (в конце каждого квартала</t>
    </r>
    <r>
      <rPr>
        <sz val="12"/>
        <color theme="1"/>
        <rFont val="Arial Narrow"/>
        <family val="2"/>
        <charset val="204"/>
      </rPr>
      <t>) сообщение Заказчику</t>
    </r>
    <r>
      <rPr>
        <sz val="12"/>
        <rFont val="Arial Narrow"/>
        <family val="2"/>
        <charset val="204"/>
      </rPr>
      <t xml:space="preserve"> о выполнении всех мероприятий (кейсов, инф. запросов, уведомлений), предусмотренных Технической поддержкой.</t>
    </r>
    <r>
      <rPr>
        <sz val="12"/>
        <color theme="1"/>
        <rFont val="Arial Narrow"/>
        <family val="2"/>
        <charset val="204"/>
      </rPr>
      <t xml:space="preserve"> Формат отчетности и способ передачи согласовывается с Заказчиком отдельно.</t>
    </r>
  </si>
  <si>
    <t>Поквартальная приемка и оплата услуг.</t>
  </si>
  <si>
    <t>Предоставление дистрибутивов/патчей/доступа к базе знаний не являются обращениями/кейсами</t>
  </si>
  <si>
    <t>Таблица 1</t>
  </si>
  <si>
    <t>Уровень критичности</t>
  </si>
  <si>
    <t>Описание</t>
  </si>
  <si>
    <t>Критичный</t>
  </si>
  <si>
    <t>Ошибка в промышленно эксплуатируемой Платформе, при возникновении которой зафиксировано значительное негативное влияние на потребителей ИС.
Нарушение функциональности системы, не позволяющее выполнять критичные для бизнеса операции</t>
  </si>
  <si>
    <t>Средний</t>
  </si>
  <si>
    <t>Ошибка в промышленно эксплуатируемой Платформе, в результате которой стала невозможной эксплуатация части функций ПО.
Запрос характеризуется одним или несколькими критериями:
повреждение данных;
недоступность части задокументированной функциональности системы;
система произвольно зависает, приводя к неприемлемым и неопределённым задержкам; 
Cистемные сбои, повторяющиеся после перезагрузки системы. 
Важные компоненты системы недоступны, отсутствуют обходные пути решения проблемы, бизнес-операции могут выполняться в ограниченной функциональности. </t>
  </si>
  <si>
    <t>Низкий</t>
  </si>
  <si>
    <t>Ошибки на Платформе, не подходящие под определение Критичных или Средних.</t>
  </si>
  <si>
    <t>Консультация</t>
  </si>
  <si>
    <t>Предоставление специалистам Заказчика консультаций.</t>
  </si>
  <si>
    <t>Таблица 2</t>
  </si>
  <si>
    <t>Услуга</t>
  </si>
  <si>
    <t>Время реагирования</t>
  </si>
  <si>
    <t>Предельное время предоставления Временного решения проблемы</t>
  </si>
  <si>
    <t>Предельное время предоставления Постоянного решения проблемы</t>
  </si>
  <si>
    <t>Доступность обслуживания</t>
  </si>
  <si>
    <t>Принятие в работу и решение запроса уровня "Критичный" в установленные сроки</t>
  </si>
  <si>
    <t>Не более получаса</t>
  </si>
  <si>
    <t>Не более 4 часов</t>
  </si>
  <si>
    <t>Не более 10 рабочих дней</t>
  </si>
  <si>
    <t>24x7</t>
  </si>
  <si>
    <t>Принятие в работу и решение запроса уровня "Средний" в установленные сроки</t>
  </si>
  <si>
    <t>Не более 1 часа</t>
  </si>
  <si>
    <t>Не более 1 рабочего дня</t>
  </si>
  <si>
    <t>Не более 20 рабочих дней</t>
  </si>
  <si>
    <t>8x5</t>
  </si>
  <si>
    <t>Принятие в работу и решение запроса уровня "Низкий" в установленные сроки</t>
  </si>
  <si>
    <t>Не более 5 рабочих дней</t>
  </si>
  <si>
    <t>Не более 30 рабочих дней</t>
  </si>
  <si>
    <t>Принятие в работу и решение запроса уровня "Консультация" в установленные сроки</t>
  </si>
  <si>
    <t>Не более 2 рабочих дней</t>
  </si>
  <si>
    <t>Таблица 3</t>
  </si>
  <si>
    <t>Размер штрафных санкций, за превышение Времени предоставления решений и Времени реакции</t>
  </si>
  <si>
    <t xml:space="preserve">100 000 рублей по истечении каждого периода равного сроку предоставления Временного решения по запросам Уровня 1 в соответствии с Таблицей 2; </t>
  </si>
  <si>
    <t xml:space="preserve">30 000 рублей по истечении каждого периода равного Времени реагирования по запросам уровня 1 в соответствии с Таблицей 2; </t>
  </si>
  <si>
    <t xml:space="preserve">70 000 рублей по истечении каждого периода равного сроку предоставления Постоянного решения по запросам уровня 1 в соответствии с Таблицей 2 </t>
  </si>
  <si>
    <t xml:space="preserve">70 000 рублей по истечении каждого периода равного сроку предоставления Временного решения по запросам уровня 2 в соответствии с Таблицей 2; </t>
  </si>
  <si>
    <t xml:space="preserve">70 000 рублей по истечении каждого периода равного сроку предоставления Постоянного решения по запросам уровня 2 в соответствии с Таблицей 2; </t>
  </si>
  <si>
    <t xml:space="preserve">50 000 рублей по истечении каждого периода равного сроку предоставления Постоянного решения по запросам уровня 3 в соответствии с Таблицей 2; </t>
  </si>
  <si>
    <t>Консультации</t>
  </si>
  <si>
    <t>50 000 рублей по истечении каждого периода равного сроку предоставления Постоянного решения по запросам уровня 4 в соответствии с Таблицей 2</t>
  </si>
  <si>
    <t>Установка новой версии/обновления ПО</t>
  </si>
  <si>
    <t>70 000 рублей за каждый случай неуспешной установки Обновления ПО и/или новой Версии ПО, повлекшие возникновение аварийной ситуации Уровня критичности 1 по причине некорректной работы ПО или по причине предоставления некорректной инструкции по установке Обновления  ПО и/или новой Версии ПО.</t>
  </si>
  <si>
    <t>Предоставление отчетности</t>
  </si>
  <si>
    <r>
      <rPr>
        <sz val="11"/>
        <color theme="1"/>
        <rFont val="Arial Narrow"/>
        <family val="2"/>
        <charset val="204"/>
      </rPr>
      <t>10 000 рублей за каждый Рабочий день задержки предоставления отчетности</t>
    </r>
    <r>
      <rPr>
        <sz val="11"/>
        <color rgb="FFFF0000"/>
        <rFont val="Times New Roman"/>
        <family val="1"/>
        <charset val="204"/>
      </rPr>
      <t>.</t>
    </r>
  </si>
  <si>
    <t>Штрафные санкции по каждому Запросу (кейсу) начисляются столько раз, сколько раз истек
срок, установленный в соответствии с Договором для реагирования по Запросам (кейсам).</t>
  </si>
  <si>
    <t>Приложение № 2.7</t>
  </si>
  <si>
    <t>Требования к Поставщику</t>
  </si>
  <si>
    <t>Требования к поставщику</t>
  </si>
  <si>
    <t>Ответ
участника
(Да/Нет)</t>
  </si>
  <si>
    <t>Комментарии участника</t>
  </si>
  <si>
    <t>1</t>
  </si>
  <si>
    <t>Авторизация от производителя решения. Предоставить Авторизационное письмо в составе Технического предложения</t>
  </si>
  <si>
    <t>2</t>
  </si>
  <si>
    <t>Наличие успешных реализаций в сложной геораспределенной инфраструктуре, сопоставимых по масштабам инфраструктуры проектов</t>
  </si>
  <si>
    <t>Наличие внедрений в сложной геораспределенной инфраструктуре</t>
  </si>
  <si>
    <t>Опыт работы сотрудников Исполнителя от 3 лет на сопоставимых по масштабам проектах, имеющих опыт и достаточную квалификацию для поддержки ПО, работающего в условиях высокой нагрузки, в режиме 24x7.</t>
  </si>
  <si>
    <t>5</t>
  </si>
  <si>
    <t>Перед началом работ Исполнитель обязуется подписать с Заказчиком договор о неразглашении NDA Предоставить скан подписанного NDA в составе Технического Предложения.</t>
  </si>
  <si>
    <t>6</t>
  </si>
  <si>
    <t>На этапе внедрения Исполнитель обязан предоставить выделенного Project Manager, в обязанности которого входит: Общее ведение проекта, разработка плана. Оперативный еженедельный отчет (что сделано, что планируется сделать, текущие вопросы, которые срывают сроки, ответственные, еженедельный отчет для руководства). Организация еженедельных встреч с обсуждение текущих вопросов. Отслеживание плана-графика, решение возникающих проблем, приводящих к срыву сроков согласованного плана-графика.</t>
  </si>
  <si>
    <t>Приложение № 2.8</t>
  </si>
  <si>
    <t>Примерные конфигурации типового HW ПАО "МегаФон</t>
  </si>
  <si>
    <t>1.</t>
  </si>
  <si>
    <t xml:space="preserve">ThinkSystem SR665 </t>
  </si>
  <si>
    <t>ThinkSystem AMD EPYC 9355 32C 280W 3.55GHz Processor</t>
  </si>
  <si>
    <t>ThinkSystem 64GB TruDDR5 6400MHz (2Rx4) RDIMM-A</t>
  </si>
  <si>
    <t>ThinkSystem 7mm S4520 960GB Read Intensive SATA 6Gb HS SSD</t>
  </si>
  <si>
    <t>ThinkSystem 2.5" U.2 PM9D5a 6.4TB Mixed Use NVMe NVMe PCIe 5.0 x4 HS SSD</t>
  </si>
  <si>
    <t>ThinkSystem Mellanox ConnectX-6 Lx 10/25GbE SFP28 2-port PCIe Ethernet Adapter</t>
  </si>
  <si>
    <t>ThinkSystem QLogic QLE2772 32Gb 2-Port PCIe Fibre Channel Adapter</t>
  </si>
  <si>
    <t>ThinkSystem V3 2U x16/x8/x8 PCIe Gen4 Riser1 or 2</t>
  </si>
  <si>
    <t>ThinkSystem V3 2U x16/x16/E PCIe Gen4 Riser1 or 2</t>
  </si>
  <si>
    <t>ThinkSystem 2U/4U 8x2.5" NVMe Backplane</t>
  </si>
  <si>
    <t>ThinkSystem 7mm SATA/NVMe 2-Bay Rear Hot-Swap RAID Enablement Kit</t>
  </si>
  <si>
    <t>2.</t>
  </si>
  <si>
    <t>2288H V6 (8*2.5inch HDD Chassis, With 2*GE and 2*10GE SFP+(Without Optical Transceiver)) H22H-05(For oversea)</t>
  </si>
  <si>
    <t>Intel Xeon Gold 6342(2.8GHz/24-Core/36MB/230W)Ice lake Processor (with 2U heatpipe heatsink)</t>
  </si>
  <si>
    <t>DDR4 RDIMM-64GB-288pin-0.625ns-3200000KHz-1.2V-ECC-2Rank(4G*4bit)</t>
  </si>
  <si>
    <t>M.2 SSD,SATA 6Gb/s-480GB,hot-swappable</t>
  </si>
  <si>
    <t>SSD,1600GB,NVMe PCIe,Mixed Use,P5620 Series,2.5inch(2.5inch Drive Bay)</t>
  </si>
  <si>
    <t>SSD,7680GB,SAS 12Gb/s,Read Intensive,PM1653 Series,2.5inch(2.5inch Drive Bay)</t>
  </si>
  <si>
    <t>SAS/SATA RAID Card MR,RAID0,1,5,6,10,50,60,4GB Cache,Support SuperCap and Sideband Management-3508 BCM</t>
  </si>
  <si>
    <t>35xx/39xx RAID Card SuperCap</t>
  </si>
  <si>
    <t>Ethernet Adapter,25GE(Intel E810),Dual-Port,SFP28,PCIE 4.0 x8-Vendor ID 8086-Device ID 159b-2-Subvendor ID 8086-Subdevice ID 0005</t>
  </si>
  <si>
    <t>1*16X+2*8X SLOT(PCIE4.0)-RISER1&amp;2 Module</t>
  </si>
  <si>
    <t>Rear PSU 4*2.5 inch Hard Disk Backplane Module with Air duct(for NVME)</t>
  </si>
  <si>
    <t>XP210 Ethernet Adapter,1Gb Electrical Interface(Intel I350),2-Port,RJ45,PCIe 2.0 x4</t>
  </si>
  <si>
    <t>Network Card,25G Optical Port(E810XXVDA2G1P5 978333)-Dual Port,SFP28(without Optical Transceiver)-PCIE 4.0 X8-8086-159b|0003-2</t>
  </si>
  <si>
    <t>Emulex,HBA Card LPE35002-AP,FC Double Ports--32Gb/s,SFP28+(with 2x Multi-mode Optical Transceiver),PCIE 4.0 x8-Vendor ID 10DF-Device ID F400-2</t>
  </si>
  <si>
    <t>XR230-M,Avago3004,M.2 RAID PCIE card-RAID0,1,JBOD,Support Sideband Management,PCIE 3.0 X8,No Cache,HH/HL</t>
  </si>
  <si>
    <t>3.</t>
  </si>
  <si>
    <t>2288H V5 (8*2.5inch HDD Chassis, With 2*GE and 2*10GE SFP+(Without Optical Transceiver)) H22H-05(For oversea)</t>
  </si>
  <si>
    <t>Intel Xeon Gold 6242R(3.1GHz/20-Core/35.75MB/205W)Cascade lake Processor (with heatsink)</t>
  </si>
  <si>
    <t>DDR4 RDIMM,32GB,288pin,0.625ns,3200000KHz,1.2,ECC,2Rank(2G*4bit)</t>
  </si>
  <si>
    <t>Hard Disk(with 2.5" Front Panel)-SSD</t>
  </si>
  <si>
    <t xml:space="preserve"> </t>
  </si>
  <si>
    <t>SSD,1920GB,SATA 6Gb/s,Read intensive,PM893 Series,2.5inch(2.5inch Drive Bay)</t>
  </si>
  <si>
    <t>SSD,480GB,SATA 6Gb/s,Read Intensive,ER2-CD Series,2.5inch(2.5inch Drive Bay)</t>
  </si>
  <si>
    <t>Hard Disk(with 2.5" Front Panel)-NVMe</t>
  </si>
  <si>
    <t>SSD,7680GB,NVMe PCIe,Read Intensive,PM9A3 Series,2.5inch(2.5inch Drive Bay)</t>
  </si>
  <si>
    <t>Riser Card</t>
  </si>
  <si>
    <t>3*x8 (x16 slot) Riser1 Module</t>
  </si>
  <si>
    <t>Rear 4*2.5 inch Hard Disk Backplane Module</t>
  </si>
  <si>
    <t>PCIe Card-NIC</t>
  </si>
  <si>
    <t>Ethernet Adapter,25Gb Optical Interface(Mellanox CX4-lx EN),2-Port,SFP28(without Optical Transceiver),PCIe 3.0 x8</t>
  </si>
  <si>
    <t>PCIe Card-SAS/RAID card</t>
  </si>
  <si>
    <t>SR430C-M 1G(LSI3108) SAS/SATA RAID Card,RAID0,1,5,6,10,50,60,12Gb/s,1GB Cache</t>
  </si>
  <si>
    <t>LSI3108 1GB RAID controller supercap(4GB,with a cable and supercap tray),used for rack servers/X6800</t>
  </si>
  <si>
    <t>4.</t>
  </si>
  <si>
    <t>Enclosure (2*CMC / PSU 6*3000W220v AC / 2*ETH switch (4*10GbT, 1*40GbE QSFP+, 2*100GbE Q28) / 2*SAN switch (32*FC32 max, 16*FC32 active))</t>
  </si>
  <si>
    <t>Intel Xeon Gold 6248R 24 ядра 3.0 ГГц 205 Вт</t>
  </si>
  <si>
    <t>Модуль памяти RDIMM 64 Гбайт, 3200 МТ/с, двухранговый</t>
  </si>
  <si>
    <t>RAID-контроллер (LSI SAS3108)</t>
  </si>
  <si>
    <t>Контроллер сети Ethernet 10/25 Гбит (iSCSI/FCoE) 2 порта (QLogic 41262), мезонин</t>
  </si>
  <si>
    <t>Контроллер сети FibreChannel 32 Гбит 2 порта (Emulex LPm32002), мезонин</t>
  </si>
  <si>
    <t>НЖМД 600 ГБ 10000 об/мин 12 Гбит SAS 2.5 дюйма, горячая замена, 512n</t>
  </si>
  <si>
    <t>Адаптер с SD-накопителем vFlash 16ГБ</t>
  </si>
  <si>
    <t>5.</t>
  </si>
  <si>
    <t>19" Server 2RU</t>
  </si>
  <si>
    <t>Intel Xeon 6548Y+</t>
  </si>
  <si>
    <t>DDR5 64 GB</t>
  </si>
  <si>
    <t>Ethernet 10/25Gb 2-port SFP28</t>
  </si>
  <si>
    <t>Ethernet Card-2*GE dual port-RJ45</t>
  </si>
  <si>
    <t>Hardware RAID 1 support</t>
  </si>
  <si>
    <t>SSD 800Gb</t>
  </si>
  <si>
    <t>SATA/SAS 24Gb/s HBA Card JBOD</t>
  </si>
  <si>
    <t>NVMe SSD 1600GB</t>
  </si>
  <si>
    <t>SSD 7680GB</t>
  </si>
  <si>
    <t>Приложение № 2.9</t>
  </si>
  <si>
    <t>Соответствие ГОСТ Р 56938</t>
  </si>
  <si>
    <t>Требования</t>
  </si>
  <si>
    <t>Сроки доработки (если частично/нет)</t>
  </si>
  <si>
    <t>13.1.</t>
  </si>
  <si>
    <t>Защита средств создания и управления виртуальной инфраструктурой</t>
  </si>
  <si>
    <t>Мерами защиты средств создания и управления виртуальной инфраструктурой являются:</t>
  </si>
  <si>
    <t>13.1.1.</t>
  </si>
  <si>
    <t xml:space="preserve"> автоматическое изменение маршрутов передачи сетевых пакетов между компонентами виртуальной инфраструктуры внутри гипервизора;</t>
  </si>
  <si>
    <t>13.1.2.</t>
  </si>
  <si>
    <t xml:space="preserve"> блокировка доступа к объектам виртуальной инфраструктуры для субъектов доступа, непрошедших процедуру аутентификации;</t>
  </si>
  <si>
    <t>13.1.3.</t>
  </si>
  <si>
    <t xml:space="preserve"> выявление, анализ и блокирование внутри виртуальной инфраструктуры скрытых каналов передачи информации в обход реализованных мер ЗИ или внутри разрешенных сетевых протоколов;</t>
  </si>
  <si>
    <t>13.1.4.</t>
  </si>
  <si>
    <t xml:space="preserve"> защита от НСД к вводимой субъектами доступа, входящими в состав виртуальной инфраструктуры. аутентификационной информации;</t>
  </si>
  <si>
    <t>13.1.5.</t>
  </si>
  <si>
    <t xml:space="preserve"> защита от НСД к хранящейся в компонентах виртуальной инфраструктуры аутентификационной информации о субъектах доступа;</t>
  </si>
  <si>
    <t>13.1.6.</t>
  </si>
  <si>
    <t xml:space="preserve"> идентификация и аутентификация субъектов доступа при их локальном или удаленном обращении к объектам виртуальной инфраструктуры;</t>
  </si>
  <si>
    <t>13.1.7.</t>
  </si>
  <si>
    <t xml:space="preserve"> идентификация и аутентификация субъектов доступа при осуществлении ими попыток доступа к консолям управления параметрами аппаратного обеспечения;</t>
  </si>
  <si>
    <t>13.1.8.</t>
  </si>
  <si>
    <t xml:space="preserve"> контроль ввода (вывода) информации в/из виртуальную(ой) инфраструктуру(ы);</t>
  </si>
  <si>
    <t>13.1.9.</t>
  </si>
  <si>
    <t xml:space="preserve"> контроль ввода (вывода) информации в/из ИС;</t>
  </si>
  <si>
    <t>13.1.10.</t>
  </si>
  <si>
    <t xml:space="preserve"> контроль доступа субъектов доступа к изолированному адресному пространству в памяти гипервизора;</t>
  </si>
  <si>
    <t>13.1.11.</t>
  </si>
  <si>
    <t xml:space="preserve"> контроль доступа субъектов доступа к изолированному адресному пространству в памяти хостовой операционной системы;</t>
  </si>
  <si>
    <t>13.1.12.</t>
  </si>
  <si>
    <t xml:space="preserve"> контроль доступа субъектов доступа к средствам конфигурирования виртуального аппаратного обеспечения;</t>
  </si>
  <si>
    <t>13.1.13.</t>
  </si>
  <si>
    <t xml:space="preserve"> контроль доступа субъектов доступа к средствам конфигурирования гипервизора и ВМ;</t>
  </si>
  <si>
    <t>13.1.14.</t>
  </si>
  <si>
    <t xml:space="preserve"> контроль доступа субъектов доступа к средствам конфигурирования хостовой и/или гостевых операционных систем;</t>
  </si>
  <si>
    <t>13.1.15.</t>
  </si>
  <si>
    <t xml:space="preserve"> контроль запуска гипервизора и ВМ на основе заданных критериев обеспечения безопасности объектов защиты (режим запуска, тип используемого носителя и т. д.);</t>
  </si>
  <si>
    <t>13.1.16.</t>
  </si>
  <si>
    <t xml:space="preserve"> контроль запуска хостовой и/или гостевых операционных систем на основе заданных критериев обеспечения безопасности объектов защиты (режим запуска, тип используемого носителя и т. д.);</t>
  </si>
  <si>
    <t>13.1.17.</t>
  </si>
  <si>
    <t xml:space="preserve"> контроль передачи служебных информационных сообщений, передаваемых в виртуальных сетях хостовой операционной системы, по следующим характеристикам: составу, объему и др.;</t>
  </si>
  <si>
    <t>13.1.18.</t>
  </si>
  <si>
    <t xml:space="preserve"> контроль работоспособности дублирующих ключевых компонентов аппаратного обеспечения ИС:</t>
  </si>
  <si>
    <t>13.1.19.</t>
  </si>
  <si>
    <t xml:space="preserve"> контроль работоспособности дублирующих ключевых компонентов виртуальной инфраструктуры;</t>
  </si>
  <si>
    <t>13.1.20.</t>
  </si>
  <si>
    <t xml:space="preserve"> контроль целостности компонентов, критически важных для функционирования гипервизора</t>
  </si>
  <si>
    <t>13.1.21.</t>
  </si>
  <si>
    <t>и ВМ;</t>
  </si>
  <si>
    <t>13.1.22.</t>
  </si>
  <si>
    <t xml:space="preserve"> контроль целостности компонентов, критически важных дпя функционирования хостовой и гостевых операционных систем:</t>
  </si>
  <si>
    <t>13.1.23.</t>
  </si>
  <si>
    <t xml:space="preserve"> контроль целостности микропрограммного обеспечения аппаратной части ИС;</t>
  </si>
  <si>
    <t>13.1.24.</t>
  </si>
  <si>
    <t xml:space="preserve"> мониторинг загрузки мощностей физического и виртуального аппаратного обеспечения;</t>
  </si>
  <si>
    <t>13.1.25.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</si>
  <si>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уровне виртуализации и оборудования;</t>
  </si>
  <si>
    <t>13.1.26.</t>
  </si>
  <si>
    <t xml:space="preserve"> обеспечение изоляции различных потоков данных, передаваемых и обрабатываемых компонентами виртуальной инфраструктуры хостовой операционной системы;</t>
  </si>
  <si>
    <t>13.1.27.</t>
  </si>
  <si>
    <t xml:space="preserve"> обеспечение подлинности сетевых соединений (сеансов взаимодействия) внутри виртуальной инфраструктуры, в том числе для защиты от подмены сетевых устройств и сервисов:</t>
  </si>
  <si>
    <t>13.1.28.</t>
  </si>
  <si>
    <t xml:space="preserve"> отключение неиспользуемых сетевых протоколов компонентами виртуальной инфраструктуры хостовой операционной системы;</t>
  </si>
  <si>
    <t>13.1.29.</t>
  </si>
  <si>
    <t xml:space="preserve"> предотвращение задержки или прерывания выполнения в виртуальной инфраструктуре процессов с высоким приоритетом со стороны процессов с низким приоритетом;</t>
  </si>
  <si>
    <t>13.1.30.</t>
  </si>
  <si>
    <t xml:space="preserve"> предотвращение задержки или прерывания выполнения процессов 8М с высоким приоритетом со стороны процессов ВМ с низким приоритетом:</t>
  </si>
  <si>
    <t>13.1.31.</t>
  </si>
  <si>
    <t xml:space="preserve"> применение индивидуальных прав доступа к объектам доступа субъектов доступа для одного или совокупности компонентов виртуальной инфраструктуры;</t>
  </si>
  <si>
    <t>13.1.32.</t>
  </si>
  <si>
    <t xml:space="preserve"> проверка наличия вредоносных программ в загрузочных областях машинных носителей информации. подключенных к ИС;</t>
  </si>
  <si>
    <t>13.1.33.</t>
  </si>
  <si>
    <t xml:space="preserve"> проверка наличия вредоносных программ в микропрограммном обеспечении физического и виртуального аппаратного обеспечения:</t>
  </si>
  <si>
    <t>13.1.34.</t>
  </si>
  <si>
    <t xml:space="preserve"> проверка наличия вредоносных программ в файлах конфигурации гипервизора и/или ВМ:</t>
  </si>
  <si>
    <t>13.1.35.</t>
  </si>
  <si>
    <t xml:space="preserve"> проверка наличия вредоносных программ в файлах конфигурации хостовой и гостевых операционных системах;</t>
  </si>
  <si>
    <t>13.1.36.</t>
  </si>
  <si>
    <t xml:space="preserve"> проверка наличия вредоносных программ в файлахобразах виртуализованного ПО и ВМ. а также файлахобразах, используемых для обеспечения работы виртуальных файловых систем:</t>
  </si>
  <si>
    <t>13.1.37.</t>
  </si>
  <si>
    <t xml:space="preserve"> проверка оперативной памяти и файловой системы гипервизора и/или ВМ на наличие вредоносных программ;</t>
  </si>
  <si>
    <t>13.1.38.</t>
  </si>
  <si>
    <t xml:space="preserve"> проверка оперативной памяти и файловой системы хостовой и/или гостевых операционных систем на наличие вредоносных программ:</t>
  </si>
  <si>
    <t>13.1.39.</t>
  </si>
  <si>
    <t xml:space="preserve"> размещение сенсоров и/или датчиков систем обнаружения (предотвращения) вторжений в виртуальном аппаратном обеспечении;</t>
  </si>
  <si>
    <t>13.1.40.</t>
  </si>
  <si>
    <t xml:space="preserve"> размещение сенсоров и/или датчиков систем обнаружения (предотвращения) вторжений в гипервизоре и/или ВМ;</t>
  </si>
  <si>
    <t>13.1.41.</t>
  </si>
  <si>
    <t xml:space="preserve"> размещение сенсоров и/или датчиков систем обнаружения (предотвращения) вторжений в хостовой и/или гостевых операционных системах:</t>
  </si>
  <si>
    <t>13.1.42.</t>
  </si>
  <si>
    <t xml:space="preserve"> регистрации и учет запуска (завершения) работы компонентов виртуальной инфраструктуры;</t>
  </si>
  <si>
    <t>13.1.43.</t>
  </si>
  <si>
    <t xml:space="preserve"> регистрация входа (выхода) субъектов доступа в/из гипервизор(а) и/или ВМ;</t>
  </si>
  <si>
    <t>13.1.44.</t>
  </si>
  <si>
    <t xml:space="preserve"> регистрация входа (выхода) субъектов доступа е/иэ хостовую(ой) и/или гостевых операционных систем:</t>
  </si>
  <si>
    <t>13.1.45.</t>
  </si>
  <si>
    <t xml:space="preserve"> регистрация запуска (завершения работы) гипервизора и/или ВМ. программ и процессов в гипервизоре и/или ВМ;</t>
  </si>
  <si>
    <t>13.1.46.</t>
  </si>
  <si>
    <t>регистрация запуска (завершения работы) хостовой и/или гостевых операционных систем, программ и процессов в хостовой и/или гостевых операционных системах;</t>
  </si>
  <si>
    <t>13.1.47.</t>
  </si>
  <si>
    <t xml:space="preserve"> регистрация и учет изменений в составе программной и аппаратной части ИС во время ее функционирования и/или в период ее аппаратного отключения:</t>
  </si>
  <si>
    <t>13.1.48.</t>
  </si>
  <si>
    <t xml:space="preserve"> регистрация изменений правил доступа к виртуальному аппаратному обеспечению;</t>
  </si>
  <si>
    <t>13.1.49.</t>
  </si>
  <si>
    <t xml:space="preserve"> регистрация изменений состава и конфигурации виртуального аппаратного обеспечения;</t>
  </si>
  <si>
    <t>13.1.50.</t>
  </si>
  <si>
    <t xml:space="preserve"> регистрация изменений состава и конфигурации ВМ:</t>
  </si>
  <si>
    <t>13.1.51.</t>
  </si>
  <si>
    <t xml:space="preserve"> регистрация изменений состава ПО и виртуального аппаратного обеспечения в гипервизоре и/или ВМ:</t>
  </si>
  <si>
    <t>13.1.52.</t>
  </si>
  <si>
    <t xml:space="preserve"> регистрация изменений состава ПО и виртуального аппаратного обеспечения в хостовой и/или гостевых операционных системах;</t>
  </si>
  <si>
    <t>13.1.53.</t>
  </si>
  <si>
    <t xml:space="preserve"> регистрация изменения правил доступа к информации ограниченного доступа, хранимой и обрабатываемой в гипервизоре и/или ВМ;</t>
  </si>
  <si>
    <t>13.1.54.</t>
  </si>
  <si>
    <t xml:space="preserve"> регистрация изменения правил доступа к информации ограниченного доступа, хранимой и обрабатываемой в хостовой и/или гостевых операционных системах:</t>
  </si>
  <si>
    <t>13.1.55.</t>
  </si>
  <si>
    <t xml:space="preserve"> резервирование пропускной способности канала связи для обеспечения стабильного взаимодействия между компонентами виртуальной инфраструктуры внутри гипервизора;</t>
  </si>
  <si>
    <t>13.1.56.</t>
  </si>
  <si>
    <t xml:space="preserve"> резервное копирование защищаемой информации в гипервизоре и/или ВМ. хранимой на физических и/или виртуальных носителях информации;</t>
  </si>
  <si>
    <t>13.1.57.</t>
  </si>
  <si>
    <t xml:space="preserve"> резервное копирование защищаемой информации в хостовой и/или гостевых операционных системах, хранимой на физических и/или виртуальных носителях информации.</t>
  </si>
  <si>
    <t>13.1.58.</t>
  </si>
  <si>
    <t xml:space="preserve"> резервное копирование физического и/или виртуального дискового пространства, используемого для хранения журналов событий гипервизора и/или ВМ;</t>
  </si>
  <si>
    <t>13.1.59.</t>
  </si>
  <si>
    <t xml:space="preserve"> своевременное обнаружение отказов компонентов виртуальной инфраструктуры;</t>
  </si>
  <si>
    <t>13.1.60.</t>
  </si>
  <si>
    <t xml:space="preserve"> создание (имитация) ложных компонентов виртуальной инфраструктуры, предназначенных для обнаружения, регистрации и анализа действий нарушителей в процессе реализации угроз безопасности;</t>
  </si>
  <si>
    <t>13.1.61.</t>
  </si>
  <si>
    <t xml:space="preserve"> стирание остаточной информации, образующейся после удаления данных, обрабатываемых в виртуальной инфраструктуре, содержащих информацию ограниченного доступа;</t>
  </si>
  <si>
    <t>13.1.62.</t>
  </si>
  <si>
    <t xml:space="preserve"> стирание остаточной информации, образующейся после удаления данных, содержащих информацию ограниченного доступа, в гипервизоре и/или ВМ;</t>
  </si>
  <si>
    <t>13.1.63.</t>
  </si>
  <si>
    <t xml:space="preserve"> стирание остаточной информации, образующейся после удаления данных, содержащих информацию ограниченного доступа, в хостовой и/или гостевых операционных системах;</t>
  </si>
  <si>
    <t>13.1.64.</t>
  </si>
  <si>
    <t xml:space="preserve"> стирание остаточной информации, образующейся после удаления файлов, содержащих настройки виртуализованного ПО и виртуального аппаратного обеспечения:</t>
  </si>
  <si>
    <t>13.1.65.</t>
  </si>
  <si>
    <t xml:space="preserve"> управление доступом к аппаратному обеспечению ИС, контроль подключения (отключения) машинных носителей информации:</t>
  </si>
  <si>
    <t>13.1.66.</t>
  </si>
  <si>
    <t xml:space="preserve"> управление запуском (обращениями) компонентов ПО. в том числе определение запускаемых компонентов, настройка параметров запуска компонентов, контроль за запуском компонентов ПО;</t>
  </si>
  <si>
    <t>13.1.67.</t>
  </si>
  <si>
    <t xml:space="preserve"> управление установкой (инсталляцией) компонентов ПО. входящего в состав виртуальной инфраструктуры, в том числе определение компонентов, подлежащих установке, настройка параметров установки компонентов, контроль за установкой компонентов ПО:</t>
  </si>
  <si>
    <t>13.1.68.</t>
  </si>
  <si>
    <t xml:space="preserve"> установка (инсталляция) только разрешенного к использованию в виртуальной инфраструктуре ПО и/или его компонентов;</t>
  </si>
  <si>
    <t>13.1.69.</t>
  </si>
  <si>
    <t xml:space="preserve"> фильтрация сетевого трафика между компонентами виртуальной инфраструктуры и внешними сетями хостовой операционной системы, в том числе сетями общего пользования;</t>
  </si>
  <si>
    <t>13.1.70.</t>
  </si>
  <si>
    <t xml:space="preserve"> фильтрация сетевого трафика от/к каждой гостевой операционной системы(е).</t>
  </si>
  <si>
    <t>13.2.</t>
  </si>
  <si>
    <t>Защита виртуальных вычислительных систем</t>
  </si>
  <si>
    <t>Мерами защиты виртуальных вычислительных систем являются:</t>
  </si>
  <si>
    <t>13.2.1.</t>
  </si>
  <si>
    <t xml:space="preserve"> блокировка доступа к объектам виртуальной инфраструктуры для субъектов доступа, не прошедших процедуру аутентификации:</t>
  </si>
  <si>
    <t>13.2.2.</t>
  </si>
  <si>
    <t>13.2.3.</t>
  </si>
  <si>
    <t>13.2.4.</t>
  </si>
  <si>
    <t xml:space="preserve"> идентификация и аутентификация субъектов доступа при их локальном или удаленном обращении к объектам виртуальной инфраструктуры:</t>
  </si>
  <si>
    <t>13.2.5.</t>
  </si>
  <si>
    <t>контроль доступа субъектов доступа к изолированному адресному пространству в памяти гипервизора:</t>
  </si>
  <si>
    <t>13.2.6.</t>
  </si>
  <si>
    <t xml:space="preserve"> контроль доступа субъектов доступа к изолированному адресному пространству в памяти хос товой операционной системы;</t>
  </si>
  <si>
    <t>13.2.7.</t>
  </si>
  <si>
    <t>13.2.8.</t>
  </si>
  <si>
    <t>13.2.9.</t>
  </si>
  <si>
    <t xml:space="preserve"> контроль доступа субъектов доступа к файламобразам виртуализованного ПО и ВМ. а также файламобразам, используемым для обеспечения работы виртуальных файловых систем;</t>
  </si>
  <si>
    <t>13.2.10.</t>
  </si>
  <si>
    <t xml:space="preserve"> контроль запуска гипервизора и ВМ на основе заданных критериев обеспечения безопасности объектов защиты (режима запуска, типа используемого носителя и т. д.);</t>
  </si>
  <si>
    <t>13.2.11.</t>
  </si>
  <si>
    <t xml:space="preserve"> контроль запуска хостовой и/или гостевых операционных систем на основе заданных критериев обеспечения безопасности объектов защиты (режима запуска, типа используемого носителя и т. д.);</t>
  </si>
  <si>
    <t>13.2.12.</t>
  </si>
  <si>
    <t xml:space="preserve"> контроль целостности компонентов, критически важных для функционирования гипервизора и ВМ;</t>
  </si>
  <si>
    <t>13.2.13.</t>
  </si>
  <si>
    <t xml:space="preserve"> контроль целостности компонентов, критически важных для функционирования хостовой и гостевых операционных систем;</t>
  </si>
  <si>
    <t>13.2.14.</t>
  </si>
  <si>
    <t xml:space="preserve"> контроль целостности файлов, содержащих настройки виртуализованного ПО и ВМ;</t>
  </si>
  <si>
    <t>13.2.15.</t>
  </si>
  <si>
    <t xml:space="preserve"> контроль целостности файловобразов виртуализованного ПО и ВМ. а также файловобразов, используемых для обеспечения работы виртуальных файловых систем;</t>
  </si>
  <si>
    <t>13.2.16.</t>
  </si>
  <si>
    <t>13.2.17.</t>
  </si>
  <si>
    <t xml:space="preserve"> проверка наличия вредоносных программ в микропрограммном обеспечении физического и виртуального аппаратного обеспечения;</t>
  </si>
  <si>
    <t>13.2.18.</t>
  </si>
  <si>
    <t xml:space="preserve"> проверка наличия вредоносных программ в файлах конфигурации гипервизора и/или ВМ;</t>
  </si>
  <si>
    <t>13.2.19.</t>
  </si>
  <si>
    <t>13.2.20.</t>
  </si>
  <si>
    <t xml:space="preserve"> проверка наличия вредоносных программ в файлахобразах виртуализованного ПО и ВМ. а также файлахобразах, используемых для обеспечения работы виртуальных файловых систем;</t>
  </si>
  <si>
    <t>13.2.21.</t>
  </si>
  <si>
    <t>13.2.22.</t>
  </si>
  <si>
    <t>13.2.23.</t>
  </si>
  <si>
    <t xml:space="preserve"> размещение сенсоров и/или датчиков систем обнаружения (предотвращения) вторжений в виртуальном аппаратном обеспечении:</t>
  </si>
  <si>
    <t>13.2.24.</t>
  </si>
  <si>
    <t>13.2.25.</t>
  </si>
  <si>
    <t xml:space="preserve"> размещение сенсоров и/или датчиков систем обнаружения (предотвращения) вторжений в хостовой и/или гостевых операционных системах;</t>
  </si>
  <si>
    <t>13.2.26.</t>
  </si>
  <si>
    <t xml:space="preserve"> регистрация входа (выхода) субъектов доступа e/из гипервизор(а) и/или ВМ:</t>
  </si>
  <si>
    <t>13.2.27.</t>
  </si>
  <si>
    <t xml:space="preserve"> регистрация входа (выхода) субъектов доступа е/иэ хостовой и/или гостевых операционных системах (систем);</t>
  </si>
  <si>
    <t>13.2.28.</t>
  </si>
  <si>
    <t>13.2.29.</t>
  </si>
  <si>
    <t xml:space="preserve"> регистрация запуска (завершения работы) хостовой и/или гостевых операционных систем, программ и процессов в хостовой и/или гостевых операционных системах;</t>
  </si>
  <si>
    <t>13.2.30.</t>
  </si>
  <si>
    <t xml:space="preserve"> регистрация изменений прав доступа к файламобразам виртуализованного ПО и ВМ. а также файламобразам, используемым для обеспечения работы виртуальных файловых систем;</t>
  </si>
  <si>
    <t>13.2.31.</t>
  </si>
  <si>
    <t>13.2.32.</t>
  </si>
  <si>
    <t xml:space="preserve"> регистрация изменений состава и конфигурации ВМ;</t>
  </si>
  <si>
    <t>13.2.33.</t>
  </si>
  <si>
    <t xml:space="preserve"> регистрация изменений состава ПО и виртуального аппаратного обеспечения в гипервизоре и/или ВМ;</t>
  </si>
  <si>
    <t>13.2.34.</t>
  </si>
  <si>
    <t>13.2.35.</t>
  </si>
  <si>
    <t>13.2.36.</t>
  </si>
  <si>
    <t xml:space="preserve"> регистрация изменения правил доступа к информации ограниченного доступа, хранимой и обрабатываемой в хостовой и/или гостевых операционных системах;</t>
  </si>
  <si>
    <t>13.2.37.</t>
  </si>
  <si>
    <t>резервное копирование защищаемой информации в гипервизоре и/или ВМ. хранимой на физических и/или виртуальных носителях информации;</t>
  </si>
  <si>
    <t>13.2.38.</t>
  </si>
  <si>
    <t xml:space="preserve"> резервное копирование защищаемой информации в хостовой и/или гостевых операционных системах, хранимой на физических и/или виртуальных носителях информации;</t>
  </si>
  <si>
    <t>13.2.39.</t>
  </si>
  <si>
    <t xml:space="preserve"> резервное копирование файповобразов виртуализованного ПО и ВМ, а также файловобразов, используемых для обеспечения работы виртуальных файловых систем;</t>
  </si>
  <si>
    <t>13.2.40.</t>
  </si>
  <si>
    <t>13.2.41.</t>
  </si>
  <si>
    <t>13.2.42.</t>
  </si>
  <si>
    <t>13.2.43.</t>
  </si>
  <si>
    <t>13.2.44.</t>
  </si>
  <si>
    <t xml:space="preserve"> стирание остаточной информации, образующейся после удаления файловобразов ВМ. в которых обрабатывалась информация ограниченного доступа;</t>
  </si>
  <si>
    <t>13.2.45.</t>
  </si>
  <si>
    <t>13.2.46.</t>
  </si>
  <si>
    <t xml:space="preserve"> фильтрация сетевого трафика от/к каждой гостевой операционной системы(е);</t>
  </si>
  <si>
    <t>13.2.47.</t>
  </si>
  <si>
    <t xml:space="preserve"> шифрование файловобразов виртуализованного ПО и ВМ. а также файловобразов, используемых для обеспечения работы виртуальных файловых систем, содержащих информацию ограниченного доступа.</t>
  </si>
  <si>
    <t>13.3.</t>
  </si>
  <si>
    <t>Защита виртуальных систем хранения данных</t>
  </si>
  <si>
    <t>Мерами защиты виртуальных систем хранения данных являются;</t>
  </si>
  <si>
    <t>13.3.1.</t>
  </si>
  <si>
    <t xml:space="preserve"> автоматическое восстановление работоспособности системы хранения данных, подключенной к виртуальной инфраструктуре, в случае отказа одного или нескольких ее компонентов;</t>
  </si>
  <si>
    <t>13.3.2.</t>
  </si>
  <si>
    <t xml:space="preserve"> блокировка достулакобъектам виртуальной инфраструктуры длясубъектов доступа, непрошедших процедуру аутентификации;</t>
  </si>
  <si>
    <t>13.3.3.</t>
  </si>
  <si>
    <t>13.3.4.</t>
  </si>
  <si>
    <t>13.3.5.</t>
  </si>
  <si>
    <t>13.3.6.</t>
  </si>
  <si>
    <t>13.3.7.</t>
  </si>
  <si>
    <t xml:space="preserve"> контроль ввода (вывода) информации в/из систему(ы) хранения данных, входящей в состав виртуальной инфраструктуры;</t>
  </si>
  <si>
    <t>13.3.8.</t>
  </si>
  <si>
    <t xml:space="preserve"> контроль доступа субъектов доступа к средствам конфигурирования системы хранения данных, входящей в состав виртуальной инфраструктуры;</t>
  </si>
  <si>
    <t>13.3.9.</t>
  </si>
  <si>
    <t>13.3.10.</t>
  </si>
  <si>
    <t xml:space="preserve"> контроль работоспособности(изношенности) машинных носителей информации, подключенных к виртуальной инфраструктуре, переход на дублирующие при необходимости;</t>
  </si>
  <si>
    <t>13.3.11.</t>
  </si>
  <si>
    <t xml:space="preserve"> контроль целостности данных, хранимых на машинных носителях информации, подключенных к виртуальной инфраструктуре;</t>
  </si>
  <si>
    <t>13.3.12.</t>
  </si>
  <si>
    <t>13.3.13.</t>
  </si>
  <si>
    <t xml:space="preserve"> обеспечение доверенных (защищенных) канала, маршрута передачи данных в/из систему(ы) хранения данных, входящую(ей) в состав виртуальной инфраструктуры;</t>
  </si>
  <si>
    <t>13.3.14</t>
  </si>
  <si>
    <t xml:space="preserve"> обеспечение подлинности сетевых соединений (сеансов взаимодействия) внутри виртуальной инфраструктуры, в том числе для защиты от подмены сетевых устройств и сервисов;</t>
  </si>
  <si>
    <t>13.3.15.</t>
  </si>
  <si>
    <t xml:space="preserve"> проверка наличия вредоносных программ в операционной среде гипервизора системы хранения данных;</t>
  </si>
  <si>
    <t>13.3.16.</t>
  </si>
  <si>
    <t>13.3.17</t>
  </si>
  <si>
    <t>разделение данных в зависимости от уровня конфиденциальности обрабатываемой информации между компонентами системы хранения данных, отдельными машинными носителями информации. входящими в состав виртуальной инфраструктуры, логическими дисками или между палками файлов;</t>
  </si>
  <si>
    <t>13.3.18</t>
  </si>
  <si>
    <t xml:space="preserve"> размещение системы хранения данных в защищенном сегменте информационной системы;</t>
  </si>
  <si>
    <t>13.3.19</t>
  </si>
  <si>
    <t xml:space="preserve"> регистрация изменений прав доступа к информации, хранящейся в системе хранения данных, входящей в состав виртуальной инфраструктуры;</t>
  </si>
  <si>
    <t>13.3.20</t>
  </si>
  <si>
    <t xml:space="preserve"> регистрация изменений прав доступа к файламобразам виртуализованного ПО и 8М, а также файламобразам, используемым для обеспечения работы виртуальных файловых систем;</t>
  </si>
  <si>
    <t>13.3.21.</t>
  </si>
  <si>
    <t xml:space="preserve"> регистрация изменений правил доступа к виртуальному и физическому аппаратному обеспечению системы хранения данных:</t>
  </si>
  <si>
    <t>13.3.22.</t>
  </si>
  <si>
    <t xml:space="preserve"> регистрация изменений состава и конфигурации виртуального и физического аппаратного обеспечения системы хранения данных;</t>
  </si>
  <si>
    <t>13.3.23.</t>
  </si>
  <si>
    <t xml:space="preserve"> резервное копирование файловобразов виртуализованного ПО и ВМ. а также файловобразов, используемых для обеспечения работы виртуальных файловых систем;</t>
  </si>
  <si>
    <t>13.3.24.</t>
  </si>
  <si>
    <t xml:space="preserve"> создание (имитация) ложных компонентов виртуальной инфраструктуры, предназначенных для обнаружения, регистрации и анализа действий нарушителей в процессе реализации угроз безопасности:</t>
  </si>
  <si>
    <t>13.3.25</t>
  </si>
  <si>
    <t xml:space="preserve"> управление доступом к аппаратному обеспечению системы хранения данных, контроль подключения (отключения) машинных носителей информации к/от виртуальной инфраструктуре(ы);</t>
  </si>
  <si>
    <t>13.3.26.</t>
  </si>
  <si>
    <t>13.4.</t>
  </si>
  <si>
    <t>Защита виртуальных каналов передачи данных</t>
  </si>
  <si>
    <t>Мерами защиты виртуальных каналов передачи данных являются:</t>
  </si>
  <si>
    <t>13.4.1.</t>
  </si>
  <si>
    <t xml:space="preserve"> автоматическое восстановление работоспособности системы хранения данных, подключенной к виртуальной инфраструктуре, в случае отказа одного или нескольких ее компонентов:</t>
  </si>
  <si>
    <t>13.4.2.</t>
  </si>
  <si>
    <t>13.4.3.</t>
  </si>
  <si>
    <t xml:space="preserve"> блокировка доступа к объектам виртуальной инфраструктуры для субъектов доступа, не прошедших процедуру аутентификации;</t>
  </si>
  <si>
    <t>13.4.4.</t>
  </si>
  <si>
    <t>13.4.5.</t>
  </si>
  <si>
    <t>13.4.6.</t>
  </si>
  <si>
    <t xml:space="preserve"> защита от НСД к хранящейся в компонентах виртуальной инфраструктуры аутентификационной информации о субъектах доступа:</t>
  </si>
  <si>
    <t>13.4.7.</t>
  </si>
  <si>
    <t xml:space="preserve"> идентификация и аутентификация субъектов доступа при их локальном или удаленном обращении кобъектам виртуальной инфраструктуры;</t>
  </si>
  <si>
    <t>13.4.8.</t>
  </si>
  <si>
    <t>13.4.9.</t>
  </si>
  <si>
    <t>13.4.10.</t>
  </si>
  <si>
    <t>13.4.11.</t>
  </si>
  <si>
    <t>13.4.12.</t>
  </si>
  <si>
    <t>13.4.13.</t>
  </si>
  <si>
    <t xml:space="preserve"> передача и контроль целостности атрибутов безопасности (меток безопасности), связанных с информацией ограниченного доступа, обрабатываемой в виртуальной инфраструктуре, при обмене информацией с иными ИС.</t>
  </si>
  <si>
    <t>13.4.14.</t>
  </si>
  <si>
    <t>13.4.15</t>
  </si>
  <si>
    <t>13.4.16</t>
  </si>
  <si>
    <t>фильтрация сетевого трафика между компонентами виртуальной инфраструктуры и внешними сетями хостовой операционной системы, в том числе сетями общего пользования;</t>
  </si>
  <si>
    <t>13.4.17.</t>
  </si>
  <si>
    <t>13.4.18.</t>
  </si>
  <si>
    <t>. шифрование информации ограниченного доступа, передаваемой по виртуальным и физическим каналам связи гипервизора:</t>
  </si>
  <si>
    <t>13.4.19.</t>
  </si>
  <si>
    <t xml:space="preserve"> шифрование информации ограниченного доступа, передаваемой по виртуальным и физическим каналам связи хостоеой операционной системы.</t>
  </si>
  <si>
    <t>13.5.</t>
  </si>
  <si>
    <t>Защита отдельных виртуальных устройств обработки, хранения и передачи данных</t>
  </si>
  <si>
    <t>Мерами защиты виртуальных устройств обработки, хранения и передачи данных являются:</t>
  </si>
  <si>
    <t>13.5.1.</t>
  </si>
  <si>
    <t>13.5.2.</t>
  </si>
  <si>
    <t xml:space="preserve"> защита от НСД к вводимой субъектами доступа, входящими в состав виртуальной инфраструктуры. аутентификационной информации:</t>
  </si>
  <si>
    <t>13.5.3.</t>
  </si>
  <si>
    <t xml:space="preserve"> защита от НСД кхранящейся в компонентах виртуальной инфраструктуры аутентификационной информации о субъектах доступа;</t>
  </si>
  <si>
    <t>13.5.4.</t>
  </si>
  <si>
    <t>13.5.5.</t>
  </si>
  <si>
    <t>13.5.6.</t>
  </si>
  <si>
    <t>13.5.7.</t>
  </si>
  <si>
    <t>13.5.8.</t>
  </si>
  <si>
    <t xml:space="preserve"> контроль целостности файлов, содержащих настройки виртуализованного ПО и 8М:</t>
  </si>
  <si>
    <t>13.5.9.</t>
  </si>
  <si>
    <t>13.5.10.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</si>
  <si>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уровни виртуализации и оборудования;</t>
  </si>
  <si>
    <t>13.5.11.</t>
  </si>
  <si>
    <t xml:space="preserve"> обеспечение подлинности сетевых соединений (сеансов взаимодействия) внутри виртуальной инфраструктуры, е том числе для защиты от подмены сетевых устройств и сервисов;</t>
  </si>
  <si>
    <t>13.5.12.</t>
  </si>
  <si>
    <t xml:space="preserve"> отключение неиспользуемых сетевых протоколов компонентами виртуальной инфраструктуры хостоеой операционной системы;</t>
  </si>
  <si>
    <t>13.5.13.</t>
  </si>
  <si>
    <t>13.5.14.</t>
  </si>
  <si>
    <t>13.5.15.</t>
  </si>
  <si>
    <t xml:space="preserve"> разделение физических ресурсов между компонентами виртуальной инфраструктуры в зависимости от уровня конфиденциальности обрабатываемой информации;</t>
  </si>
  <si>
    <t>13.5.16.</t>
  </si>
  <si>
    <t>13.5.17.</t>
  </si>
  <si>
    <t>13.5.18.</t>
  </si>
  <si>
    <t>13.5.19.</t>
  </si>
  <si>
    <t xml:space="preserve"> регистрация изменений правил доступа к виртуальному аппаратному обеспечению:</t>
  </si>
  <si>
    <t>13.5.20.</t>
  </si>
  <si>
    <t>13.5.21.</t>
  </si>
  <si>
    <t>13.5.22.</t>
  </si>
  <si>
    <t xml:space="preserve"> регистрация изменений состава ПО и виртуального аппаратного обеспечения в хостовой и/или гостевых операционных системах:</t>
  </si>
  <si>
    <t>13.5.23.</t>
  </si>
  <si>
    <t xml:space="preserve"> резервное копирование защищаемой информации, хранимой на физических и виртуальных носителях информации;</t>
  </si>
  <si>
    <t>13.5.24.</t>
  </si>
  <si>
    <t>13.5.25.</t>
  </si>
  <si>
    <t>13.5.26.</t>
  </si>
  <si>
    <t>13.5.27.</t>
  </si>
  <si>
    <t xml:space="preserve"> управление доступом к аппаратному обеспечению ИС. контроль подключений (отключения) машинныхносителей информации.</t>
  </si>
  <si>
    <t>13.6.</t>
  </si>
  <si>
    <t>Защита виртуальных средств защиты информации и средств защиты информации, предназначенных для использования в среде виртуализации</t>
  </si>
  <si>
    <t>Мерами защиты виртуальных средств защиты информации и средств защиты информации, предназначенных для использования в среде виртуализации, являются:</t>
  </si>
  <si>
    <t>13.6.1.</t>
  </si>
  <si>
    <t xml:space="preserve"> автоматическое восстановление всех функций средств ЗИ, входящих в состав ИС;</t>
  </si>
  <si>
    <t>13.6.2.</t>
  </si>
  <si>
    <t>13.6.3.</t>
  </si>
  <si>
    <t>13.6.4.</t>
  </si>
  <si>
    <t>13.6.5.</t>
  </si>
  <si>
    <t xml:space="preserve"> обеспечение возможности наследования установленных на уровне управления прав доступа субъектов доступа к объектам доступа на уровни виртуализации и оборудования:</t>
  </si>
  <si>
    <t>13.6.6.</t>
  </si>
  <si>
    <t xml:space="preserve"> обеспечение доверенных канала, маршрута внутри виртуальной инфраструктуры между администратором, пользователем и средствами ЗИ (функциями безопасности средств ЗИ).</t>
  </si>
  <si>
    <t>Да, Первый релиз SDN</t>
  </si>
  <si>
    <t>Нет, запланировано в беклог, ориентировочно H2 2026, H1 2027</t>
  </si>
  <si>
    <t>SDN H2 2026</t>
  </si>
  <si>
    <t>Geneve - Да, на SW VTEP будет реализовано позднее, есть в беклоге</t>
  </si>
  <si>
    <t>Ipv4 в первом релизе, IPv6 позднее</t>
  </si>
  <si>
    <t>SDN 2027</t>
  </si>
  <si>
    <t>SDN H2 2026/H1 2027. В первом релизе реализованы SNAT/DNAT правила, использующие выделенные на Тенант пулы адресов</t>
  </si>
  <si>
    <t>Пока нет, запланировано в беклог, проведены RnD</t>
  </si>
  <si>
    <t>Не в первом релизе SDN, закрывается с использованием виртуальных апплаинсов</t>
  </si>
  <si>
    <t>vRouter в первом релизе, остальные пока отсутствуют, задача закрывается использованием виртуальных апплаинсов</t>
  </si>
  <si>
    <t>Для построения Overlay между гипервизорами используется протокол Geneve, сами туннели могут быть построены поверх любых протоколов, которые поддерживаются сетевой инфраструктурой и OS, главное чтобы была сетевая связность между гипервизорами</t>
  </si>
  <si>
    <t>Нет, запланировано в беклог без определенных сроков</t>
  </si>
  <si>
    <t xml:space="preserve">SDN в первом релизе будет иметь отдельный WEB UI, интеграция в единый общий интерфейс управления планируется позднее  </t>
  </si>
  <si>
    <t>Встроенных нет. Есть сертифицированные сторонние МЭ для работы в БРЕСТ: Ideco, С-терра, UserGate</t>
  </si>
  <si>
    <t>Подсистема виртуализации позволяет из единого интерфейса управлять работой ресурсами различных зон, представляющих собой геораспределенные инсталляции. Это Режим Федерация. Горизонтальное решение (без иерархии).</t>
  </si>
  <si>
    <t>Только ВМ</t>
  </si>
  <si>
    <t>Контроль состояния дублирующих компонентов, реализуется либо орг мерами либо средствами мониторинга инфраструктуры</t>
  </si>
  <si>
    <t>частично</t>
  </si>
  <si>
    <t>реализуется путем применения СДЗ</t>
  </si>
  <si>
    <t>реализуется с применением МЭ</t>
  </si>
  <si>
    <t>реализуется с применением САВЗ</t>
  </si>
  <si>
    <t>реализуется с применением СОВ</t>
  </si>
  <si>
    <t>реализуется с применением СДЗ</t>
  </si>
  <si>
    <t>МКЦ</t>
  </si>
  <si>
    <t>реализуется с применением СКЗИ</t>
  </si>
  <si>
    <t>Реализуется организационно-техническими методами</t>
  </si>
  <si>
    <t>реализуется с применением МСЭ</t>
  </si>
  <si>
    <t>кроме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</si>
</sst>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4" x14ac:knownFonts="1">
    <font>
      <sz val="11"/>
      <color theme="1"/>
      <name val="Calibri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</font>
    <font>
      <b/>
      <sz val="12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204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4"/>
      <color rgb="FF000000"/>
      <name val="Arial Narrow"/>
      <family val="2"/>
      <charset val="204"/>
    </font>
    <font>
      <b/>
      <sz val="14"/>
      <color rgb="FF00B050"/>
      <name val="Arial Narrow"/>
      <family val="2"/>
      <charset val="204"/>
    </font>
    <font>
      <b/>
      <sz val="14"/>
      <name val="Arial Narrow"/>
      <family val="2"/>
      <charset val="204"/>
    </font>
    <font>
      <sz val="11"/>
      <name val="Arial Narrow"/>
      <family val="2"/>
      <charset val="204"/>
    </font>
    <font>
      <sz val="12"/>
      <name val="Arial Narrow"/>
      <family val="2"/>
      <charset val="204"/>
    </font>
    <font>
      <sz val="14"/>
      <color rgb="FF000000"/>
      <name val="Arial Narrow"/>
      <family val="2"/>
      <charset val="204"/>
    </font>
    <font>
      <sz val="12"/>
      <color rgb="FFFF0000"/>
      <name val="Arial Narrow"/>
      <family val="2"/>
      <charset val="204"/>
    </font>
    <font>
      <sz val="14"/>
      <color rgb="FF00B050"/>
      <name val="Arial Narrow"/>
      <family val="2"/>
      <charset val="204"/>
    </font>
    <font>
      <b/>
      <sz val="14"/>
      <color theme="1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9"/>
      <name val="Arial Narrow"/>
      <family val="2"/>
      <charset val="204"/>
    </font>
    <font>
      <b/>
      <sz val="1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sz val="9"/>
      <color rgb="FF000000"/>
      <name val="Arial Narrow"/>
      <family val="2"/>
      <charset val="204"/>
    </font>
    <font>
      <sz val="14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1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Arial Narrow"/>
      <family val="2"/>
      <charset val="204"/>
    </font>
    <font>
      <b/>
      <sz val="8"/>
      <color theme="1"/>
      <name val="Tahoma"/>
      <family val="2"/>
      <charset val="204"/>
    </font>
    <font>
      <b/>
      <sz val="11"/>
      <color theme="1"/>
      <name val="Calibri"/>
      <family val="2"/>
      <charset val="204"/>
    </font>
    <font>
      <sz val="8"/>
      <color theme="1"/>
      <name val="Tahoma"/>
      <family val="2"/>
      <charset val="204"/>
    </font>
    <font>
      <sz val="8"/>
      <color rgb="FF000000"/>
      <name val="Tahoma"/>
      <family val="2"/>
      <charset val="204"/>
    </font>
    <font>
      <sz val="8"/>
      <name val="Tahoma"/>
      <family val="2"/>
      <charset val="204"/>
    </font>
    <font>
      <b/>
      <sz val="11"/>
      <name val="Calibri"/>
      <family val="2"/>
      <charset val="204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name val="Arial Narrow"/>
      <family val="2"/>
      <charset val="204"/>
    </font>
    <font>
      <b/>
      <sz val="12"/>
      <color rgb="FF000000"/>
      <name val="Arial Narrow"/>
      <family val="2"/>
      <charset val="204"/>
    </font>
    <font>
      <sz val="12"/>
      <color rgb="FF1F497D"/>
      <name val="Arial Narrow"/>
      <family val="2"/>
      <charset val="204"/>
    </font>
    <font>
      <i/>
      <sz val="12"/>
      <name val="Arial Narrow"/>
      <family val="2"/>
      <charset val="204"/>
    </font>
    <font>
      <sz val="12"/>
      <color rgb="FF000000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b/>
      <i/>
      <sz val="12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i/>
      <sz val="11"/>
      <color theme="1"/>
      <name val="Calibri"/>
      <family val="2"/>
      <charset val="1"/>
    </font>
    <font>
      <sz val="7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</font>
    <font>
      <sz val="10"/>
      <color theme="1"/>
      <name val="Calibri Light"/>
      <family val="2"/>
      <charset val="204"/>
    </font>
    <font>
      <sz val="10"/>
      <color rgb="FFFF0000"/>
      <name val="Calibri"/>
      <family val="2"/>
      <charset val="1"/>
    </font>
    <font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EEEEE"/>
        <bgColor rgb="FFEDEDED"/>
      </patternFill>
    </fill>
    <fill>
      <patternFill patternType="solid">
        <fgColor rgb="FFDDDDDD"/>
        <bgColor rgb="FFD9D9D9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4" tint="0.39988402966399123"/>
        <bgColor rgb="FFD0CECE"/>
      </patternFill>
    </fill>
    <fill>
      <patternFill patternType="solid">
        <fgColor theme="0" tint="-4.9989318521683403E-2"/>
        <bgColor rgb="FFEEEEEE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rgb="FF00FF0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6" tint="0.79989013336588644"/>
        <bgColor rgb="FFEEEEEE"/>
      </patternFill>
    </fill>
    <fill>
      <patternFill patternType="solid">
        <fgColor theme="8" tint="0.79989013336588644"/>
        <bgColor rgb="FFDEEBF7"/>
      </patternFill>
    </fill>
    <fill>
      <patternFill patternType="solid">
        <fgColor rgb="FFFFFF00"/>
        <bgColor rgb="FF00B050"/>
      </patternFill>
    </fill>
    <fill>
      <patternFill patternType="solid">
        <fgColor rgb="FFFF0000"/>
        <bgColor rgb="FF00B05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7FFE00"/>
        <bgColor rgb="FF00FF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0" fontId="1" fillId="0" borderId="0"/>
    <xf numFmtId="0" fontId="2" fillId="2" borderId="0"/>
    <xf numFmtId="0" fontId="2" fillId="3" borderId="0"/>
    <xf numFmtId="0" fontId="3" fillId="0" borderId="0"/>
    <xf numFmtId="0" fontId="4" fillId="4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2" fillId="0" borderId="0"/>
    <xf numFmtId="0" fontId="7" fillId="0" borderId="0"/>
    <xf numFmtId="0" fontId="62" fillId="0" borderId="0"/>
  </cellStyleXfs>
  <cellXfs count="239">
    <xf numFmtId="0" fontId="0" fillId="0" borderId="0" xfId="0"/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left" indent="2"/>
    </xf>
    <xf numFmtId="0" fontId="20" fillId="5" borderId="1" xfId="1" applyFont="1" applyFill="1" applyBorder="1" applyAlignment="1" applyProtection="1">
      <alignment horizontal="center" vertical="center" wrapText="1"/>
      <protection locked="0"/>
    </xf>
    <xf numFmtId="0" fontId="13" fillId="5" borderId="1" xfId="1" applyFont="1" applyFill="1" applyBorder="1" applyAlignment="1" applyProtection="1">
      <alignment horizontal="center" vertical="center" wrapText="1"/>
      <protection locked="0"/>
    </xf>
    <xf numFmtId="0" fontId="20" fillId="6" borderId="1" xfId="1" applyFont="1" applyFill="1" applyBorder="1" applyAlignment="1" applyProtection="1">
      <alignment horizontal="center" vertical="center" wrapText="1"/>
      <protection locked="0"/>
    </xf>
    <xf numFmtId="0" fontId="20" fillId="0" borderId="0" xfId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0" fillId="5" borderId="5" xfId="1" applyFont="1" applyFill="1" applyBorder="1" applyAlignment="1" applyProtection="1">
      <alignment horizontal="center" vertical="center" wrapText="1"/>
      <protection locked="0"/>
    </xf>
    <xf numFmtId="0" fontId="13" fillId="5" borderId="5" xfId="1" applyFont="1" applyFill="1" applyBorder="1" applyAlignment="1" applyProtection="1">
      <alignment horizontal="center" vertical="center" wrapText="1"/>
      <protection locked="0"/>
    </xf>
    <xf numFmtId="0" fontId="20" fillId="6" borderId="5" xfId="1" applyFont="1" applyFill="1" applyBorder="1" applyAlignment="1" applyProtection="1">
      <alignment horizontal="center" vertical="center" wrapText="1"/>
      <protection locked="0"/>
    </xf>
    <xf numFmtId="0" fontId="20" fillId="0" borderId="5" xfId="1" applyFont="1" applyBorder="1" applyAlignment="1" applyProtection="1">
      <alignment horizontal="center" vertical="center" wrapText="1"/>
      <protection locked="0"/>
    </xf>
    <xf numFmtId="0" fontId="20" fillId="0" borderId="6" xfId="1" applyFont="1" applyBorder="1" applyAlignment="1" applyProtection="1">
      <alignment horizontal="center" vertical="center" wrapText="1"/>
      <protection locked="0"/>
    </xf>
    <xf numFmtId="0" fontId="20" fillId="5" borderId="7" xfId="1" applyFont="1" applyFill="1" applyBorder="1" applyAlignment="1" applyProtection="1">
      <alignment horizontal="center" vertical="center" wrapText="1"/>
      <protection locked="0"/>
    </xf>
    <xf numFmtId="0" fontId="20" fillId="6" borderId="7" xfId="1" applyFont="1" applyFill="1" applyBorder="1" applyAlignment="1" applyProtection="1">
      <alignment horizontal="center" vertical="center" wrapText="1"/>
      <protection locked="0"/>
    </xf>
    <xf numFmtId="0" fontId="20" fillId="0" borderId="7" xfId="1" applyFont="1" applyBorder="1" applyAlignment="1" applyProtection="1">
      <alignment horizontal="center" vertical="center" wrapText="1"/>
      <protection locked="0"/>
    </xf>
    <xf numFmtId="0" fontId="20" fillId="0" borderId="8" xfId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/>
    <xf numFmtId="0" fontId="20" fillId="0" borderId="0" xfId="1" applyFont="1" applyAlignment="1" applyProtection="1">
      <alignment vertical="center" wrapText="1"/>
      <protection locked="0"/>
    </xf>
    <xf numFmtId="1" fontId="13" fillId="0" borderId="0" xfId="0" applyNumberFormat="1" applyFont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8" borderId="1" xfId="0" applyFont="1" applyFill="1" applyBorder="1"/>
    <xf numFmtId="0" fontId="24" fillId="8" borderId="1" xfId="0" applyFont="1" applyFill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26" fillId="9" borderId="1" xfId="0" applyFont="1" applyFill="1" applyBorder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27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10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4" fontId="3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2" fillId="0" borderId="0" xfId="4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8" fillId="0" borderId="0" xfId="7" applyFont="1" applyAlignment="1">
      <alignment vertical="center"/>
    </xf>
    <xf numFmtId="0" fontId="18" fillId="0" borderId="0" xfId="7" applyFont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/>
    </xf>
    <xf numFmtId="0" fontId="36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left" vertical="center"/>
    </xf>
    <xf numFmtId="0" fontId="36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5" fillId="0" borderId="0" xfId="0" applyFont="1" applyAlignment="1">
      <alignment horizontal="left" vertical="center"/>
    </xf>
    <xf numFmtId="0" fontId="31" fillId="0" borderId="0" xfId="11" applyFont="1"/>
    <xf numFmtId="0" fontId="18" fillId="0" borderId="0" xfId="0" applyFont="1" applyAlignment="1">
      <alignment horizontal="center"/>
    </xf>
    <xf numFmtId="0" fontId="18" fillId="0" borderId="0" xfId="0" applyFont="1"/>
    <xf numFmtId="0" fontId="31" fillId="0" borderId="0" xfId="11" applyFont="1" applyAlignment="1">
      <alignment vertical="center"/>
    </xf>
    <xf numFmtId="0" fontId="39" fillId="0" borderId="0" xfId="0" applyFont="1" applyAlignment="1">
      <alignment vertical="center" wrapText="1"/>
    </xf>
    <xf numFmtId="0" fontId="31" fillId="0" borderId="0" xfId="11" applyFont="1" applyAlignment="1">
      <alignment horizontal="justify" vertical="center"/>
    </xf>
    <xf numFmtId="0" fontId="40" fillId="0" borderId="0" xfId="11" applyFont="1" applyAlignment="1">
      <alignment vertical="center"/>
    </xf>
    <xf numFmtId="0" fontId="41" fillId="10" borderId="1" xfId="0" applyFont="1" applyFill="1" applyBorder="1" applyAlignment="1">
      <alignment horizontal="center" vertical="center" wrapText="1"/>
    </xf>
    <xf numFmtId="0" fontId="40" fillId="0" borderId="1" xfId="6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31" fillId="0" borderId="1" xfId="6" applyFont="1" applyBorder="1" applyAlignment="1">
      <alignment vertical="center" wrapText="1"/>
    </xf>
    <xf numFmtId="0" fontId="31" fillId="0" borderId="1" xfId="6" applyFont="1" applyBorder="1" applyAlignment="1">
      <alignment horizontal="center" vertical="center" wrapText="1"/>
    </xf>
    <xf numFmtId="0" fontId="31" fillId="0" borderId="1" xfId="11" applyFont="1" applyBorder="1" applyAlignment="1">
      <alignment horizontal="center" vertical="center"/>
    </xf>
    <xf numFmtId="0" fontId="31" fillId="0" borderId="0" xfId="6" applyFont="1" applyAlignment="1">
      <alignment vertical="center" wrapText="1"/>
    </xf>
    <xf numFmtId="0" fontId="31" fillId="0" borderId="0" xfId="6" applyFont="1" applyAlignment="1">
      <alignment horizontal="center" vertical="center" wrapText="1"/>
    </xf>
    <xf numFmtId="0" fontId="31" fillId="0" borderId="0" xfId="11" applyFont="1" applyAlignment="1">
      <alignment horizontal="center" vertical="center"/>
    </xf>
    <xf numFmtId="0" fontId="14" fillId="0" borderId="0" xfId="11" applyFont="1"/>
    <xf numFmtId="0" fontId="26" fillId="0" borderId="0" xfId="0" applyFont="1" applyAlignment="1">
      <alignment horizontal="center" vertical="center"/>
    </xf>
    <xf numFmtId="0" fontId="9" fillId="0" borderId="0" xfId="0" applyFont="1"/>
    <xf numFmtId="0" fontId="14" fillId="0" borderId="1" xfId="6" applyFont="1" applyBorder="1" applyAlignment="1">
      <alignment horizontal="center" vertical="center" wrapText="1"/>
    </xf>
    <xf numFmtId="0" fontId="43" fillId="0" borderId="1" xfId="6" applyFont="1" applyBorder="1" applyAlignment="1">
      <alignment horizontal="center" vertical="center" wrapText="1"/>
    </xf>
    <xf numFmtId="0" fontId="14" fillId="0" borderId="0" xfId="6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31" fillId="0" borderId="0" xfId="6" applyFont="1"/>
    <xf numFmtId="0" fontId="39" fillId="0" borderId="0" xfId="0" applyFont="1"/>
    <xf numFmtId="0" fontId="31" fillId="0" borderId="0" xfId="6" applyFont="1" applyAlignment="1">
      <alignment vertical="center"/>
    </xf>
    <xf numFmtId="0" fontId="3" fillId="0" borderId="1" xfId="6" applyFont="1" applyBorder="1" applyAlignment="1">
      <alignment horizontal="center" vertical="center" wrapText="1"/>
    </xf>
    <xf numFmtId="0" fontId="39" fillId="0" borderId="1" xfId="0" applyFont="1" applyBorder="1"/>
    <xf numFmtId="0" fontId="39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1" fillId="0" borderId="0" xfId="11" applyFont="1" applyAlignment="1">
      <alignment horizontal="left" vertical="center" wrapText="1"/>
    </xf>
    <xf numFmtId="0" fontId="31" fillId="0" borderId="1" xfId="11" applyFont="1" applyBorder="1" applyAlignment="1">
      <alignment horizontal="left" vertical="center" wrapText="1"/>
    </xf>
    <xf numFmtId="0" fontId="31" fillId="0" borderId="1" xfId="6" applyFont="1" applyBorder="1" applyAlignment="1">
      <alignment horizontal="justify" vertical="center" wrapText="1"/>
    </xf>
    <xf numFmtId="0" fontId="6" fillId="0" borderId="0" xfId="7"/>
    <xf numFmtId="0" fontId="6" fillId="0" borderId="0" xfId="7" applyAlignment="1">
      <alignment wrapText="1"/>
    </xf>
    <xf numFmtId="0" fontId="44" fillId="10" borderId="1" xfId="7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8" fillId="0" borderId="0" xfId="7" applyFont="1"/>
    <xf numFmtId="0" fontId="25" fillId="0" borderId="0" xfId="7" applyFont="1"/>
    <xf numFmtId="0" fontId="26" fillId="10" borderId="1" xfId="7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 wrapText="1"/>
    </xf>
    <xf numFmtId="0" fontId="45" fillId="0" borderId="0" xfId="7" applyFont="1" applyAlignment="1">
      <alignment wrapText="1"/>
    </xf>
    <xf numFmtId="0" fontId="9" fillId="0" borderId="1" xfId="7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0" fontId="9" fillId="0" borderId="1" xfId="7" applyFont="1" applyBorder="1" applyAlignment="1">
      <alignment vertical="top" wrapText="1"/>
    </xf>
    <xf numFmtId="0" fontId="46" fillId="0" borderId="1" xfId="7" applyFont="1" applyBorder="1" applyAlignment="1">
      <alignment vertical="center" wrapText="1"/>
    </xf>
    <xf numFmtId="0" fontId="9" fillId="0" borderId="0" xfId="7" applyFont="1"/>
    <xf numFmtId="0" fontId="14" fillId="0" borderId="1" xfId="7" applyFont="1" applyBorder="1" applyAlignment="1">
      <alignment vertical="center" wrapText="1"/>
    </xf>
    <xf numFmtId="0" fontId="9" fillId="0" borderId="0" xfId="7" applyFont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7" applyFont="1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47" fillId="0" borderId="1" xfId="0" applyFont="1" applyBorder="1" applyAlignment="1">
      <alignment horizontal="justify" vertical="center"/>
    </xf>
    <xf numFmtId="0" fontId="43" fillId="0" borderId="1" xfId="0" applyFont="1" applyBorder="1" applyAlignment="1">
      <alignment horizontal="justify" vertical="center" wrapText="1"/>
    </xf>
    <xf numFmtId="0" fontId="48" fillId="0" borderId="1" xfId="7" applyFont="1" applyBorder="1" applyAlignment="1">
      <alignment vertical="top" wrapText="1"/>
    </xf>
    <xf numFmtId="0" fontId="49" fillId="0" borderId="1" xfId="7" applyFont="1" applyBorder="1" applyAlignment="1">
      <alignment vertical="center" wrapText="1"/>
    </xf>
    <xf numFmtId="0" fontId="9" fillId="0" borderId="1" xfId="7" applyFont="1" applyBorder="1" applyAlignment="1">
      <alignment horizontal="left" vertical="center" wrapText="1"/>
    </xf>
    <xf numFmtId="0" fontId="9" fillId="0" borderId="1" xfId="7" applyFont="1" applyBorder="1" applyAlignment="1">
      <alignment horizontal="left" vertical="center" indent="12"/>
    </xf>
    <xf numFmtId="0" fontId="9" fillId="0" borderId="0" xfId="7" applyFont="1" applyAlignment="1">
      <alignment horizontal="center" vertical="center"/>
    </xf>
    <xf numFmtId="0" fontId="9" fillId="0" borderId="0" xfId="7" applyFont="1" applyAlignment="1">
      <alignment vertical="center" wrapText="1"/>
    </xf>
    <xf numFmtId="0" fontId="50" fillId="0" borderId="0" xfId="7" applyFont="1" applyAlignment="1">
      <alignment horizontal="right" vertical="center"/>
    </xf>
    <xf numFmtId="0" fontId="8" fillId="0" borderId="0" xfId="7" applyFont="1" applyAlignment="1">
      <alignment vertical="top" wrapText="1"/>
    </xf>
    <xf numFmtId="0" fontId="0" fillId="0" borderId="0" xfId="7" applyFont="1" applyAlignment="1">
      <alignment horizontal="left" vertical="center" indent="7"/>
    </xf>
    <xf numFmtId="0" fontId="34" fillId="10" borderId="1" xfId="7" applyFont="1" applyFill="1" applyBorder="1" applyAlignment="1">
      <alignment horizontal="center" vertical="center" wrapText="1"/>
    </xf>
    <xf numFmtId="0" fontId="43" fillId="10" borderId="1" xfId="7" applyFont="1" applyFill="1" applyBorder="1" applyAlignment="1">
      <alignment horizontal="center" vertical="center"/>
    </xf>
    <xf numFmtId="0" fontId="19" fillId="0" borderId="0" xfId="7" applyFont="1" applyAlignment="1">
      <alignment vertical="top" wrapText="1"/>
    </xf>
    <xf numFmtId="0" fontId="8" fillId="0" borderId="0" xfId="7" applyFont="1" applyAlignment="1">
      <alignment vertical="center" wrapText="1"/>
    </xf>
    <xf numFmtId="0" fontId="0" fillId="0" borderId="1" xfId="7" applyFont="1" applyBorder="1" applyAlignment="1">
      <alignment vertical="center" wrapText="1"/>
    </xf>
    <xf numFmtId="0" fontId="8" fillId="0" borderId="1" xfId="7" applyFont="1" applyBorder="1" applyAlignment="1">
      <alignment vertical="center" wrapText="1"/>
    </xf>
    <xf numFmtId="0" fontId="0" fillId="0" borderId="0" xfId="7" applyFont="1" applyAlignment="1">
      <alignment vertical="center" wrapText="1"/>
    </xf>
    <xf numFmtId="0" fontId="34" fillId="10" borderId="1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7" applyFont="1" applyAlignment="1">
      <alignment horizontal="left" vertical="center" wrapText="1"/>
    </xf>
    <xf numFmtId="0" fontId="52" fillId="0" borderId="0" xfId="7" applyFont="1" applyAlignment="1">
      <alignment horizontal="left" vertical="center" indent="12"/>
    </xf>
    <xf numFmtId="0" fontId="8" fillId="0" borderId="0" xfId="0" applyFont="1" applyAlignment="1">
      <alignment vertical="center" wrapText="1"/>
    </xf>
    <xf numFmtId="0" fontId="3" fillId="0" borderId="0" xfId="7" applyFont="1"/>
    <xf numFmtId="0" fontId="54" fillId="0" borderId="0" xfId="7" applyFont="1" applyAlignment="1">
      <alignment vertical="center" wrapText="1"/>
    </xf>
    <xf numFmtId="0" fontId="55" fillId="10" borderId="1" xfId="0" applyFont="1" applyFill="1" applyBorder="1" applyAlignment="1">
      <alignment vertical="center" wrapText="1"/>
    </xf>
    <xf numFmtId="0" fontId="55" fillId="1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7" fillId="0" borderId="0" xfId="8" applyFont="1" applyAlignment="1">
      <alignment vertical="center"/>
    </xf>
    <xf numFmtId="0" fontId="47" fillId="0" borderId="0" xfId="8" applyFont="1" applyAlignment="1">
      <alignment vertical="top"/>
    </xf>
    <xf numFmtId="0" fontId="6" fillId="0" borderId="0" xfId="8"/>
    <xf numFmtId="0" fontId="56" fillId="0" borderId="0" xfId="7" applyFont="1"/>
    <xf numFmtId="0" fontId="18" fillId="0" borderId="0" xfId="7" applyFont="1" applyAlignment="1">
      <alignment horizontal="center" vertical="center"/>
    </xf>
    <xf numFmtId="0" fontId="57" fillId="0" borderId="0" xfId="7" applyFont="1"/>
    <xf numFmtId="0" fontId="56" fillId="0" borderId="1" xfId="7" applyFont="1" applyBorder="1"/>
    <xf numFmtId="0" fontId="58" fillId="0" borderId="0" xfId="0" applyFont="1" applyAlignment="1">
      <alignment vertical="center" wrapText="1"/>
    </xf>
    <xf numFmtId="0" fontId="56" fillId="0" borderId="0" xfId="7" applyFont="1" applyAlignment="1">
      <alignment wrapText="1"/>
    </xf>
    <xf numFmtId="0" fontId="59" fillId="0" borderId="0" xfId="0" applyFont="1" applyAlignment="1">
      <alignment wrapText="1"/>
    </xf>
    <xf numFmtId="0" fontId="60" fillId="0" borderId="0" xfId="7" applyFont="1" applyAlignment="1">
      <alignment horizontal="center" vertical="center" wrapText="1"/>
    </xf>
    <xf numFmtId="0" fontId="61" fillId="0" borderId="0" xfId="7" applyFont="1"/>
    <xf numFmtId="0" fontId="12" fillId="0" borderId="0" xfId="6" applyFont="1" applyAlignment="1">
      <alignment vertical="center"/>
    </xf>
    <xf numFmtId="0" fontId="7" fillId="0" borderId="0" xfId="0" applyFont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 indent="2"/>
    </xf>
    <xf numFmtId="0" fontId="20" fillId="5" borderId="10" xfId="1" applyFont="1" applyFill="1" applyBorder="1" applyAlignment="1" applyProtection="1">
      <alignment horizontal="left" vertical="center" wrapText="1"/>
      <protection locked="0"/>
    </xf>
    <xf numFmtId="1" fontId="13" fillId="0" borderId="11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20" fillId="5" borderId="1" xfId="1" applyFont="1" applyFill="1" applyBorder="1" applyAlignment="1" applyProtection="1">
      <alignment horizontal="center" vertical="center" wrapText="1"/>
      <protection locked="0"/>
    </xf>
    <xf numFmtId="0" fontId="20" fillId="5" borderId="4" xfId="1" applyFont="1" applyFill="1" applyBorder="1" applyAlignment="1" applyProtection="1">
      <alignment horizontal="center" vertical="center" wrapText="1"/>
      <protection locked="0"/>
    </xf>
    <xf numFmtId="0" fontId="20" fillId="5" borderId="10" xfId="1" applyFont="1" applyFill="1" applyBorder="1" applyAlignment="1" applyProtection="1">
      <alignment horizontal="center" vertical="center" wrapText="1"/>
      <protection locked="0"/>
    </xf>
    <xf numFmtId="0" fontId="20" fillId="5" borderId="11" xfId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/>
    </xf>
    <xf numFmtId="0" fontId="40" fillId="0" borderId="1" xfId="6" applyFont="1" applyBorder="1" applyAlignment="1">
      <alignment horizontal="center" vertical="center" wrapText="1"/>
    </xf>
    <xf numFmtId="0" fontId="18" fillId="0" borderId="0" xfId="7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63" fillId="18" borderId="12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0" xfId="0" applyFill="1" applyAlignment="1">
      <alignment wrapText="1"/>
    </xf>
    <xf numFmtId="0" fontId="0" fillId="19" borderId="1" xfId="0" applyFill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41" fillId="10" borderId="1" xfId="0" applyFont="1" applyFill="1" applyBorder="1" applyAlignment="1" applyProtection="1">
      <alignment horizontal="center" vertical="center" wrapText="1"/>
    </xf>
    <xf numFmtId="0" fontId="34" fillId="10" borderId="1" xfId="0" applyFont="1" applyFill="1" applyBorder="1" applyAlignment="1" applyProtection="1">
      <alignment horizontal="center" vertical="center"/>
    </xf>
    <xf numFmtId="0" fontId="22" fillId="10" borderId="1" xfId="0" applyFont="1" applyFill="1" applyBorder="1" applyAlignment="1" applyProtection="1">
      <alignment vertical="center" wrapText="1"/>
    </xf>
    <xf numFmtId="49" fontId="8" fillId="0" borderId="1" xfId="0" applyNumberFormat="1" applyFont="1" applyBorder="1" applyAlignment="1" applyProtection="1">
      <alignment wrapText="1"/>
    </xf>
    <xf numFmtId="0" fontId="22" fillId="10" borderId="1" xfId="0" applyFont="1" applyFill="1" applyBorder="1" applyAlignment="1" applyProtection="1">
      <alignment wrapText="1"/>
    </xf>
    <xf numFmtId="0" fontId="8" fillId="0" borderId="1" xfId="0" applyFont="1" applyBorder="1" applyAlignment="1" applyProtection="1">
      <alignment wrapText="1"/>
    </xf>
    <xf numFmtId="0" fontId="7" fillId="21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20" borderId="1" xfId="0" applyFont="1" applyFill="1" applyBorder="1" applyAlignment="1" applyProtection="1">
      <alignment horizontal="center" vertical="center"/>
    </xf>
    <xf numFmtId="0" fontId="0" fillId="0" borderId="0" xfId="0" applyFont="1" applyAlignment="1" applyProtection="1">
      <alignment wrapText="1"/>
    </xf>
    <xf numFmtId="0" fontId="7" fillId="12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</xf>
    <xf numFmtId="0" fontId="62" fillId="0" borderId="1" xfId="0" applyFont="1" applyBorder="1" applyAlignment="1" applyProtection="1">
      <alignment horizontal="center" vertical="center" wrapText="1"/>
    </xf>
  </cellXfs>
  <cellStyles count="14">
    <cellStyle name="_SDH Megafon_Order_21062005_~3120416 9" xfId="1"/>
    <cellStyle name="default_style" xfId="2"/>
    <cellStyle name="marked_style" xfId="3"/>
    <cellStyle name="Normal_PO019_Kavkaz 3Q'04_21.06.04." xfId="4"/>
    <cellStyle name="system_header_style" xfId="5"/>
    <cellStyle name="Обычный" xfId="0" builtinId="0"/>
    <cellStyle name="Обычный 10 2 2 2 2" xfId="6"/>
    <cellStyle name="Обычный 2" xfId="7"/>
    <cellStyle name="Обычный 2 3" xfId="8"/>
    <cellStyle name="Обычный 2 4" xfId="9"/>
    <cellStyle name="Обычный 2 40" xfId="10"/>
    <cellStyle name="Обычный 26 8" xfId="11"/>
    <cellStyle name="Обычный 26 8 2" xfId="12"/>
    <cellStyle name="Обычный 3" xfId="1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EEEEEE"/>
      <rgbColor rgb="FF9DC3E6"/>
      <rgbColor rgb="FFEDEDED"/>
      <rgbColor rgb="FFDAE3F3"/>
      <rgbColor rgb="FFDDDDDD"/>
      <rgbColor rgb="FF3366FF"/>
      <rgbColor rgb="FF33CCCC"/>
      <rgbColor rgb="FF99CC00"/>
      <rgbColor rgb="FFFFCC00"/>
      <rgbColor rgb="FFFF9900"/>
      <rgbColor rgb="FFFF6600"/>
      <rgbColor rgb="FF666699"/>
      <rgbColor rgb="FFC5E0B4"/>
      <rgbColor rgb="FF003366"/>
      <rgbColor rgb="FF00B050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iki.astralinux.ru/brest/4.0.1/vozmoyonosti-hranilishch-v-pk-sv-brest-348178368.html" TargetMode="External"/><Relationship Id="rId2" Type="http://schemas.openxmlformats.org/officeDocument/2006/relationships/hyperlink" Target="https://www.ispsystem.ru/docs/dcimanager-admin/oborudovanie/servery/otchty" TargetMode="External"/><Relationship Id="rId1" Type="http://schemas.openxmlformats.org/officeDocument/2006/relationships/hyperlink" Target="https://astra.ru/ready-for-astra/compatible-hardwar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stra.ru/ready-for-astra/compatible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B1:T77"/>
  <sheetViews>
    <sheetView tabSelected="1" zoomScale="115" zoomScaleNormal="115" workbookViewId="0">
      <selection activeCell="A58" sqref="A58"/>
    </sheetView>
  </sheetViews>
  <sheetFormatPr defaultColWidth="8.77734375" defaultRowHeight="16.55" customHeight="1" x14ac:dyDescent="0.3"/>
  <cols>
    <col min="1" max="2" width="8.77734375" style="1"/>
    <col min="3" max="3" width="4.44140625" style="1" customWidth="1"/>
    <col min="4" max="4" width="15.33203125" style="1" customWidth="1"/>
    <col min="5" max="5" width="11" style="1" customWidth="1"/>
    <col min="6" max="7" width="10.44140625" style="1" customWidth="1"/>
    <col min="8" max="9" width="11.109375" style="1" customWidth="1"/>
    <col min="10" max="11" width="8.77734375" style="1"/>
    <col min="12" max="12" width="12.44140625" style="1" customWidth="1"/>
    <col min="13" max="23" width="8.77734375" style="1"/>
    <col min="24" max="24" width="15" style="1" customWidth="1"/>
    <col min="25" max="25" width="10.44140625" style="1" customWidth="1"/>
    <col min="26" max="16384" width="8.77734375" style="1"/>
  </cols>
  <sheetData>
    <row r="1" spans="2:19" ht="15.75" x14ac:dyDescent="0.3">
      <c r="L1" s="2" t="s">
        <v>0</v>
      </c>
    </row>
    <row r="2" spans="2:19" ht="15.75" x14ac:dyDescent="0.3">
      <c r="L2" s="2" t="s">
        <v>1</v>
      </c>
    </row>
    <row r="3" spans="2:19" ht="15.75" x14ac:dyDescent="0.3">
      <c r="L3" s="2"/>
    </row>
    <row r="4" spans="2:19" ht="17.7" x14ac:dyDescent="0.3">
      <c r="B4" s="3" t="s">
        <v>2</v>
      </c>
      <c r="C4" s="3"/>
      <c r="D4" s="3"/>
      <c r="F4" s="3"/>
      <c r="G4" s="3"/>
      <c r="H4" s="3"/>
      <c r="I4" s="3"/>
      <c r="J4" s="3"/>
      <c r="K4" s="3"/>
      <c r="L4" s="3"/>
    </row>
    <row r="5" spans="2:19" ht="17.7" x14ac:dyDescent="0.3">
      <c r="B5" s="4" t="s">
        <v>3</v>
      </c>
      <c r="C5" s="3"/>
      <c r="D5" s="3"/>
      <c r="G5" s="3"/>
      <c r="H5" s="3"/>
      <c r="I5" s="3"/>
      <c r="J5" s="3"/>
      <c r="K5" s="3"/>
      <c r="L5" s="3"/>
    </row>
    <row r="6" spans="2:19" ht="17.7" x14ac:dyDescent="0.3">
      <c r="B6" s="5" t="s">
        <v>4</v>
      </c>
      <c r="C6" s="3"/>
      <c r="D6" s="3"/>
      <c r="E6" s="3"/>
      <c r="F6" s="5"/>
      <c r="G6" s="3"/>
      <c r="H6" s="3"/>
      <c r="I6" s="3"/>
      <c r="J6" s="3"/>
      <c r="K6" s="3"/>
      <c r="L6" s="3"/>
    </row>
    <row r="7" spans="2:19" ht="17.7" x14ac:dyDescent="0.3">
      <c r="B7" s="5"/>
      <c r="C7" s="3"/>
      <c r="D7" s="3"/>
      <c r="E7" s="3"/>
      <c r="F7" s="5"/>
      <c r="G7" s="3"/>
      <c r="H7" s="3"/>
      <c r="I7" s="3"/>
      <c r="J7" s="3"/>
      <c r="K7" s="3"/>
      <c r="L7" s="3"/>
    </row>
    <row r="8" spans="2:19" ht="17.7" x14ac:dyDescent="0.3">
      <c r="B8" s="3" t="s">
        <v>5</v>
      </c>
      <c r="C8" s="3"/>
      <c r="E8" s="6"/>
      <c r="F8" s="6"/>
      <c r="G8" s="6"/>
      <c r="H8" s="6"/>
      <c r="I8" s="6"/>
      <c r="J8" s="6"/>
      <c r="K8" s="6"/>
      <c r="L8" s="6"/>
      <c r="M8" s="7"/>
    </row>
    <row r="9" spans="2:19" ht="17.7" x14ac:dyDescent="0.3">
      <c r="B9" s="8" t="s">
        <v>6</v>
      </c>
      <c r="C9" s="3"/>
      <c r="D9" s="8"/>
      <c r="E9" s="6"/>
      <c r="F9" s="6"/>
      <c r="G9" s="6"/>
      <c r="H9" s="6"/>
      <c r="I9" s="6"/>
      <c r="J9" s="6"/>
      <c r="K9" s="6"/>
      <c r="L9" s="6"/>
      <c r="M9" s="7"/>
    </row>
    <row r="10" spans="2:19" ht="17.7" x14ac:dyDescent="0.3">
      <c r="B10" s="9"/>
      <c r="C10" s="9"/>
      <c r="D10" s="10"/>
      <c r="E10" s="9"/>
      <c r="F10" s="11"/>
      <c r="G10" s="9"/>
      <c r="H10" s="9"/>
      <c r="I10" s="9"/>
      <c r="J10" s="9"/>
      <c r="K10" s="9"/>
      <c r="L10" s="9"/>
    </row>
    <row r="11" spans="2:19" ht="17.7" x14ac:dyDescent="0.3">
      <c r="B11" s="12" t="s">
        <v>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2:19" ht="15.05" customHeight="1" x14ac:dyDescent="0.3">
      <c r="B12" s="1" t="s">
        <v>8</v>
      </c>
    </row>
    <row r="13" spans="2:19" ht="15.05" x14ac:dyDescent="0.3">
      <c r="B13" s="13" t="s">
        <v>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2:19" ht="15.05" x14ac:dyDescent="0.3">
      <c r="B14" s="13" t="s">
        <v>10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2:19" ht="15.05" x14ac:dyDescent="0.3">
      <c r="B15" s="13" t="s">
        <v>11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2:19" ht="15.05" x14ac:dyDescent="0.3">
      <c r="B16" s="13" t="s">
        <v>12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2:19" ht="15.05" x14ac:dyDescent="0.3">
      <c r="B17" s="14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2:19" ht="15.05" x14ac:dyDescent="0.3">
      <c r="B18" s="14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2:19" ht="15.05" customHeight="1" x14ac:dyDescent="0.3">
      <c r="B19" s="12" t="s">
        <v>13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9" ht="15.05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2:19" ht="15.75" customHeight="1" x14ac:dyDescent="0.3">
      <c r="B21" s="16" t="s">
        <v>14</v>
      </c>
      <c r="D21" s="13"/>
      <c r="E21" s="13"/>
      <c r="F21" s="13"/>
      <c r="G21" s="13"/>
      <c r="H21" s="13"/>
      <c r="I21" s="13"/>
      <c r="J21" s="13"/>
      <c r="K21" s="13"/>
      <c r="L21" s="13"/>
      <c r="M21" s="17"/>
      <c r="N21" s="17"/>
      <c r="O21" s="17"/>
      <c r="P21" s="17"/>
      <c r="Q21" s="17"/>
      <c r="R21" s="17"/>
      <c r="S21" s="13"/>
    </row>
    <row r="22" spans="2:19" ht="15.75" customHeight="1" x14ac:dyDescent="0.3">
      <c r="B22" s="18" t="s">
        <v>15</v>
      </c>
      <c r="D22" s="13"/>
      <c r="E22" s="13"/>
      <c r="F22" s="13"/>
      <c r="G22" s="13"/>
      <c r="H22" s="13"/>
      <c r="I22" s="13"/>
      <c r="J22" s="13"/>
      <c r="K22" s="13"/>
      <c r="L22" s="13"/>
      <c r="M22" s="17"/>
      <c r="N22" s="17"/>
      <c r="O22" s="17"/>
      <c r="P22" s="17"/>
      <c r="Q22" s="17"/>
      <c r="R22" s="17"/>
      <c r="S22" s="13"/>
    </row>
    <row r="23" spans="2:19" ht="15.75" customHeight="1" x14ac:dyDescent="0.3">
      <c r="B23" s="18" t="s">
        <v>16</v>
      </c>
      <c r="D23" s="13"/>
      <c r="E23" s="13"/>
      <c r="F23" s="13"/>
      <c r="G23" s="13"/>
      <c r="H23" s="13"/>
      <c r="I23" s="13"/>
      <c r="J23" s="13"/>
      <c r="K23" s="13"/>
      <c r="L23" s="13"/>
      <c r="M23" s="17"/>
      <c r="N23" s="17"/>
      <c r="O23" s="17"/>
      <c r="P23" s="17"/>
      <c r="Q23" s="17"/>
      <c r="R23" s="17"/>
      <c r="S23" s="13"/>
    </row>
    <row r="24" spans="2:19" ht="15.75" customHeight="1" x14ac:dyDescent="0.3">
      <c r="B24" s="18" t="s">
        <v>17</v>
      </c>
      <c r="D24" s="13"/>
      <c r="E24" s="13"/>
      <c r="F24" s="13"/>
      <c r="G24" s="13"/>
      <c r="H24" s="13"/>
      <c r="I24" s="13"/>
      <c r="J24" s="13"/>
      <c r="K24" s="13"/>
      <c r="L24" s="13"/>
      <c r="M24" s="17"/>
      <c r="N24" s="17"/>
      <c r="O24" s="17"/>
      <c r="P24" s="17"/>
      <c r="Q24" s="17"/>
      <c r="R24" s="17"/>
      <c r="S24" s="13"/>
    </row>
    <row r="25" spans="2:19" ht="15.75" customHeight="1" x14ac:dyDescent="0.3">
      <c r="B25" s="16" t="s">
        <v>18</v>
      </c>
      <c r="D25" s="13"/>
      <c r="E25" s="13"/>
      <c r="F25" s="13"/>
      <c r="G25" s="13"/>
      <c r="H25" s="13"/>
      <c r="I25" s="13"/>
      <c r="J25" s="13"/>
      <c r="K25" s="13"/>
      <c r="L25" s="13"/>
      <c r="M25" s="17"/>
      <c r="N25" s="17"/>
      <c r="O25" s="17"/>
      <c r="P25" s="17"/>
      <c r="Q25" s="17"/>
      <c r="R25" s="17"/>
      <c r="S25" s="13"/>
    </row>
    <row r="26" spans="2:19" ht="15.05" x14ac:dyDescent="0.3">
      <c r="B26" s="13" t="s">
        <v>19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2:19" ht="15.05" x14ac:dyDescent="0.3">
      <c r="B27" s="16" t="s">
        <v>20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2:19" ht="15.05" x14ac:dyDescent="0.3">
      <c r="B28" s="13" t="s">
        <v>21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2:19" ht="15.05" x14ac:dyDescent="0.3">
      <c r="B29" s="13" t="s">
        <v>22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2:19" ht="15.05" x14ac:dyDescent="0.3">
      <c r="B30" s="16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2:19" ht="15.05" x14ac:dyDescent="0.3">
      <c r="B31" s="16" t="s">
        <v>24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2:19" ht="15.05" x14ac:dyDescent="0.3">
      <c r="B32" s="16" t="s">
        <v>25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2:20" ht="15.05" x14ac:dyDescent="0.3"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2:20" ht="15.05" x14ac:dyDescent="0.3">
      <c r="B34" s="1" t="s">
        <v>26</v>
      </c>
    </row>
    <row r="35" spans="2:20" ht="16.55" customHeight="1" x14ac:dyDescent="0.3">
      <c r="B35" s="200" t="s">
        <v>27</v>
      </c>
      <c r="C35" s="19" t="s">
        <v>28</v>
      </c>
      <c r="D35" s="20" t="s">
        <v>29</v>
      </c>
      <c r="E35" s="21">
        <v>1</v>
      </c>
      <c r="F35" s="22"/>
      <c r="G35" s="22"/>
      <c r="H35" s="22"/>
      <c r="I35" s="22"/>
      <c r="J35" s="22"/>
      <c r="K35" s="22"/>
      <c r="L35" s="22"/>
      <c r="M35" s="22"/>
    </row>
    <row r="36" spans="2:20" ht="15.05" x14ac:dyDescent="0.3">
      <c r="B36" s="200"/>
      <c r="C36" s="19" t="s">
        <v>28</v>
      </c>
      <c r="D36" s="19" t="s">
        <v>30</v>
      </c>
      <c r="E36" s="21">
        <v>4</v>
      </c>
      <c r="F36" s="22"/>
      <c r="G36" s="22"/>
      <c r="H36" s="22"/>
      <c r="I36" s="22"/>
      <c r="J36" s="22"/>
      <c r="K36" s="22"/>
      <c r="L36" s="22"/>
      <c r="M36" s="22"/>
      <c r="Q36" s="23"/>
      <c r="R36" s="23"/>
      <c r="S36" s="23"/>
      <c r="T36" s="23"/>
    </row>
    <row r="38" spans="2:20" ht="15.05" x14ac:dyDescent="0.3">
      <c r="B38" s="1" t="s">
        <v>31</v>
      </c>
    </row>
    <row r="39" spans="2:20" ht="15.05" x14ac:dyDescent="0.3">
      <c r="B39" s="23" t="s">
        <v>32</v>
      </c>
    </row>
    <row r="40" spans="2:20" ht="15.05" x14ac:dyDescent="0.3">
      <c r="B40" s="23"/>
    </row>
    <row r="41" spans="2:20" ht="15.05" x14ac:dyDescent="0.3">
      <c r="E41" s="24" t="s">
        <v>33</v>
      </c>
      <c r="F41" s="25" t="s">
        <v>34</v>
      </c>
      <c r="G41" s="25" t="s">
        <v>35</v>
      </c>
      <c r="H41" s="25" t="s">
        <v>36</v>
      </c>
      <c r="I41" s="25" t="s">
        <v>37</v>
      </c>
      <c r="J41" s="25" t="s">
        <v>38</v>
      </c>
      <c r="K41" s="25" t="s">
        <v>39</v>
      </c>
      <c r="L41" s="26" t="s">
        <v>40</v>
      </c>
    </row>
    <row r="42" spans="2:20" ht="16.55" customHeight="1" x14ac:dyDescent="0.3">
      <c r="B42" s="201" t="s">
        <v>27</v>
      </c>
      <c r="C42" s="27" t="s">
        <v>28</v>
      </c>
      <c r="D42" s="28" t="s">
        <v>29</v>
      </c>
      <c r="E42" s="29">
        <v>3</v>
      </c>
      <c r="F42" s="30">
        <v>8</v>
      </c>
      <c r="G42" s="30">
        <v>8</v>
      </c>
      <c r="H42" s="30">
        <v>8</v>
      </c>
      <c r="I42" s="30">
        <v>1</v>
      </c>
      <c r="J42" s="30">
        <v>0</v>
      </c>
      <c r="K42" s="30">
        <v>0</v>
      </c>
      <c r="L42" s="31">
        <f>SUM(E42:K42)</f>
        <v>28</v>
      </c>
    </row>
    <row r="43" spans="2:20" ht="15.05" x14ac:dyDescent="0.3">
      <c r="B43" s="201"/>
      <c r="C43" s="32" t="s">
        <v>28</v>
      </c>
      <c r="D43" s="32" t="s">
        <v>30</v>
      </c>
      <c r="E43" s="33">
        <v>15</v>
      </c>
      <c r="F43" s="34">
        <v>249</v>
      </c>
      <c r="G43" s="34">
        <v>290</v>
      </c>
      <c r="H43" s="34">
        <v>752</v>
      </c>
      <c r="I43" s="34">
        <v>591</v>
      </c>
      <c r="J43" s="34">
        <v>625</v>
      </c>
      <c r="K43" s="34">
        <v>391</v>
      </c>
      <c r="L43" s="35">
        <f>SUM(E43:K43)</f>
        <v>2913</v>
      </c>
      <c r="P43" s="23"/>
      <c r="Q43" s="23"/>
      <c r="R43" s="23"/>
      <c r="S43" s="23"/>
    </row>
    <row r="44" spans="2:20" ht="15.05" customHeight="1" x14ac:dyDescent="0.3">
      <c r="B44" s="36" t="s">
        <v>41</v>
      </c>
      <c r="C44" s="36"/>
      <c r="D44" s="36"/>
      <c r="E44" s="36"/>
      <c r="F44" s="36"/>
    </row>
    <row r="45" spans="2:20" ht="15.05" customHeight="1" x14ac:dyDescent="0.3"/>
    <row r="46" spans="2:20" ht="16.55" customHeight="1" x14ac:dyDescent="0.3">
      <c r="B46" s="1" t="s">
        <v>42</v>
      </c>
    </row>
    <row r="47" spans="2:20" ht="15.05" x14ac:dyDescent="0.3">
      <c r="B47" s="23" t="s">
        <v>43</v>
      </c>
    </row>
    <row r="48" spans="2:20" ht="15.05" x14ac:dyDescent="0.3">
      <c r="B48" s="23"/>
    </row>
    <row r="49" spans="2:14" ht="27" customHeight="1" x14ac:dyDescent="0.3">
      <c r="E49" s="202" t="s">
        <v>44</v>
      </c>
      <c r="F49" s="202"/>
      <c r="G49" s="203" t="s">
        <v>45</v>
      </c>
      <c r="H49" s="203"/>
      <c r="I49" s="37"/>
    </row>
    <row r="50" spans="2:14" ht="25.55" customHeight="1" x14ac:dyDescent="0.3">
      <c r="B50" s="196" t="s">
        <v>46</v>
      </c>
      <c r="C50" s="196"/>
      <c r="D50" s="196"/>
      <c r="E50" s="197">
        <v>5</v>
      </c>
      <c r="F50" s="197"/>
      <c r="G50" s="197" t="s">
        <v>47</v>
      </c>
      <c r="H50" s="197"/>
      <c r="I50" s="38"/>
    </row>
    <row r="51" spans="2:14" ht="24.05" customHeight="1" x14ac:dyDescent="0.3">
      <c r="B51" s="196" t="s">
        <v>48</v>
      </c>
      <c r="C51" s="196"/>
      <c r="D51" s="196"/>
      <c r="E51" s="197">
        <v>5</v>
      </c>
      <c r="F51" s="197"/>
      <c r="G51" s="197" t="s">
        <v>47</v>
      </c>
      <c r="H51" s="197"/>
      <c r="I51" s="38"/>
    </row>
    <row r="52" spans="2:14" ht="20.3" customHeight="1" x14ac:dyDescent="0.3">
      <c r="B52" s="196" t="s">
        <v>49</v>
      </c>
      <c r="C52" s="196"/>
      <c r="D52" s="196"/>
      <c r="E52" s="197">
        <v>5</v>
      </c>
      <c r="F52" s="197"/>
      <c r="G52" s="197" t="s">
        <v>47</v>
      </c>
      <c r="H52" s="197"/>
      <c r="I52" s="38"/>
    </row>
    <row r="53" spans="2:14" ht="29.3" customHeight="1" x14ac:dyDescent="0.3">
      <c r="B53" s="196" t="s">
        <v>50</v>
      </c>
      <c r="C53" s="196"/>
      <c r="D53" s="196"/>
      <c r="E53" s="197">
        <v>5</v>
      </c>
      <c r="F53" s="197"/>
      <c r="G53" s="197" t="s">
        <v>47</v>
      </c>
      <c r="H53" s="197"/>
      <c r="I53" s="38"/>
    </row>
    <row r="54" spans="2:14" ht="42.05" customHeight="1" x14ac:dyDescent="0.3">
      <c r="B54" s="196" t="s">
        <v>51</v>
      </c>
      <c r="C54" s="196"/>
      <c r="D54" s="196"/>
      <c r="E54" s="197">
        <v>5</v>
      </c>
      <c r="F54" s="197"/>
      <c r="G54" s="197" t="s">
        <v>47</v>
      </c>
      <c r="H54" s="197"/>
      <c r="I54" s="38"/>
    </row>
    <row r="55" spans="2:14" ht="29.3" customHeight="1" x14ac:dyDescent="0.3">
      <c r="B55" s="196" t="s">
        <v>52</v>
      </c>
      <c r="C55" s="196"/>
      <c r="D55" s="196"/>
      <c r="E55" s="197" t="s">
        <v>47</v>
      </c>
      <c r="F55" s="197"/>
      <c r="G55" s="197">
        <v>2</v>
      </c>
      <c r="H55" s="197"/>
      <c r="I55" s="38"/>
    </row>
    <row r="58" spans="2:14" ht="15.05" x14ac:dyDescent="0.3">
      <c r="B58" s="1" t="s">
        <v>53</v>
      </c>
    </row>
    <row r="59" spans="2:14" ht="15.05" x14ac:dyDescent="0.3">
      <c r="B59" s="1" t="s">
        <v>54</v>
      </c>
    </row>
    <row r="61" spans="2:14" ht="16.55" customHeight="1" x14ac:dyDescent="0.3">
      <c r="B61" s="39" t="s">
        <v>55</v>
      </c>
      <c r="C61" s="198" t="s">
        <v>56</v>
      </c>
      <c r="D61" s="198"/>
      <c r="E61" s="198"/>
      <c r="F61" s="198"/>
      <c r="G61" s="39" t="s">
        <v>57</v>
      </c>
      <c r="H61" s="40" t="s">
        <v>34</v>
      </c>
      <c r="I61" s="40" t="s">
        <v>35</v>
      </c>
      <c r="J61" s="40" t="s">
        <v>36</v>
      </c>
      <c r="K61" s="40" t="s">
        <v>37</v>
      </c>
      <c r="L61" s="40" t="s">
        <v>38</v>
      </c>
      <c r="M61" s="40" t="s">
        <v>39</v>
      </c>
      <c r="N61" s="41" t="s">
        <v>40</v>
      </c>
    </row>
    <row r="62" spans="2:14" ht="70.55" customHeight="1" x14ac:dyDescent="0.3">
      <c r="B62" s="42">
        <v>1</v>
      </c>
      <c r="C62" s="199" t="s">
        <v>58</v>
      </c>
      <c r="D62" s="199"/>
      <c r="E62" s="199"/>
      <c r="F62" s="199"/>
      <c r="G62" s="43"/>
      <c r="H62" s="44"/>
      <c r="I62" s="44"/>
      <c r="J62" s="44"/>
      <c r="K62" s="44"/>
      <c r="L62" s="44"/>
      <c r="M62" s="44"/>
      <c r="N62" s="43"/>
    </row>
    <row r="63" spans="2:14" ht="27" customHeight="1" x14ac:dyDescent="0.3">
      <c r="B63" s="45" t="s">
        <v>59</v>
      </c>
      <c r="C63" s="195" t="s">
        <v>60</v>
      </c>
      <c r="D63" s="195"/>
      <c r="E63" s="195"/>
      <c r="F63" s="195"/>
      <c r="G63" s="43"/>
      <c r="H63" s="46">
        <v>8</v>
      </c>
      <c r="I63" s="46">
        <v>8</v>
      </c>
      <c r="J63" s="46">
        <v>8</v>
      </c>
      <c r="K63" s="46">
        <v>1</v>
      </c>
      <c r="L63" s="46">
        <v>0</v>
      </c>
      <c r="M63" s="46">
        <v>0</v>
      </c>
      <c r="N63" s="42">
        <f t="shared" ref="N63:N77" si="0">SUM(H63:M63)</f>
        <v>25</v>
      </c>
    </row>
    <row r="64" spans="2:14" ht="42.05" customHeight="1" x14ac:dyDescent="0.3">
      <c r="B64" s="45" t="s">
        <v>61</v>
      </c>
      <c r="C64" s="195" t="s">
        <v>62</v>
      </c>
      <c r="D64" s="195"/>
      <c r="E64" s="195"/>
      <c r="F64" s="195"/>
      <c r="G64" s="43"/>
      <c r="H64" s="46">
        <v>8</v>
      </c>
      <c r="I64" s="46">
        <v>8</v>
      </c>
      <c r="J64" s="46">
        <v>8</v>
      </c>
      <c r="K64" s="46">
        <v>1</v>
      </c>
      <c r="L64" s="46">
        <v>0</v>
      </c>
      <c r="M64" s="46">
        <v>0</v>
      </c>
      <c r="N64" s="42">
        <f t="shared" si="0"/>
        <v>25</v>
      </c>
    </row>
    <row r="65" spans="2:14" ht="44.2" customHeight="1" x14ac:dyDescent="0.3">
      <c r="B65" s="45" t="s">
        <v>63</v>
      </c>
      <c r="C65" s="195" t="s">
        <v>64</v>
      </c>
      <c r="D65" s="195"/>
      <c r="E65" s="195"/>
      <c r="F65" s="195"/>
      <c r="G65" s="43"/>
      <c r="H65" s="46">
        <v>8</v>
      </c>
      <c r="I65" s="46">
        <v>8</v>
      </c>
      <c r="J65" s="46">
        <v>8</v>
      </c>
      <c r="K65" s="46">
        <v>1</v>
      </c>
      <c r="L65" s="46">
        <v>0</v>
      </c>
      <c r="M65" s="46">
        <v>0</v>
      </c>
      <c r="N65" s="42">
        <f t="shared" si="0"/>
        <v>25</v>
      </c>
    </row>
    <row r="66" spans="2:14" ht="44.2" customHeight="1" x14ac:dyDescent="0.3">
      <c r="B66" s="45" t="s">
        <v>65</v>
      </c>
      <c r="C66" s="195" t="s">
        <v>66</v>
      </c>
      <c r="D66" s="195"/>
      <c r="E66" s="195"/>
      <c r="F66" s="195"/>
      <c r="G66" s="43"/>
      <c r="H66" s="46">
        <v>8</v>
      </c>
      <c r="I66" s="46">
        <v>8</v>
      </c>
      <c r="J66" s="46">
        <v>8</v>
      </c>
      <c r="K66" s="46">
        <v>1</v>
      </c>
      <c r="L66" s="46">
        <v>0</v>
      </c>
      <c r="M66" s="46">
        <v>0</v>
      </c>
      <c r="N66" s="42">
        <f t="shared" si="0"/>
        <v>25</v>
      </c>
    </row>
    <row r="67" spans="2:14" ht="71.2" customHeight="1" x14ac:dyDescent="0.3">
      <c r="B67" s="42">
        <v>2</v>
      </c>
      <c r="C67" s="194" t="s">
        <v>67</v>
      </c>
      <c r="D67" s="194"/>
      <c r="E67" s="194"/>
      <c r="F67" s="194"/>
      <c r="G67" s="43"/>
      <c r="H67" s="47">
        <v>0</v>
      </c>
      <c r="I67" s="47">
        <v>2</v>
      </c>
      <c r="J67" s="47">
        <v>5</v>
      </c>
      <c r="K67" s="47">
        <v>13</v>
      </c>
      <c r="L67" s="47">
        <v>19</v>
      </c>
      <c r="M67" s="47">
        <v>25</v>
      </c>
      <c r="N67" s="42">
        <f t="shared" si="0"/>
        <v>64</v>
      </c>
    </row>
    <row r="68" spans="2:14" ht="99" customHeight="1" x14ac:dyDescent="0.3">
      <c r="B68" s="42">
        <f t="shared" ref="B68:B73" si="1">B67+1</f>
        <v>3</v>
      </c>
      <c r="C68" s="194" t="s">
        <v>68</v>
      </c>
      <c r="D68" s="194"/>
      <c r="E68" s="194"/>
      <c r="F68" s="194"/>
      <c r="G68" s="43"/>
      <c r="H68" s="47">
        <v>2</v>
      </c>
      <c r="I68" s="47">
        <v>2</v>
      </c>
      <c r="J68" s="47">
        <v>2</v>
      </c>
      <c r="K68" s="47">
        <v>2</v>
      </c>
      <c r="L68" s="47">
        <v>2</v>
      </c>
      <c r="M68" s="47">
        <v>2</v>
      </c>
      <c r="N68" s="42">
        <f t="shared" si="0"/>
        <v>12</v>
      </c>
    </row>
    <row r="69" spans="2:14" ht="75.8" customHeight="1" x14ac:dyDescent="0.3">
      <c r="B69" s="42">
        <f t="shared" si="1"/>
        <v>4</v>
      </c>
      <c r="C69" s="194" t="s">
        <v>69</v>
      </c>
      <c r="D69" s="194"/>
      <c r="E69" s="194"/>
      <c r="F69" s="194"/>
      <c r="G69" s="43"/>
      <c r="H69" s="47">
        <v>10</v>
      </c>
      <c r="I69" s="47">
        <v>10</v>
      </c>
      <c r="J69" s="47">
        <v>10</v>
      </c>
      <c r="K69" s="47">
        <v>10</v>
      </c>
      <c r="L69" s="47">
        <v>10</v>
      </c>
      <c r="M69" s="47">
        <v>10</v>
      </c>
      <c r="N69" s="42">
        <f t="shared" si="0"/>
        <v>60</v>
      </c>
    </row>
    <row r="70" spans="2:14" ht="84.8" customHeight="1" x14ac:dyDescent="0.3">
      <c r="B70" s="42">
        <f t="shared" si="1"/>
        <v>5</v>
      </c>
      <c r="C70" s="194" t="s">
        <v>70</v>
      </c>
      <c r="D70" s="194"/>
      <c r="E70" s="194"/>
      <c r="F70" s="194"/>
      <c r="G70" s="43"/>
      <c r="H70" s="47">
        <v>15</v>
      </c>
      <c r="I70" s="47">
        <v>15</v>
      </c>
      <c r="J70" s="47">
        <v>15</v>
      </c>
      <c r="K70" s="47">
        <v>15</v>
      </c>
      <c r="L70" s="47">
        <v>15</v>
      </c>
      <c r="M70" s="47">
        <v>15</v>
      </c>
      <c r="N70" s="42">
        <f t="shared" si="0"/>
        <v>90</v>
      </c>
    </row>
    <row r="71" spans="2:14" ht="51.75" customHeight="1" x14ac:dyDescent="0.3">
      <c r="B71" s="42">
        <f t="shared" si="1"/>
        <v>6</v>
      </c>
      <c r="C71" s="194" t="s">
        <v>71</v>
      </c>
      <c r="D71" s="194"/>
      <c r="E71" s="194"/>
      <c r="F71" s="194"/>
      <c r="G71" s="43"/>
      <c r="H71" s="47">
        <v>2</v>
      </c>
      <c r="I71" s="47">
        <v>2</v>
      </c>
      <c r="J71" s="47">
        <v>2</v>
      </c>
      <c r="K71" s="47">
        <v>2</v>
      </c>
      <c r="L71" s="47">
        <v>2</v>
      </c>
      <c r="M71" s="47">
        <v>2</v>
      </c>
      <c r="N71" s="42">
        <f t="shared" si="0"/>
        <v>12</v>
      </c>
    </row>
    <row r="72" spans="2:14" ht="53.2" customHeight="1" x14ac:dyDescent="0.3">
      <c r="B72" s="42">
        <f t="shared" si="1"/>
        <v>7</v>
      </c>
      <c r="C72" s="194" t="s">
        <v>72</v>
      </c>
      <c r="D72" s="194"/>
      <c r="E72" s="194"/>
      <c r="F72" s="194"/>
      <c r="G72" s="43"/>
      <c r="H72" s="47">
        <v>4</v>
      </c>
      <c r="I72" s="47">
        <v>4</v>
      </c>
      <c r="J72" s="47">
        <v>4</v>
      </c>
      <c r="K72" s="47">
        <v>4</v>
      </c>
      <c r="L72" s="47">
        <v>4</v>
      </c>
      <c r="M72" s="47">
        <v>4</v>
      </c>
      <c r="N72" s="42">
        <f t="shared" si="0"/>
        <v>24</v>
      </c>
    </row>
    <row r="73" spans="2:14" ht="74.3" customHeight="1" x14ac:dyDescent="0.3">
      <c r="B73" s="42">
        <f t="shared" si="1"/>
        <v>8</v>
      </c>
      <c r="C73" s="194" t="s">
        <v>73</v>
      </c>
      <c r="D73" s="194"/>
      <c r="E73" s="194"/>
      <c r="F73" s="194"/>
      <c r="G73" s="43"/>
      <c r="H73" s="47">
        <v>1</v>
      </c>
      <c r="I73" s="47">
        <v>1</v>
      </c>
      <c r="J73" s="47">
        <v>1</v>
      </c>
      <c r="K73" s="47">
        <v>1</v>
      </c>
      <c r="L73" s="47">
        <v>1</v>
      </c>
      <c r="M73" s="47">
        <v>1</v>
      </c>
      <c r="N73" s="42">
        <f t="shared" si="0"/>
        <v>6</v>
      </c>
    </row>
    <row r="74" spans="2:14" ht="74.95" customHeight="1" x14ac:dyDescent="0.3">
      <c r="B74" s="42">
        <v>9</v>
      </c>
      <c r="C74" s="194" t="s">
        <v>74</v>
      </c>
      <c r="D74" s="194"/>
      <c r="E74" s="194"/>
      <c r="F74" s="194"/>
      <c r="G74" s="43"/>
      <c r="H74" s="47">
        <v>500</v>
      </c>
      <c r="I74" s="47">
        <v>500</v>
      </c>
      <c r="J74" s="47">
        <v>500</v>
      </c>
      <c r="K74" s="47">
        <v>500</v>
      </c>
      <c r="L74" s="47">
        <v>500</v>
      </c>
      <c r="M74" s="47">
        <v>500</v>
      </c>
      <c r="N74" s="42">
        <f t="shared" si="0"/>
        <v>3000</v>
      </c>
    </row>
    <row r="75" spans="2:14" ht="120.8" customHeight="1" x14ac:dyDescent="0.3">
      <c r="B75" s="42">
        <f>B74+1</f>
        <v>10</v>
      </c>
      <c r="C75" s="194" t="s">
        <v>75</v>
      </c>
      <c r="D75" s="194"/>
      <c r="E75" s="194"/>
      <c r="F75" s="194"/>
      <c r="G75" s="43"/>
      <c r="H75" s="47">
        <v>1</v>
      </c>
      <c r="I75" s="47">
        <v>1</v>
      </c>
      <c r="J75" s="47">
        <v>1</v>
      </c>
      <c r="K75" s="47">
        <v>1</v>
      </c>
      <c r="L75" s="47">
        <v>1</v>
      </c>
      <c r="M75" s="47">
        <v>1</v>
      </c>
      <c r="N75" s="42">
        <f t="shared" si="0"/>
        <v>6</v>
      </c>
    </row>
    <row r="76" spans="2:14" ht="134.19999999999999" customHeight="1" x14ac:dyDescent="0.3">
      <c r="B76" s="42">
        <f>B75+1</f>
        <v>11</v>
      </c>
      <c r="C76" s="194" t="s">
        <v>76</v>
      </c>
      <c r="D76" s="194"/>
      <c r="E76" s="194"/>
      <c r="F76" s="194"/>
      <c r="G76" s="43"/>
      <c r="H76" s="47">
        <v>1</v>
      </c>
      <c r="I76" s="47">
        <v>1</v>
      </c>
      <c r="J76" s="47">
        <v>1</v>
      </c>
      <c r="K76" s="47">
        <v>1</v>
      </c>
      <c r="L76" s="47">
        <v>1</v>
      </c>
      <c r="M76" s="47">
        <v>1</v>
      </c>
      <c r="N76" s="42">
        <f t="shared" si="0"/>
        <v>6</v>
      </c>
    </row>
    <row r="77" spans="2:14" ht="124.55" customHeight="1" x14ac:dyDescent="0.3">
      <c r="B77" s="42">
        <f>B76+1</f>
        <v>12</v>
      </c>
      <c r="C77" s="194" t="s">
        <v>77</v>
      </c>
      <c r="D77" s="194"/>
      <c r="E77" s="194"/>
      <c r="F77" s="194"/>
      <c r="G77" s="43"/>
      <c r="H77" s="47">
        <v>1</v>
      </c>
      <c r="I77" s="47">
        <v>1</v>
      </c>
      <c r="J77" s="47">
        <v>1</v>
      </c>
      <c r="K77" s="47">
        <v>1</v>
      </c>
      <c r="L77" s="47">
        <v>1</v>
      </c>
      <c r="M77" s="47">
        <v>1</v>
      </c>
      <c r="N77" s="42">
        <f t="shared" si="0"/>
        <v>6</v>
      </c>
    </row>
  </sheetData>
  <mergeCells count="39">
    <mergeCell ref="B35:B36"/>
    <mergeCell ref="B42:B43"/>
    <mergeCell ref="E49:F49"/>
    <mergeCell ref="G49:H49"/>
    <mergeCell ref="B50:D50"/>
    <mergeCell ref="E50:F50"/>
    <mergeCell ref="G50:H50"/>
    <mergeCell ref="B51:D51"/>
    <mergeCell ref="E51:F51"/>
    <mergeCell ref="G51:H51"/>
    <mergeCell ref="B52:D52"/>
    <mergeCell ref="E52:F52"/>
    <mergeCell ref="G52:H52"/>
    <mergeCell ref="B53:D53"/>
    <mergeCell ref="E53:F53"/>
    <mergeCell ref="G53:H53"/>
    <mergeCell ref="B54:D54"/>
    <mergeCell ref="E54:F54"/>
    <mergeCell ref="G54:H54"/>
    <mergeCell ref="B55:D55"/>
    <mergeCell ref="E55:F55"/>
    <mergeCell ref="G55:H55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F275"/>
  <sheetViews>
    <sheetView topLeftCell="A247" zoomScale="160" zoomScaleNormal="160" workbookViewId="0">
      <selection activeCell="B261" sqref="B261"/>
    </sheetView>
  </sheetViews>
  <sheetFormatPr defaultColWidth="8.6640625" defaultRowHeight="15.05" customHeight="1" x14ac:dyDescent="0.3"/>
  <cols>
    <col min="1" max="1" width="7.33203125" customWidth="1"/>
    <col min="2" max="2" width="150.44140625" style="48" customWidth="1"/>
    <col min="3" max="3" width="20.109375" style="49" customWidth="1"/>
    <col min="4" max="4" width="35" style="49" customWidth="1"/>
    <col min="5" max="5" width="45.44140625" style="50" customWidth="1"/>
    <col min="6" max="6" width="61.44140625" customWidth="1"/>
  </cols>
  <sheetData>
    <row r="1" spans="1:5" x14ac:dyDescent="0.3">
      <c r="C1" s="51" t="s">
        <v>78</v>
      </c>
    </row>
    <row r="2" spans="1:5" x14ac:dyDescent="0.3">
      <c r="C2" s="51" t="s">
        <v>1</v>
      </c>
    </row>
    <row r="3" spans="1:5" ht="17.7" x14ac:dyDescent="0.3">
      <c r="A3" s="52"/>
      <c r="C3" s="53"/>
    </row>
    <row r="4" spans="1:5" ht="17.7" x14ac:dyDescent="0.3">
      <c r="A4" s="52"/>
      <c r="B4" s="54"/>
      <c r="C4" s="53"/>
    </row>
    <row r="5" spans="1:5" x14ac:dyDescent="0.3">
      <c r="A5" s="52"/>
      <c r="B5" s="55" t="s">
        <v>79</v>
      </c>
      <c r="C5" s="204" t="s">
        <v>80</v>
      </c>
      <c r="D5" s="204"/>
      <c r="E5" s="204"/>
    </row>
    <row r="6" spans="1:5" x14ac:dyDescent="0.3">
      <c r="A6" s="56"/>
      <c r="B6" s="55" t="s">
        <v>81</v>
      </c>
      <c r="C6" s="204" t="s">
        <v>80</v>
      </c>
      <c r="D6" s="204"/>
      <c r="E6" s="204"/>
    </row>
    <row r="7" spans="1:5" x14ac:dyDescent="0.3">
      <c r="A7" s="56"/>
      <c r="B7" s="55" t="s">
        <v>82</v>
      </c>
      <c r="C7" s="204" t="s">
        <v>80</v>
      </c>
      <c r="D7" s="204"/>
      <c r="E7" s="204"/>
    </row>
    <row r="8" spans="1:5" x14ac:dyDescent="0.3">
      <c r="A8" s="56"/>
      <c r="B8" s="55" t="s">
        <v>83</v>
      </c>
      <c r="C8" s="204" t="s">
        <v>80</v>
      </c>
      <c r="D8" s="204"/>
      <c r="E8" s="204"/>
    </row>
    <row r="10" spans="1:5" ht="17.7" x14ac:dyDescent="0.3">
      <c r="B10" s="57" t="s">
        <v>84</v>
      </c>
    </row>
    <row r="12" spans="1:5" ht="43.2" x14ac:dyDescent="0.3">
      <c r="A12" s="58" t="s">
        <v>85</v>
      </c>
      <c r="B12" s="59" t="s">
        <v>86</v>
      </c>
      <c r="C12" s="59" t="s">
        <v>87</v>
      </c>
      <c r="D12" s="59" t="s">
        <v>88</v>
      </c>
      <c r="E12" s="60" t="s">
        <v>89</v>
      </c>
    </row>
    <row r="13" spans="1:5" x14ac:dyDescent="0.3">
      <c r="A13" s="61">
        <v>1</v>
      </c>
      <c r="B13" s="62" t="s">
        <v>90</v>
      </c>
      <c r="C13" s="63" t="s">
        <v>91</v>
      </c>
      <c r="D13" s="64"/>
      <c r="E13" s="65"/>
    </row>
    <row r="14" spans="1:5" x14ac:dyDescent="0.3">
      <c r="A14" s="61">
        <v>2</v>
      </c>
      <c r="B14" s="62" t="s">
        <v>92</v>
      </c>
      <c r="C14" s="63" t="s">
        <v>91</v>
      </c>
      <c r="D14" s="64"/>
      <c r="E14" s="65"/>
    </row>
    <row r="15" spans="1:5" ht="24.9" x14ac:dyDescent="0.3">
      <c r="A15" s="61">
        <v>3</v>
      </c>
      <c r="B15" s="62" t="s">
        <v>93</v>
      </c>
      <c r="C15" s="63" t="s">
        <v>91</v>
      </c>
      <c r="D15" s="64"/>
      <c r="E15" s="65"/>
    </row>
    <row r="16" spans="1:5" x14ac:dyDescent="0.3">
      <c r="A16" s="61">
        <v>4</v>
      </c>
      <c r="B16" s="62" t="s">
        <v>94</v>
      </c>
      <c r="C16" s="63" t="s">
        <v>91</v>
      </c>
      <c r="D16" s="64"/>
      <c r="E16" s="65"/>
    </row>
    <row r="17" spans="1:5" x14ac:dyDescent="0.3">
      <c r="A17" s="61">
        <v>5</v>
      </c>
      <c r="B17" s="62" t="s">
        <v>95</v>
      </c>
      <c r="C17" s="63" t="s">
        <v>91</v>
      </c>
      <c r="D17" s="64"/>
      <c r="E17" s="65"/>
    </row>
    <row r="20" spans="1:5" ht="17.7" x14ac:dyDescent="0.3">
      <c r="B20" s="57" t="s">
        <v>96</v>
      </c>
    </row>
    <row r="22" spans="1:5" ht="43.2" x14ac:dyDescent="0.3">
      <c r="A22" s="58" t="s">
        <v>85</v>
      </c>
      <c r="B22" s="59" t="s">
        <v>86</v>
      </c>
      <c r="C22" s="59" t="s">
        <v>87</v>
      </c>
      <c r="D22" s="59" t="s">
        <v>88</v>
      </c>
      <c r="E22" s="60" t="s">
        <v>89</v>
      </c>
    </row>
    <row r="23" spans="1:5" x14ac:dyDescent="0.3">
      <c r="A23" s="58">
        <v>1</v>
      </c>
      <c r="B23" s="66" t="s">
        <v>97</v>
      </c>
      <c r="C23" s="59"/>
      <c r="D23" s="59"/>
      <c r="E23" s="59"/>
    </row>
    <row r="24" spans="1:5" ht="75.3" x14ac:dyDescent="0.3">
      <c r="A24" s="67" t="s">
        <v>59</v>
      </c>
      <c r="B24" s="62" t="s">
        <v>98</v>
      </c>
      <c r="C24" s="63" t="s">
        <v>99</v>
      </c>
      <c r="D24" s="64" t="s">
        <v>100</v>
      </c>
      <c r="E24" s="65"/>
    </row>
    <row r="25" spans="1:5" ht="91" thickBot="1" x14ac:dyDescent="0.35">
      <c r="A25" s="67" t="s">
        <v>61</v>
      </c>
      <c r="B25" s="62" t="s">
        <v>101</v>
      </c>
      <c r="C25" s="63" t="s">
        <v>91</v>
      </c>
      <c r="D25" s="64" t="s">
        <v>102</v>
      </c>
      <c r="E25" s="68" t="s">
        <v>103</v>
      </c>
    </row>
    <row r="26" spans="1:5" ht="79.2" thickBot="1" x14ac:dyDescent="0.35">
      <c r="A26" s="67" t="s">
        <v>63</v>
      </c>
      <c r="B26" s="62" t="s">
        <v>104</v>
      </c>
      <c r="C26" s="220" t="s">
        <v>99</v>
      </c>
      <c r="D26" s="220" t="s">
        <v>1337</v>
      </c>
      <c r="E26" s="65"/>
    </row>
    <row r="27" spans="1:5" ht="30.15" x14ac:dyDescent="0.3">
      <c r="A27" s="67" t="s">
        <v>65</v>
      </c>
      <c r="B27" s="62" t="s">
        <v>105</v>
      </c>
      <c r="C27" s="63" t="s">
        <v>91</v>
      </c>
      <c r="D27" s="64" t="s">
        <v>106</v>
      </c>
      <c r="E27" s="65"/>
    </row>
    <row r="28" spans="1:5" ht="30.15" x14ac:dyDescent="0.3">
      <c r="A28" s="67" t="s">
        <v>107</v>
      </c>
      <c r="B28" s="62" t="s">
        <v>108</v>
      </c>
      <c r="C28" s="63" t="s">
        <v>91</v>
      </c>
      <c r="D28" s="64" t="s">
        <v>109</v>
      </c>
      <c r="E28" s="65"/>
    </row>
    <row r="29" spans="1:5" ht="37.35" x14ac:dyDescent="0.3">
      <c r="A29" s="67" t="s">
        <v>110</v>
      </c>
      <c r="B29" s="62" t="s">
        <v>111</v>
      </c>
      <c r="C29" s="63" t="s">
        <v>91</v>
      </c>
      <c r="D29" s="64"/>
      <c r="E29" s="65"/>
    </row>
    <row r="30" spans="1:5" ht="47.8" customHeight="1" x14ac:dyDescent="0.3">
      <c r="A30" s="67" t="s">
        <v>112</v>
      </c>
      <c r="B30" s="62" t="s">
        <v>113</v>
      </c>
      <c r="C30" s="218" t="s">
        <v>114</v>
      </c>
      <c r="D30" s="64" t="s">
        <v>115</v>
      </c>
      <c r="E30" s="65"/>
    </row>
    <row r="31" spans="1:5" ht="24.9" x14ac:dyDescent="0.3">
      <c r="A31" s="67" t="s">
        <v>116</v>
      </c>
      <c r="B31" s="62" t="s">
        <v>117</v>
      </c>
      <c r="C31" s="63" t="s">
        <v>91</v>
      </c>
      <c r="D31" s="64"/>
      <c r="E31" s="65"/>
    </row>
    <row r="32" spans="1:5" ht="25.55" customHeight="1" x14ac:dyDescent="0.3">
      <c r="A32" s="67" t="s">
        <v>118</v>
      </c>
      <c r="B32" s="62" t="s">
        <v>119</v>
      </c>
      <c r="C32" s="63" t="s">
        <v>91</v>
      </c>
      <c r="D32" s="64"/>
      <c r="E32" s="65"/>
    </row>
    <row r="33" spans="1:5" x14ac:dyDescent="0.3">
      <c r="A33" s="67" t="s">
        <v>120</v>
      </c>
      <c r="B33" s="62" t="s">
        <v>121</v>
      </c>
      <c r="C33" s="63" t="s">
        <v>91</v>
      </c>
      <c r="D33" s="64"/>
      <c r="E33" s="65"/>
    </row>
    <row r="34" spans="1:5" ht="23.25" customHeight="1" x14ac:dyDescent="0.3">
      <c r="A34" s="67" t="s">
        <v>122</v>
      </c>
      <c r="B34" s="62" t="s">
        <v>123</v>
      </c>
      <c r="C34" s="219" t="s">
        <v>124</v>
      </c>
      <c r="D34" s="64"/>
      <c r="E34" s="65"/>
    </row>
    <row r="35" spans="1:5" ht="30.15" x14ac:dyDescent="0.3">
      <c r="A35" s="67" t="s">
        <v>125</v>
      </c>
      <c r="B35" s="62" t="s">
        <v>126</v>
      </c>
      <c r="C35" s="218" t="s">
        <v>99</v>
      </c>
      <c r="D35" s="221" t="s">
        <v>127</v>
      </c>
      <c r="E35" s="65"/>
    </row>
    <row r="36" spans="1:5" ht="24.9" x14ac:dyDescent="0.3">
      <c r="A36" s="67" t="s">
        <v>128</v>
      </c>
      <c r="B36" s="62" t="s">
        <v>129</v>
      </c>
      <c r="C36" s="63" t="s">
        <v>124</v>
      </c>
      <c r="D36" s="64" t="s">
        <v>130</v>
      </c>
      <c r="E36" s="65"/>
    </row>
    <row r="37" spans="1:5" ht="45.2" x14ac:dyDescent="0.3">
      <c r="A37" s="67" t="s">
        <v>131</v>
      </c>
      <c r="B37" s="62" t="s">
        <v>132</v>
      </c>
      <c r="C37" s="218" t="s">
        <v>99</v>
      </c>
      <c r="D37" s="221" t="s">
        <v>133</v>
      </c>
      <c r="E37" s="65"/>
    </row>
    <row r="38" spans="1:5" ht="21.8" customHeight="1" x14ac:dyDescent="0.3">
      <c r="A38" s="67" t="s">
        <v>134</v>
      </c>
      <c r="B38" s="62" t="s">
        <v>135</v>
      </c>
      <c r="C38" s="63" t="s">
        <v>91</v>
      </c>
      <c r="D38" s="64"/>
      <c r="E38" s="65"/>
    </row>
    <row r="39" spans="1:5" ht="40.25" customHeight="1" x14ac:dyDescent="0.3">
      <c r="A39" s="67" t="s">
        <v>136</v>
      </c>
      <c r="B39" s="62" t="s">
        <v>137</v>
      </c>
      <c r="C39" s="218" t="s">
        <v>99</v>
      </c>
      <c r="D39" s="221" t="s">
        <v>138</v>
      </c>
      <c r="E39" s="65"/>
    </row>
    <row r="40" spans="1:5" x14ac:dyDescent="0.3">
      <c r="A40" s="58">
        <v>2</v>
      </c>
      <c r="B40" s="66" t="s">
        <v>139</v>
      </c>
      <c r="C40" s="69"/>
      <c r="D40" s="69"/>
      <c r="E40" s="70"/>
    </row>
    <row r="41" spans="1:5" ht="22.6" customHeight="1" x14ac:dyDescent="0.3">
      <c r="A41" s="67" t="s">
        <v>140</v>
      </c>
      <c r="B41" s="62" t="s">
        <v>141</v>
      </c>
      <c r="C41" s="63" t="s">
        <v>91</v>
      </c>
      <c r="D41" s="64" t="s">
        <v>142</v>
      </c>
      <c r="E41" s="65"/>
    </row>
    <row r="42" spans="1:5" x14ac:dyDescent="0.3">
      <c r="A42" s="67" t="s">
        <v>143</v>
      </c>
      <c r="B42" s="62" t="s">
        <v>144</v>
      </c>
      <c r="C42" s="63" t="s">
        <v>91</v>
      </c>
      <c r="D42" s="64" t="s">
        <v>145</v>
      </c>
      <c r="E42" s="65"/>
    </row>
    <row r="43" spans="1:5" ht="45.2" x14ac:dyDescent="0.3">
      <c r="A43" s="67" t="s">
        <v>146</v>
      </c>
      <c r="B43" s="62" t="s">
        <v>147</v>
      </c>
      <c r="C43" s="218" t="s">
        <v>99</v>
      </c>
      <c r="D43" s="221" t="s">
        <v>148</v>
      </c>
      <c r="E43" s="68" t="s">
        <v>149</v>
      </c>
    </row>
    <row r="44" spans="1:5" ht="24.9" x14ac:dyDescent="0.3">
      <c r="A44" s="67" t="s">
        <v>150</v>
      </c>
      <c r="B44" s="62" t="s">
        <v>151</v>
      </c>
      <c r="C44" s="63" t="s">
        <v>91</v>
      </c>
      <c r="D44" s="64"/>
      <c r="E44" s="65"/>
    </row>
    <row r="45" spans="1:5" x14ac:dyDescent="0.3">
      <c r="A45" s="67" t="s">
        <v>152</v>
      </c>
      <c r="B45" s="62" t="s">
        <v>153</v>
      </c>
      <c r="C45" s="63" t="s">
        <v>91</v>
      </c>
      <c r="D45" s="64"/>
      <c r="E45" s="65"/>
    </row>
    <row r="46" spans="1:5" ht="45.2" x14ac:dyDescent="0.3">
      <c r="A46" s="67" t="s">
        <v>154</v>
      </c>
      <c r="B46" s="62" t="s">
        <v>155</v>
      </c>
      <c r="C46" s="218" t="s">
        <v>99</v>
      </c>
      <c r="D46" s="221" t="s">
        <v>156</v>
      </c>
      <c r="E46" s="65"/>
    </row>
    <row r="47" spans="1:5" x14ac:dyDescent="0.3">
      <c r="A47" s="58" t="s">
        <v>157</v>
      </c>
      <c r="B47" s="66" t="s">
        <v>158</v>
      </c>
      <c r="C47" s="69"/>
      <c r="D47" s="69"/>
      <c r="E47" s="70"/>
    </row>
    <row r="48" spans="1:5" ht="45.2" x14ac:dyDescent="0.3">
      <c r="A48" s="67" t="s">
        <v>159</v>
      </c>
      <c r="B48" s="62" t="s">
        <v>160</v>
      </c>
      <c r="C48" s="63" t="s">
        <v>91</v>
      </c>
      <c r="D48" s="64" t="s">
        <v>161</v>
      </c>
      <c r="E48" s="65"/>
    </row>
    <row r="49" spans="1:5" ht="30.15" x14ac:dyDescent="0.3">
      <c r="A49" s="67" t="s">
        <v>162</v>
      </c>
      <c r="B49" s="62" t="s">
        <v>163</v>
      </c>
      <c r="C49" s="63" t="s">
        <v>91</v>
      </c>
      <c r="D49" s="64" t="s">
        <v>164</v>
      </c>
      <c r="E49" s="65"/>
    </row>
    <row r="50" spans="1:5" ht="45.2" x14ac:dyDescent="0.3">
      <c r="A50" s="67" t="s">
        <v>165</v>
      </c>
      <c r="B50" s="62" t="s">
        <v>166</v>
      </c>
      <c r="C50" s="218" t="s">
        <v>99</v>
      </c>
      <c r="D50" s="221" t="s">
        <v>167</v>
      </c>
      <c r="E50" s="65"/>
    </row>
    <row r="51" spans="1:5" x14ac:dyDescent="0.3">
      <c r="A51" s="67" t="s">
        <v>168</v>
      </c>
      <c r="B51" s="62" t="s">
        <v>169</v>
      </c>
      <c r="C51" s="219" t="s">
        <v>124</v>
      </c>
      <c r="D51" s="64"/>
      <c r="E51" s="65"/>
    </row>
    <row r="52" spans="1:5" ht="60.25" x14ac:dyDescent="0.3">
      <c r="A52" s="67" t="s">
        <v>170</v>
      </c>
      <c r="B52" s="62" t="s">
        <v>171</v>
      </c>
      <c r="C52" s="218" t="s">
        <v>99</v>
      </c>
      <c r="D52" s="221" t="s">
        <v>172</v>
      </c>
      <c r="E52" s="65"/>
    </row>
    <row r="53" spans="1:5" ht="24.9" x14ac:dyDescent="0.3">
      <c r="A53" s="67" t="s">
        <v>173</v>
      </c>
      <c r="B53" s="62" t="s">
        <v>174</v>
      </c>
      <c r="C53" s="63" t="s">
        <v>91</v>
      </c>
      <c r="D53" s="64"/>
      <c r="E53" s="65"/>
    </row>
    <row r="54" spans="1:5" ht="30.15" x14ac:dyDescent="0.3">
      <c r="A54" s="67" t="s">
        <v>175</v>
      </c>
      <c r="B54" s="62" t="s">
        <v>176</v>
      </c>
      <c r="C54" s="218" t="s">
        <v>99</v>
      </c>
      <c r="D54" s="221" t="s">
        <v>177</v>
      </c>
      <c r="E54" s="65"/>
    </row>
    <row r="55" spans="1:5" x14ac:dyDescent="0.3">
      <c r="A55" s="67" t="s">
        <v>178</v>
      </c>
      <c r="B55" s="62" t="s">
        <v>179</v>
      </c>
      <c r="C55" s="63" t="s">
        <v>91</v>
      </c>
      <c r="D55" s="64"/>
      <c r="E55" s="65"/>
    </row>
    <row r="56" spans="1:5" ht="37.35" x14ac:dyDescent="0.3">
      <c r="A56" s="67" t="s">
        <v>180</v>
      </c>
      <c r="B56" s="62" t="s">
        <v>181</v>
      </c>
      <c r="C56" s="63" t="s">
        <v>91</v>
      </c>
      <c r="D56" s="64"/>
      <c r="E56" s="65"/>
    </row>
    <row r="57" spans="1:5" x14ac:dyDescent="0.3">
      <c r="A57" s="67" t="s">
        <v>182</v>
      </c>
      <c r="B57" s="62" t="s">
        <v>183</v>
      </c>
      <c r="C57" s="219" t="s">
        <v>124</v>
      </c>
      <c r="D57" s="64"/>
      <c r="E57" s="65"/>
    </row>
    <row r="58" spans="1:5" x14ac:dyDescent="0.3">
      <c r="A58" s="67" t="s">
        <v>184</v>
      </c>
      <c r="B58" s="62" t="s">
        <v>185</v>
      </c>
      <c r="C58" s="218" t="s">
        <v>99</v>
      </c>
      <c r="D58" s="64"/>
      <c r="E58" s="65"/>
    </row>
    <row r="59" spans="1:5" x14ac:dyDescent="0.3">
      <c r="A59" s="67" t="s">
        <v>186</v>
      </c>
      <c r="B59" s="62" t="s">
        <v>187</v>
      </c>
      <c r="C59" s="63" t="s">
        <v>91</v>
      </c>
      <c r="D59" s="64"/>
      <c r="E59" s="65"/>
    </row>
    <row r="60" spans="1:5" x14ac:dyDescent="0.3">
      <c r="A60" s="67" t="s">
        <v>188</v>
      </c>
      <c r="B60" s="62" t="s">
        <v>189</v>
      </c>
      <c r="C60" s="63" t="s">
        <v>91</v>
      </c>
      <c r="D60" s="64"/>
      <c r="E60" s="65"/>
    </row>
    <row r="61" spans="1:5" x14ac:dyDescent="0.3">
      <c r="A61" s="67" t="s">
        <v>190</v>
      </c>
      <c r="B61" s="62" t="s">
        <v>191</v>
      </c>
      <c r="C61" s="63" t="s">
        <v>91</v>
      </c>
      <c r="D61" s="64"/>
      <c r="E61" s="65"/>
    </row>
    <row r="62" spans="1:5" ht="60.25" x14ac:dyDescent="0.3">
      <c r="A62" s="67" t="s">
        <v>192</v>
      </c>
      <c r="B62" s="62" t="s">
        <v>193</v>
      </c>
      <c r="C62" s="63" t="s">
        <v>91</v>
      </c>
      <c r="D62" s="64" t="s">
        <v>194</v>
      </c>
      <c r="E62" s="65"/>
    </row>
    <row r="63" spans="1:5" ht="30.15" x14ac:dyDescent="0.3">
      <c r="A63" s="67" t="s">
        <v>195</v>
      </c>
      <c r="B63" s="62" t="s">
        <v>196</v>
      </c>
      <c r="C63" s="63" t="s">
        <v>91</v>
      </c>
      <c r="D63" s="64" t="s">
        <v>197</v>
      </c>
      <c r="E63" s="65"/>
    </row>
    <row r="64" spans="1:5" x14ac:dyDescent="0.3">
      <c r="A64" s="67" t="s">
        <v>198</v>
      </c>
      <c r="B64" s="62" t="s">
        <v>199</v>
      </c>
      <c r="C64" s="63" t="s">
        <v>91</v>
      </c>
      <c r="D64" s="64"/>
      <c r="E64" s="65"/>
    </row>
    <row r="65" spans="1:5" x14ac:dyDescent="0.3">
      <c r="A65" s="67" t="s">
        <v>200</v>
      </c>
      <c r="B65" s="62" t="s">
        <v>201</v>
      </c>
      <c r="C65" s="219" t="s">
        <v>124</v>
      </c>
      <c r="D65" s="64"/>
      <c r="E65" s="65"/>
    </row>
    <row r="66" spans="1:5" x14ac:dyDescent="0.3">
      <c r="A66" s="67" t="s">
        <v>202</v>
      </c>
      <c r="B66" s="62" t="s">
        <v>203</v>
      </c>
      <c r="C66" s="63" t="s">
        <v>91</v>
      </c>
      <c r="D66" s="64"/>
      <c r="E66" s="65"/>
    </row>
    <row r="67" spans="1:5" x14ac:dyDescent="0.3">
      <c r="A67" s="67" t="s">
        <v>204</v>
      </c>
      <c r="B67" s="62" t="s">
        <v>205</v>
      </c>
      <c r="C67" s="63" t="s">
        <v>91</v>
      </c>
      <c r="D67" s="64"/>
      <c r="E67" s="65"/>
    </row>
    <row r="68" spans="1:5" ht="75.3" x14ac:dyDescent="0.3">
      <c r="A68" s="67" t="s">
        <v>206</v>
      </c>
      <c r="B68" s="62" t="s">
        <v>207</v>
      </c>
      <c r="C68" s="218" t="s">
        <v>99</v>
      </c>
      <c r="D68" s="221" t="s">
        <v>208</v>
      </c>
      <c r="E68" s="65"/>
    </row>
    <row r="69" spans="1:5" x14ac:dyDescent="0.3">
      <c r="A69" s="67" t="s">
        <v>209</v>
      </c>
      <c r="B69" s="62" t="s">
        <v>210</v>
      </c>
      <c r="C69" s="63" t="s">
        <v>91</v>
      </c>
      <c r="D69" s="64"/>
      <c r="E69" s="65"/>
    </row>
    <row r="70" spans="1:5" x14ac:dyDescent="0.3">
      <c r="A70" s="67" t="s">
        <v>211</v>
      </c>
      <c r="B70" s="62" t="s">
        <v>212</v>
      </c>
      <c r="C70" s="63" t="s">
        <v>91</v>
      </c>
      <c r="D70" s="64"/>
      <c r="E70" s="65"/>
    </row>
    <row r="71" spans="1:5" x14ac:dyDescent="0.3">
      <c r="A71" s="67" t="s">
        <v>213</v>
      </c>
      <c r="B71" s="62" t="s">
        <v>214</v>
      </c>
      <c r="C71" s="218" t="s">
        <v>99</v>
      </c>
      <c r="D71" s="221" t="s">
        <v>215</v>
      </c>
      <c r="E71" s="65"/>
    </row>
    <row r="72" spans="1:5" x14ac:dyDescent="0.3">
      <c r="A72" s="67" t="s">
        <v>216</v>
      </c>
      <c r="B72" s="62" t="s">
        <v>217</v>
      </c>
      <c r="C72" s="219" t="s">
        <v>124</v>
      </c>
      <c r="D72" s="64"/>
      <c r="E72" s="65"/>
    </row>
    <row r="73" spans="1:5" ht="24.9" x14ac:dyDescent="0.3">
      <c r="A73" s="67" t="s">
        <v>218</v>
      </c>
      <c r="B73" s="62" t="s">
        <v>219</v>
      </c>
      <c r="C73" s="219" t="s">
        <v>124</v>
      </c>
      <c r="D73" s="64"/>
      <c r="E73" s="65"/>
    </row>
    <row r="74" spans="1:5" x14ac:dyDescent="0.3">
      <c r="A74" s="67" t="s">
        <v>220</v>
      </c>
      <c r="B74" s="62" t="s">
        <v>221</v>
      </c>
      <c r="C74" s="218" t="s">
        <v>99</v>
      </c>
      <c r="D74" s="221" t="s">
        <v>1338</v>
      </c>
      <c r="E74" s="65"/>
    </row>
    <row r="75" spans="1:5" x14ac:dyDescent="0.3">
      <c r="A75" s="58" t="s">
        <v>222</v>
      </c>
      <c r="B75" s="66" t="s">
        <v>223</v>
      </c>
      <c r="C75" s="69"/>
      <c r="D75" s="69"/>
      <c r="E75" s="70"/>
    </row>
    <row r="76" spans="1:5" ht="24.9" x14ac:dyDescent="0.3">
      <c r="A76" s="67" t="s">
        <v>224</v>
      </c>
      <c r="B76" s="71" t="s">
        <v>225</v>
      </c>
      <c r="C76" s="63" t="s">
        <v>91</v>
      </c>
      <c r="D76" s="64"/>
      <c r="E76" s="65"/>
    </row>
    <row r="77" spans="1:5" x14ac:dyDescent="0.3">
      <c r="A77" s="67" t="s">
        <v>226</v>
      </c>
      <c r="B77" s="71" t="s">
        <v>227</v>
      </c>
      <c r="C77" s="63" t="s">
        <v>91</v>
      </c>
      <c r="D77" s="64"/>
      <c r="E77" s="65"/>
    </row>
    <row r="78" spans="1:5" ht="30.15" x14ac:dyDescent="0.3">
      <c r="A78" s="67" t="s">
        <v>228</v>
      </c>
      <c r="B78" s="62" t="s">
        <v>229</v>
      </c>
      <c r="C78" s="63" t="s">
        <v>91</v>
      </c>
      <c r="D78" s="64" t="s">
        <v>230</v>
      </c>
      <c r="E78" s="65"/>
    </row>
    <row r="79" spans="1:5" x14ac:dyDescent="0.3">
      <c r="A79" s="67" t="s">
        <v>231</v>
      </c>
      <c r="B79" s="62" t="s">
        <v>232</v>
      </c>
      <c r="C79" s="63" t="s">
        <v>91</v>
      </c>
      <c r="D79" s="64" t="s">
        <v>233</v>
      </c>
      <c r="E79" s="65"/>
    </row>
    <row r="80" spans="1:5" x14ac:dyDescent="0.3">
      <c r="A80" s="67" t="s">
        <v>234</v>
      </c>
      <c r="B80" s="62" t="s">
        <v>235</v>
      </c>
      <c r="C80" s="63" t="s">
        <v>91</v>
      </c>
      <c r="D80" s="64"/>
      <c r="E80" s="65"/>
    </row>
    <row r="81" spans="1:5" x14ac:dyDescent="0.3">
      <c r="A81" s="67" t="s">
        <v>236</v>
      </c>
      <c r="B81" s="62" t="s">
        <v>237</v>
      </c>
      <c r="C81" s="63" t="s">
        <v>91</v>
      </c>
      <c r="D81" s="64"/>
      <c r="E81" s="65"/>
    </row>
    <row r="82" spans="1:5" ht="105.4" x14ac:dyDescent="0.3">
      <c r="A82" s="67" t="s">
        <v>238</v>
      </c>
      <c r="B82" s="72" t="s">
        <v>239</v>
      </c>
      <c r="C82" s="73" t="s">
        <v>91</v>
      </c>
      <c r="D82" s="64" t="s">
        <v>240</v>
      </c>
      <c r="E82" s="65"/>
    </row>
    <row r="83" spans="1:5" ht="135.5" x14ac:dyDescent="0.3">
      <c r="A83" s="67" t="s">
        <v>241</v>
      </c>
      <c r="B83" s="72" t="s">
        <v>242</v>
      </c>
      <c r="C83" s="73" t="s">
        <v>91</v>
      </c>
      <c r="D83" s="64" t="s">
        <v>243</v>
      </c>
      <c r="E83" s="65"/>
    </row>
    <row r="84" spans="1:5" x14ac:dyDescent="0.3">
      <c r="A84" s="67" t="s">
        <v>244</v>
      </c>
      <c r="B84" s="72" t="s">
        <v>245</v>
      </c>
      <c r="C84" s="63" t="s">
        <v>91</v>
      </c>
      <c r="D84" s="64"/>
      <c r="E84" s="65"/>
    </row>
    <row r="85" spans="1:5" ht="24.9" x14ac:dyDescent="0.3">
      <c r="A85" s="67" t="s">
        <v>246</v>
      </c>
      <c r="B85" s="72" t="s">
        <v>247</v>
      </c>
      <c r="C85" s="219" t="s">
        <v>124</v>
      </c>
      <c r="D85" s="64" t="s">
        <v>248</v>
      </c>
      <c r="E85" s="65"/>
    </row>
    <row r="86" spans="1:5" ht="24.9" x14ac:dyDescent="0.3">
      <c r="A86" s="67" t="s">
        <v>249</v>
      </c>
      <c r="B86" s="71" t="s">
        <v>250</v>
      </c>
      <c r="C86" s="63" t="s">
        <v>91</v>
      </c>
      <c r="D86" s="64"/>
      <c r="E86" s="65"/>
    </row>
    <row r="87" spans="1:5" x14ac:dyDescent="0.3">
      <c r="A87" s="58">
        <v>5</v>
      </c>
      <c r="B87" s="66" t="s">
        <v>251</v>
      </c>
      <c r="C87" s="69"/>
      <c r="D87" s="69"/>
      <c r="E87" s="70"/>
    </row>
    <row r="88" spans="1:5" x14ac:dyDescent="0.3">
      <c r="A88" s="67" t="s">
        <v>252</v>
      </c>
      <c r="B88" s="62" t="s">
        <v>253</v>
      </c>
      <c r="C88" s="219" t="s">
        <v>124</v>
      </c>
      <c r="D88" s="64"/>
      <c r="E88" s="65"/>
    </row>
    <row r="89" spans="1:5" x14ac:dyDescent="0.3">
      <c r="A89" s="67" t="s">
        <v>254</v>
      </c>
      <c r="B89" s="62" t="s">
        <v>255</v>
      </c>
      <c r="C89" s="63" t="s">
        <v>91</v>
      </c>
      <c r="D89" s="64"/>
      <c r="E89" s="65"/>
    </row>
    <row r="90" spans="1:5" x14ac:dyDescent="0.3">
      <c r="A90" s="67" t="s">
        <v>256</v>
      </c>
      <c r="B90" s="62" t="s">
        <v>257</v>
      </c>
      <c r="C90" s="218" t="s">
        <v>99</v>
      </c>
      <c r="D90" s="221" t="s">
        <v>258</v>
      </c>
      <c r="E90" s="65"/>
    </row>
    <row r="91" spans="1:5" x14ac:dyDescent="0.3">
      <c r="A91" s="67" t="s">
        <v>259</v>
      </c>
      <c r="B91" s="62" t="s">
        <v>260</v>
      </c>
      <c r="C91" s="63" t="s">
        <v>91</v>
      </c>
      <c r="D91" s="64"/>
      <c r="E91" s="65"/>
    </row>
    <row r="92" spans="1:5" ht="75.3" x14ac:dyDescent="0.3">
      <c r="A92" s="67" t="s">
        <v>261</v>
      </c>
      <c r="B92" s="62" t="s">
        <v>262</v>
      </c>
      <c r="C92" s="63" t="s">
        <v>91</v>
      </c>
      <c r="D92" s="64" t="s">
        <v>263</v>
      </c>
      <c r="E92" s="65"/>
    </row>
    <row r="93" spans="1:5" ht="24.9" x14ac:dyDescent="0.3">
      <c r="A93" s="67" t="s">
        <v>264</v>
      </c>
      <c r="B93" s="62" t="s">
        <v>265</v>
      </c>
      <c r="C93" s="63" t="s">
        <v>91</v>
      </c>
      <c r="D93" s="64" t="s">
        <v>266</v>
      </c>
      <c r="E93" s="65"/>
    </row>
    <row r="94" spans="1:5" ht="30.15" x14ac:dyDescent="0.3">
      <c r="A94" s="67" t="s">
        <v>267</v>
      </c>
      <c r="B94" s="71" t="s">
        <v>268</v>
      </c>
      <c r="C94" s="63" t="s">
        <v>91</v>
      </c>
      <c r="D94" s="64" t="s">
        <v>269</v>
      </c>
      <c r="E94" s="65"/>
    </row>
    <row r="95" spans="1:5" ht="45.2" x14ac:dyDescent="0.3">
      <c r="A95" s="67" t="s">
        <v>270</v>
      </c>
      <c r="B95" s="71" t="s">
        <v>271</v>
      </c>
      <c r="C95" s="63" t="s">
        <v>91</v>
      </c>
      <c r="D95" s="64" t="s">
        <v>272</v>
      </c>
      <c r="E95" s="65"/>
    </row>
    <row r="96" spans="1:5" x14ac:dyDescent="0.3">
      <c r="A96" s="67" t="s">
        <v>273</v>
      </c>
      <c r="B96" s="71" t="s">
        <v>274</v>
      </c>
      <c r="C96" s="63" t="s">
        <v>91</v>
      </c>
      <c r="D96" s="64"/>
      <c r="E96" s="65"/>
    </row>
    <row r="97" spans="1:6" ht="24.9" x14ac:dyDescent="0.3">
      <c r="A97" s="67" t="s">
        <v>275</v>
      </c>
      <c r="B97" s="71" t="s">
        <v>276</v>
      </c>
      <c r="C97" s="63" t="s">
        <v>91</v>
      </c>
      <c r="D97" s="64"/>
      <c r="E97" s="65"/>
    </row>
    <row r="98" spans="1:6" ht="75.3" x14ac:dyDescent="0.3">
      <c r="A98" s="67" t="s">
        <v>277</v>
      </c>
      <c r="B98" s="71" t="s">
        <v>278</v>
      </c>
      <c r="C98" s="218" t="s">
        <v>99</v>
      </c>
      <c r="D98" s="221" t="s">
        <v>279</v>
      </c>
      <c r="E98" s="65"/>
    </row>
    <row r="99" spans="1:6" ht="30.15" x14ac:dyDescent="0.3">
      <c r="A99" s="67" t="s">
        <v>280</v>
      </c>
      <c r="B99" s="71" t="s">
        <v>281</v>
      </c>
      <c r="C99" s="219" t="s">
        <v>124</v>
      </c>
      <c r="D99" s="64" t="s">
        <v>282</v>
      </c>
      <c r="E99" s="65"/>
    </row>
    <row r="100" spans="1:6" ht="30.15" x14ac:dyDescent="0.3">
      <c r="A100" s="67" t="s">
        <v>283</v>
      </c>
      <c r="B100" s="74" t="s">
        <v>284</v>
      </c>
      <c r="C100" s="219" t="s">
        <v>124</v>
      </c>
      <c r="D100" s="64" t="s">
        <v>282</v>
      </c>
      <c r="E100" s="65"/>
    </row>
    <row r="101" spans="1:6" ht="60.25" x14ac:dyDescent="0.3">
      <c r="A101" s="67" t="s">
        <v>285</v>
      </c>
      <c r="B101" s="71" t="s">
        <v>286</v>
      </c>
      <c r="C101" s="218" t="s">
        <v>99</v>
      </c>
      <c r="D101" s="221" t="s">
        <v>287</v>
      </c>
      <c r="E101" s="65"/>
    </row>
    <row r="102" spans="1:6" ht="30.15" x14ac:dyDescent="0.3">
      <c r="A102" s="67" t="s">
        <v>288</v>
      </c>
      <c r="B102" s="71" t="s">
        <v>289</v>
      </c>
      <c r="C102" s="218" t="s">
        <v>99</v>
      </c>
      <c r="D102" s="221" t="s">
        <v>290</v>
      </c>
      <c r="E102" s="65"/>
    </row>
    <row r="103" spans="1:6" ht="30.15" x14ac:dyDescent="0.3">
      <c r="A103" s="67" t="s">
        <v>291</v>
      </c>
      <c r="B103" s="71" t="s">
        <v>292</v>
      </c>
      <c r="C103" s="63" t="s">
        <v>91</v>
      </c>
      <c r="D103" s="64" t="s">
        <v>293</v>
      </c>
      <c r="E103" s="65"/>
    </row>
    <row r="104" spans="1:6" x14ac:dyDescent="0.3">
      <c r="A104" s="67" t="s">
        <v>294</v>
      </c>
      <c r="B104" s="71" t="s">
        <v>295</v>
      </c>
      <c r="C104" s="63" t="s">
        <v>91</v>
      </c>
      <c r="D104" s="64" t="s">
        <v>296</v>
      </c>
      <c r="E104" s="65"/>
    </row>
    <row r="105" spans="1:6" ht="37.35" x14ac:dyDescent="0.3">
      <c r="A105" s="67" t="s">
        <v>297</v>
      </c>
      <c r="B105" s="71" t="s">
        <v>298</v>
      </c>
      <c r="C105" s="219" t="s">
        <v>124</v>
      </c>
      <c r="D105" s="64" t="s">
        <v>299</v>
      </c>
      <c r="E105" s="65"/>
    </row>
    <row r="106" spans="1:6" x14ac:dyDescent="0.3">
      <c r="A106" s="58">
        <v>6</v>
      </c>
      <c r="B106" s="66" t="s">
        <v>300</v>
      </c>
      <c r="C106" s="69"/>
      <c r="D106" s="69"/>
      <c r="E106" s="70"/>
    </row>
    <row r="107" spans="1:6" ht="60.25" x14ac:dyDescent="0.3">
      <c r="A107" s="67" t="s">
        <v>301</v>
      </c>
      <c r="B107" s="62" t="s">
        <v>302</v>
      </c>
      <c r="C107" s="219" t="s">
        <v>124</v>
      </c>
      <c r="D107" s="48" t="s">
        <v>1335</v>
      </c>
      <c r="E107" s="65"/>
      <c r="F107" s="48"/>
    </row>
    <row r="108" spans="1:6" x14ac:dyDescent="0.3">
      <c r="A108" s="67" t="s">
        <v>303</v>
      </c>
      <c r="B108" s="62" t="s">
        <v>304</v>
      </c>
      <c r="C108" s="63" t="s">
        <v>91</v>
      </c>
      <c r="D108" s="48" t="s">
        <v>1323</v>
      </c>
      <c r="E108" s="65"/>
      <c r="F108" s="48"/>
    </row>
    <row r="109" spans="1:6" x14ac:dyDescent="0.3">
      <c r="A109" s="67" t="s">
        <v>305</v>
      </c>
      <c r="B109" s="62" t="s">
        <v>306</v>
      </c>
      <c r="C109" s="63" t="s">
        <v>91</v>
      </c>
      <c r="D109" s="48" t="s">
        <v>1323</v>
      </c>
      <c r="E109" s="65"/>
      <c r="F109" s="48"/>
    </row>
    <row r="110" spans="1:6" ht="30.15" x14ac:dyDescent="0.3">
      <c r="A110" s="67" t="s">
        <v>307</v>
      </c>
      <c r="B110" s="62" t="s">
        <v>308</v>
      </c>
      <c r="C110" s="219" t="s">
        <v>124</v>
      </c>
      <c r="D110" s="48" t="s">
        <v>1324</v>
      </c>
      <c r="E110" s="65"/>
      <c r="F110" s="48"/>
    </row>
    <row r="111" spans="1:6" ht="24.9" x14ac:dyDescent="0.3">
      <c r="A111" s="67" t="s">
        <v>309</v>
      </c>
      <c r="B111" s="62" t="s">
        <v>310</v>
      </c>
      <c r="C111" s="63" t="s">
        <v>91</v>
      </c>
      <c r="D111" s="48" t="s">
        <v>1323</v>
      </c>
      <c r="E111" s="65"/>
      <c r="F111" s="48"/>
    </row>
    <row r="112" spans="1:6" x14ac:dyDescent="0.3">
      <c r="A112" s="67" t="s">
        <v>311</v>
      </c>
      <c r="B112" s="62" t="s">
        <v>312</v>
      </c>
      <c r="C112" s="219" t="s">
        <v>124</v>
      </c>
      <c r="D112" s="48" t="s">
        <v>1325</v>
      </c>
      <c r="E112" s="65"/>
    </row>
    <row r="113" spans="1:6" x14ac:dyDescent="0.3">
      <c r="A113" s="67" t="s">
        <v>313</v>
      </c>
      <c r="B113" s="62" t="s">
        <v>314</v>
      </c>
      <c r="C113" s="63" t="s">
        <v>91</v>
      </c>
      <c r="D113" s="48" t="s">
        <v>1323</v>
      </c>
      <c r="E113" s="65"/>
    </row>
    <row r="114" spans="1:6" x14ac:dyDescent="0.3">
      <c r="A114" s="67" t="s">
        <v>315</v>
      </c>
      <c r="B114" s="62" t="s">
        <v>316</v>
      </c>
      <c r="C114" s="63" t="s">
        <v>91</v>
      </c>
      <c r="D114" s="48" t="s">
        <v>1323</v>
      </c>
      <c r="E114" s="65"/>
    </row>
    <row r="115" spans="1:6" x14ac:dyDescent="0.3">
      <c r="A115" s="67" t="s">
        <v>317</v>
      </c>
      <c r="B115" s="62" t="s">
        <v>318</v>
      </c>
      <c r="C115" s="63" t="s">
        <v>91</v>
      </c>
      <c r="D115" s="48" t="s">
        <v>1323</v>
      </c>
      <c r="E115" s="65"/>
    </row>
    <row r="116" spans="1:6" x14ac:dyDescent="0.3">
      <c r="A116" s="67" t="s">
        <v>319</v>
      </c>
      <c r="B116" s="62" t="s">
        <v>320</v>
      </c>
      <c r="C116" s="63" t="s">
        <v>91</v>
      </c>
      <c r="D116" s="48" t="s">
        <v>91</v>
      </c>
      <c r="E116" s="65"/>
    </row>
    <row r="117" spans="1:6" x14ac:dyDescent="0.3">
      <c r="A117" s="67" t="s">
        <v>321</v>
      </c>
      <c r="B117" s="62" t="s">
        <v>322</v>
      </c>
      <c r="C117" s="63" t="s">
        <v>91</v>
      </c>
      <c r="D117" s="193" t="s">
        <v>1323</v>
      </c>
      <c r="E117" s="65"/>
    </row>
    <row r="118" spans="1:6" ht="30.15" x14ac:dyDescent="0.3">
      <c r="A118" s="67" t="s">
        <v>323</v>
      </c>
      <c r="B118" s="62" t="s">
        <v>324</v>
      </c>
      <c r="C118" s="218" t="s">
        <v>99</v>
      </c>
      <c r="D118" s="222" t="s">
        <v>1326</v>
      </c>
      <c r="E118" s="65"/>
    </row>
    <row r="119" spans="1:6" x14ac:dyDescent="0.3">
      <c r="A119" s="67" t="s">
        <v>325</v>
      </c>
      <c r="B119" s="62" t="s">
        <v>326</v>
      </c>
      <c r="C119" s="63" t="s">
        <v>91</v>
      </c>
      <c r="D119" s="48" t="s">
        <v>1327</v>
      </c>
      <c r="E119" s="65"/>
    </row>
    <row r="120" spans="1:6" x14ac:dyDescent="0.3">
      <c r="A120" s="67" t="s">
        <v>327</v>
      </c>
      <c r="B120" s="62" t="s">
        <v>328</v>
      </c>
      <c r="C120" s="63" t="s">
        <v>124</v>
      </c>
      <c r="D120" s="48" t="s">
        <v>1325</v>
      </c>
      <c r="E120" s="65"/>
    </row>
    <row r="121" spans="1:6" x14ac:dyDescent="0.3">
      <c r="A121" s="67" t="s">
        <v>329</v>
      </c>
      <c r="B121" s="62" t="s">
        <v>330</v>
      </c>
      <c r="C121" s="219" t="s">
        <v>124</v>
      </c>
      <c r="D121" s="48" t="s">
        <v>1328</v>
      </c>
      <c r="E121" s="65"/>
    </row>
    <row r="122" spans="1:6" x14ac:dyDescent="0.3">
      <c r="A122" s="67" t="s">
        <v>331</v>
      </c>
      <c r="B122" s="62" t="s">
        <v>332</v>
      </c>
      <c r="C122" s="63" t="s">
        <v>91</v>
      </c>
      <c r="D122" s="48" t="s">
        <v>1323</v>
      </c>
      <c r="E122" s="65"/>
    </row>
    <row r="123" spans="1:6" ht="24.9" x14ac:dyDescent="0.3">
      <c r="A123" s="67" t="s">
        <v>333</v>
      </c>
      <c r="B123" s="62" t="s">
        <v>334</v>
      </c>
      <c r="C123" s="63" t="s">
        <v>91</v>
      </c>
      <c r="D123" s="48" t="s">
        <v>1323</v>
      </c>
      <c r="E123" s="65"/>
    </row>
    <row r="124" spans="1:6" ht="60.25" x14ac:dyDescent="0.3">
      <c r="A124" s="67" t="s">
        <v>335</v>
      </c>
      <c r="B124" s="62" t="s">
        <v>336</v>
      </c>
      <c r="C124" s="218" t="s">
        <v>99</v>
      </c>
      <c r="D124" s="222" t="s">
        <v>1329</v>
      </c>
      <c r="E124" s="65"/>
    </row>
    <row r="125" spans="1:6" ht="30.15" x14ac:dyDescent="0.3">
      <c r="A125" s="67" t="s">
        <v>337</v>
      </c>
      <c r="B125" s="62" t="s">
        <v>338</v>
      </c>
      <c r="C125" s="219" t="s">
        <v>124</v>
      </c>
      <c r="D125" s="48" t="s">
        <v>1330</v>
      </c>
      <c r="E125" s="65"/>
    </row>
    <row r="126" spans="1:6" ht="45.2" x14ac:dyDescent="0.3">
      <c r="A126" s="67" t="s">
        <v>339</v>
      </c>
      <c r="B126" s="62" t="s">
        <v>340</v>
      </c>
      <c r="C126" s="219" t="s">
        <v>124</v>
      </c>
      <c r="D126" s="64" t="s">
        <v>1336</v>
      </c>
      <c r="E126" s="65"/>
      <c r="F126" s="48"/>
    </row>
    <row r="127" spans="1:6" ht="30.15" x14ac:dyDescent="0.3">
      <c r="A127" s="67" t="s">
        <v>341</v>
      </c>
      <c r="B127" s="62" t="s">
        <v>342</v>
      </c>
      <c r="C127" s="219" t="s">
        <v>124</v>
      </c>
      <c r="D127" s="64" t="s">
        <v>343</v>
      </c>
      <c r="E127" s="65"/>
      <c r="F127" s="48"/>
    </row>
    <row r="128" spans="1:6" ht="30.15" x14ac:dyDescent="0.3">
      <c r="A128" s="67" t="s">
        <v>344</v>
      </c>
      <c r="B128" s="62" t="s">
        <v>345</v>
      </c>
      <c r="C128" s="63" t="s">
        <v>91</v>
      </c>
      <c r="D128" s="64" t="s">
        <v>346</v>
      </c>
      <c r="E128" s="48" t="s">
        <v>1331</v>
      </c>
    </row>
    <row r="129" spans="1:6" ht="60.25" x14ac:dyDescent="0.3">
      <c r="A129" s="67" t="s">
        <v>347</v>
      </c>
      <c r="B129" s="75" t="s">
        <v>348</v>
      </c>
      <c r="C129" s="218" t="s">
        <v>99</v>
      </c>
      <c r="D129" s="222" t="s">
        <v>1332</v>
      </c>
      <c r="E129" s="65"/>
    </row>
    <row r="130" spans="1:6" ht="60.25" x14ac:dyDescent="0.3">
      <c r="A130" s="67" t="s">
        <v>349</v>
      </c>
      <c r="B130" s="75" t="s">
        <v>350</v>
      </c>
      <c r="C130" s="218" t="s">
        <v>99</v>
      </c>
      <c r="D130" s="222" t="s">
        <v>1332</v>
      </c>
      <c r="E130" s="65"/>
      <c r="F130" s="48"/>
    </row>
    <row r="131" spans="1:6" ht="120.45" x14ac:dyDescent="0.3">
      <c r="A131" s="67" t="s">
        <v>351</v>
      </c>
      <c r="B131" s="62" t="s">
        <v>352</v>
      </c>
      <c r="C131" s="218" t="s">
        <v>99</v>
      </c>
      <c r="D131" s="222" t="s">
        <v>1333</v>
      </c>
      <c r="E131" s="65"/>
    </row>
    <row r="132" spans="1:6" x14ac:dyDescent="0.3">
      <c r="A132" s="67" t="s">
        <v>353</v>
      </c>
      <c r="B132" s="62" t="s">
        <v>354</v>
      </c>
      <c r="C132" s="63" t="s">
        <v>91</v>
      </c>
      <c r="D132" s="48" t="s">
        <v>1323</v>
      </c>
      <c r="E132" s="65"/>
    </row>
    <row r="133" spans="1:6" ht="24.9" x14ac:dyDescent="0.3">
      <c r="A133" s="67" t="s">
        <v>355</v>
      </c>
      <c r="B133" s="62" t="s">
        <v>356</v>
      </c>
      <c r="C133" s="63" t="s">
        <v>91</v>
      </c>
      <c r="D133" s="48" t="s">
        <v>1323</v>
      </c>
      <c r="E133" s="65"/>
    </row>
    <row r="134" spans="1:6" ht="30.15" x14ac:dyDescent="0.3">
      <c r="A134" s="67" t="s">
        <v>357</v>
      </c>
      <c r="B134" s="62" t="s">
        <v>358</v>
      </c>
      <c r="C134" s="219" t="s">
        <v>124</v>
      </c>
      <c r="D134" s="48" t="s">
        <v>1324</v>
      </c>
      <c r="E134" s="65"/>
    </row>
    <row r="135" spans="1:6" ht="30.15" x14ac:dyDescent="0.3">
      <c r="A135" s="67" t="s">
        <v>359</v>
      </c>
      <c r="B135" s="62" t="s">
        <v>360</v>
      </c>
      <c r="C135" s="219" t="s">
        <v>124</v>
      </c>
      <c r="D135" s="48" t="s">
        <v>1334</v>
      </c>
      <c r="E135" s="65"/>
    </row>
    <row r="136" spans="1:6" x14ac:dyDescent="0.3">
      <c r="A136" s="58" t="s">
        <v>361</v>
      </c>
      <c r="B136" s="66" t="s">
        <v>362</v>
      </c>
      <c r="C136" s="69"/>
      <c r="D136" s="69"/>
      <c r="E136" s="70"/>
      <c r="F136" s="48"/>
    </row>
    <row r="137" spans="1:6" ht="22.6" customHeight="1" x14ac:dyDescent="0.3">
      <c r="A137" s="67" t="s">
        <v>363</v>
      </c>
      <c r="B137" s="62" t="s">
        <v>364</v>
      </c>
      <c r="C137" s="63" t="s">
        <v>91</v>
      </c>
      <c r="D137" s="64"/>
      <c r="E137" s="65"/>
    </row>
    <row r="138" spans="1:6" x14ac:dyDescent="0.3">
      <c r="A138" s="67" t="s">
        <v>365</v>
      </c>
      <c r="B138" s="62" t="s">
        <v>366</v>
      </c>
      <c r="C138" s="63" t="s">
        <v>91</v>
      </c>
      <c r="D138" s="64"/>
      <c r="E138" s="65"/>
    </row>
    <row r="139" spans="1:6" x14ac:dyDescent="0.3">
      <c r="A139" s="67" t="s">
        <v>367</v>
      </c>
      <c r="B139" s="62" t="s">
        <v>368</v>
      </c>
      <c r="C139" s="219" t="s">
        <v>124</v>
      </c>
      <c r="D139" s="64" t="s">
        <v>369</v>
      </c>
      <c r="E139" s="65"/>
    </row>
    <row r="140" spans="1:6" x14ac:dyDescent="0.3">
      <c r="A140" s="67" t="s">
        <v>370</v>
      </c>
      <c r="B140" s="62" t="s">
        <v>371</v>
      </c>
      <c r="C140" s="219" t="s">
        <v>124</v>
      </c>
      <c r="D140" s="64"/>
      <c r="E140" s="65"/>
    </row>
    <row r="141" spans="1:6" ht="24.9" x14ac:dyDescent="0.3">
      <c r="A141" s="67" t="s">
        <v>372</v>
      </c>
      <c r="B141" s="62" t="s">
        <v>373</v>
      </c>
      <c r="C141" s="63" t="s">
        <v>91</v>
      </c>
      <c r="D141" s="64"/>
      <c r="E141" s="65"/>
    </row>
    <row r="142" spans="1:6" ht="24.9" x14ac:dyDescent="0.3">
      <c r="A142" s="67" t="s">
        <v>374</v>
      </c>
      <c r="B142" s="71" t="s">
        <v>375</v>
      </c>
      <c r="C142" s="218" t="s">
        <v>99</v>
      </c>
      <c r="D142" s="64" t="s">
        <v>376</v>
      </c>
      <c r="E142" s="65"/>
    </row>
    <row r="143" spans="1:6" x14ac:dyDescent="0.3">
      <c r="A143" s="67" t="s">
        <v>377</v>
      </c>
      <c r="B143" s="62" t="s">
        <v>378</v>
      </c>
      <c r="C143" s="63" t="s">
        <v>91</v>
      </c>
      <c r="D143" s="64"/>
      <c r="E143" s="65"/>
    </row>
    <row r="144" spans="1:6" x14ac:dyDescent="0.3">
      <c r="A144" s="67" t="s">
        <v>379</v>
      </c>
      <c r="B144" s="62" t="s">
        <v>380</v>
      </c>
      <c r="C144" s="63" t="s">
        <v>91</v>
      </c>
      <c r="D144" s="64"/>
      <c r="E144" s="65"/>
    </row>
    <row r="145" spans="1:5" ht="24.9" x14ac:dyDescent="0.3">
      <c r="A145" s="67" t="s">
        <v>381</v>
      </c>
      <c r="B145" s="62" t="s">
        <v>382</v>
      </c>
      <c r="C145" s="63" t="s">
        <v>91</v>
      </c>
      <c r="D145" s="64"/>
      <c r="E145" s="65"/>
    </row>
    <row r="146" spans="1:5" ht="24.9" x14ac:dyDescent="0.3">
      <c r="A146" s="67" t="s">
        <v>383</v>
      </c>
      <c r="B146" s="62" t="s">
        <v>384</v>
      </c>
      <c r="C146" s="63" t="s">
        <v>91</v>
      </c>
      <c r="D146" s="64"/>
      <c r="E146" s="65"/>
    </row>
    <row r="147" spans="1:5" x14ac:dyDescent="0.3">
      <c r="A147" s="67" t="s">
        <v>385</v>
      </c>
      <c r="B147" s="62" t="s">
        <v>386</v>
      </c>
      <c r="C147" s="63" t="s">
        <v>91</v>
      </c>
      <c r="D147" s="64"/>
      <c r="E147" s="65"/>
    </row>
    <row r="148" spans="1:5" ht="24.9" x14ac:dyDescent="0.3">
      <c r="A148" s="67" t="s">
        <v>387</v>
      </c>
      <c r="B148" s="62" t="s">
        <v>388</v>
      </c>
      <c r="C148" s="63" t="s">
        <v>91</v>
      </c>
      <c r="D148" s="64"/>
      <c r="E148" s="65"/>
    </row>
    <row r="149" spans="1:5" ht="30.15" x14ac:dyDescent="0.3">
      <c r="A149" s="67" t="s">
        <v>389</v>
      </c>
      <c r="B149" s="71" t="s">
        <v>390</v>
      </c>
      <c r="C149" s="218" t="s">
        <v>99</v>
      </c>
      <c r="D149" s="64" t="s">
        <v>391</v>
      </c>
      <c r="E149" s="68" t="s">
        <v>392</v>
      </c>
    </row>
    <row r="150" spans="1:5" x14ac:dyDescent="0.3">
      <c r="A150" s="58" t="s">
        <v>393</v>
      </c>
      <c r="B150" s="66" t="s">
        <v>394</v>
      </c>
      <c r="C150" s="69"/>
      <c r="D150" s="69"/>
      <c r="E150" s="70"/>
    </row>
    <row r="151" spans="1:5" ht="75.3" x14ac:dyDescent="0.3">
      <c r="A151" s="67" t="s">
        <v>395</v>
      </c>
      <c r="B151" s="71" t="s">
        <v>396</v>
      </c>
      <c r="C151" s="63" t="s">
        <v>91</v>
      </c>
      <c r="D151" s="64" t="s">
        <v>397</v>
      </c>
      <c r="E151" s="65"/>
    </row>
    <row r="152" spans="1:5" x14ac:dyDescent="0.3">
      <c r="A152" s="67" t="s">
        <v>398</v>
      </c>
      <c r="B152" s="62" t="s">
        <v>399</v>
      </c>
      <c r="C152" s="63" t="s">
        <v>91</v>
      </c>
      <c r="D152" s="64" t="s">
        <v>400</v>
      </c>
      <c r="E152" s="65"/>
    </row>
    <row r="153" spans="1:5" x14ac:dyDescent="0.3">
      <c r="A153" s="67" t="s">
        <v>401</v>
      </c>
      <c r="B153" s="62" t="s">
        <v>402</v>
      </c>
      <c r="C153" s="63" t="s">
        <v>91</v>
      </c>
      <c r="D153" s="64"/>
      <c r="E153" s="65"/>
    </row>
    <row r="154" spans="1:5" ht="24.9" x14ac:dyDescent="0.3">
      <c r="A154" s="67" t="s">
        <v>403</v>
      </c>
      <c r="B154" s="62" t="s">
        <v>404</v>
      </c>
      <c r="C154" s="63" t="s">
        <v>91</v>
      </c>
      <c r="D154" s="64" t="s">
        <v>405</v>
      </c>
      <c r="E154" s="65"/>
    </row>
    <row r="155" spans="1:5" x14ac:dyDescent="0.3">
      <c r="A155" s="67" t="s">
        <v>406</v>
      </c>
      <c r="B155" s="62" t="s">
        <v>407</v>
      </c>
      <c r="C155" s="63" t="s">
        <v>91</v>
      </c>
      <c r="D155" s="64"/>
      <c r="E155" s="65"/>
    </row>
    <row r="156" spans="1:5" x14ac:dyDescent="0.3">
      <c r="A156" s="67" t="s">
        <v>408</v>
      </c>
      <c r="B156" s="62" t="s">
        <v>409</v>
      </c>
      <c r="C156" s="219" t="s">
        <v>124</v>
      </c>
      <c r="D156" s="64"/>
      <c r="E156" s="65"/>
    </row>
    <row r="157" spans="1:5" x14ac:dyDescent="0.3">
      <c r="A157" s="67" t="s">
        <v>410</v>
      </c>
      <c r="B157" s="71" t="s">
        <v>411</v>
      </c>
      <c r="C157" s="63" t="s">
        <v>91</v>
      </c>
      <c r="D157" s="64"/>
      <c r="E157" s="65"/>
    </row>
    <row r="158" spans="1:5" x14ac:dyDescent="0.3">
      <c r="A158" s="58">
        <v>9</v>
      </c>
      <c r="B158" s="66" t="s">
        <v>412</v>
      </c>
      <c r="C158" s="69"/>
      <c r="D158" s="69"/>
      <c r="E158" s="70"/>
    </row>
    <row r="159" spans="1:5" x14ac:dyDescent="0.3">
      <c r="A159" s="67" t="s">
        <v>413</v>
      </c>
      <c r="B159" s="71" t="s">
        <v>414</v>
      </c>
      <c r="C159" s="63" t="s">
        <v>91</v>
      </c>
      <c r="D159" s="64"/>
      <c r="E159" s="65"/>
    </row>
    <row r="160" spans="1:5" x14ac:dyDescent="0.3">
      <c r="A160" s="67" t="s">
        <v>415</v>
      </c>
      <c r="B160" s="62" t="s">
        <v>416</v>
      </c>
      <c r="C160" s="63" t="s">
        <v>91</v>
      </c>
      <c r="D160" s="64" t="s">
        <v>417</v>
      </c>
      <c r="E160" s="65"/>
    </row>
    <row r="161" spans="1:5" ht="97.55" customHeight="1" x14ac:dyDescent="0.3">
      <c r="A161" s="67" t="s">
        <v>418</v>
      </c>
      <c r="B161" s="71" t="s">
        <v>419</v>
      </c>
      <c r="C161" s="63" t="s">
        <v>91</v>
      </c>
      <c r="D161" s="64"/>
      <c r="E161" s="65"/>
    </row>
    <row r="162" spans="1:5" x14ac:dyDescent="0.3">
      <c r="A162" s="67" t="s">
        <v>420</v>
      </c>
      <c r="B162" s="62" t="s">
        <v>421</v>
      </c>
      <c r="C162" s="63" t="s">
        <v>91</v>
      </c>
      <c r="D162" s="64"/>
      <c r="E162" s="65"/>
    </row>
    <row r="163" spans="1:5" ht="30.15" x14ac:dyDescent="0.3">
      <c r="A163" s="67" t="s">
        <v>422</v>
      </c>
      <c r="B163" s="71" t="s">
        <v>423</v>
      </c>
      <c r="C163" s="218" t="s">
        <v>99</v>
      </c>
      <c r="D163" s="64" t="s">
        <v>424</v>
      </c>
      <c r="E163" s="65"/>
    </row>
    <row r="164" spans="1:5" x14ac:dyDescent="0.3">
      <c r="A164" s="67" t="s">
        <v>425</v>
      </c>
      <c r="B164" s="71" t="s">
        <v>426</v>
      </c>
      <c r="C164" s="63" t="s">
        <v>91</v>
      </c>
      <c r="D164" s="64"/>
      <c r="E164" s="65"/>
    </row>
    <row r="165" spans="1:5" x14ac:dyDescent="0.3">
      <c r="A165" s="67" t="s">
        <v>427</v>
      </c>
      <c r="B165" s="71" t="s">
        <v>428</v>
      </c>
      <c r="C165" s="63" t="s">
        <v>91</v>
      </c>
      <c r="D165" s="64"/>
      <c r="E165" s="65"/>
    </row>
    <row r="166" spans="1:5" x14ac:dyDescent="0.3">
      <c r="A166" s="67" t="s">
        <v>429</v>
      </c>
      <c r="B166" s="71" t="s">
        <v>430</v>
      </c>
      <c r="C166" s="63" t="s">
        <v>91</v>
      </c>
      <c r="D166" s="64"/>
      <c r="E166" s="65"/>
    </row>
    <row r="167" spans="1:5" x14ac:dyDescent="0.3">
      <c r="A167" s="67" t="s">
        <v>431</v>
      </c>
      <c r="B167" s="62" t="s">
        <v>432</v>
      </c>
      <c r="C167" s="63" t="s">
        <v>91</v>
      </c>
      <c r="D167" s="64"/>
      <c r="E167" s="65"/>
    </row>
    <row r="168" spans="1:5" x14ac:dyDescent="0.3">
      <c r="A168" s="67" t="s">
        <v>433</v>
      </c>
      <c r="B168" s="71" t="s">
        <v>434</v>
      </c>
      <c r="C168" s="63" t="s">
        <v>91</v>
      </c>
      <c r="D168" s="64"/>
      <c r="E168" s="65"/>
    </row>
    <row r="169" spans="1:5" x14ac:dyDescent="0.3">
      <c r="A169" s="67" t="s">
        <v>435</v>
      </c>
      <c r="B169" s="71" t="s">
        <v>436</v>
      </c>
      <c r="C169" s="63" t="s">
        <v>91</v>
      </c>
      <c r="D169" s="64"/>
      <c r="E169" s="65"/>
    </row>
    <row r="170" spans="1:5" x14ac:dyDescent="0.3">
      <c r="A170" s="67" t="s">
        <v>437</v>
      </c>
      <c r="B170" s="71" t="s">
        <v>438</v>
      </c>
      <c r="C170" s="63" t="s">
        <v>91</v>
      </c>
      <c r="D170" s="64"/>
      <c r="E170" s="65"/>
    </row>
    <row r="171" spans="1:5" x14ac:dyDescent="0.3">
      <c r="A171" s="67" t="s">
        <v>439</v>
      </c>
      <c r="B171" s="71" t="s">
        <v>440</v>
      </c>
      <c r="C171" s="63" t="s">
        <v>91</v>
      </c>
      <c r="D171" s="64"/>
      <c r="E171" s="65"/>
    </row>
    <row r="172" spans="1:5" x14ac:dyDescent="0.3">
      <c r="A172" s="67" t="s">
        <v>441</v>
      </c>
      <c r="B172" s="71" t="s">
        <v>442</v>
      </c>
      <c r="C172" s="63" t="s">
        <v>91</v>
      </c>
      <c r="D172" s="64"/>
      <c r="E172" s="65"/>
    </row>
    <row r="173" spans="1:5" x14ac:dyDescent="0.3">
      <c r="A173" s="67" t="s">
        <v>443</v>
      </c>
      <c r="B173" s="71" t="s">
        <v>444</v>
      </c>
      <c r="C173" s="63" t="s">
        <v>91</v>
      </c>
      <c r="D173" s="64"/>
      <c r="E173" s="65"/>
    </row>
    <row r="174" spans="1:5" ht="161.69999999999999" x14ac:dyDescent="0.3">
      <c r="A174" s="67" t="s">
        <v>445</v>
      </c>
      <c r="B174" s="71" t="s">
        <v>446</v>
      </c>
      <c r="C174" s="63" t="s">
        <v>91</v>
      </c>
      <c r="D174" s="64"/>
      <c r="E174" s="65"/>
    </row>
    <row r="175" spans="1:5" x14ac:dyDescent="0.3">
      <c r="A175" s="67" t="s">
        <v>447</v>
      </c>
      <c r="B175" s="71" t="s">
        <v>448</v>
      </c>
      <c r="C175" s="63" t="s">
        <v>91</v>
      </c>
      <c r="D175" s="64"/>
      <c r="E175" s="65"/>
    </row>
    <row r="176" spans="1:5" x14ac:dyDescent="0.3">
      <c r="A176" s="67" t="s">
        <v>449</v>
      </c>
      <c r="B176" s="71" t="s">
        <v>450</v>
      </c>
      <c r="C176" s="63" t="s">
        <v>91</v>
      </c>
      <c r="D176" s="64"/>
      <c r="E176" s="65"/>
    </row>
    <row r="177" spans="1:5" ht="45.2" x14ac:dyDescent="0.3">
      <c r="A177" s="67" t="s">
        <v>451</v>
      </c>
      <c r="B177" s="71" t="s">
        <v>452</v>
      </c>
      <c r="C177" s="63" t="s">
        <v>91</v>
      </c>
      <c r="D177" s="76" t="s">
        <v>453</v>
      </c>
      <c r="E177" s="68" t="s">
        <v>454</v>
      </c>
    </row>
    <row r="178" spans="1:5" x14ac:dyDescent="0.3">
      <c r="A178" s="58">
        <v>10</v>
      </c>
      <c r="B178" s="66" t="s">
        <v>455</v>
      </c>
      <c r="C178" s="69"/>
      <c r="D178" s="69"/>
      <c r="E178" s="70"/>
    </row>
    <row r="179" spans="1:5" x14ac:dyDescent="0.3">
      <c r="A179" s="67" t="s">
        <v>456</v>
      </c>
      <c r="B179" s="62" t="s">
        <v>457</v>
      </c>
      <c r="C179" s="63" t="s">
        <v>91</v>
      </c>
      <c r="D179" s="64"/>
      <c r="E179" s="65"/>
    </row>
    <row r="180" spans="1:5" x14ac:dyDescent="0.3">
      <c r="A180" s="67" t="s">
        <v>458</v>
      </c>
      <c r="B180" s="62" t="s">
        <v>459</v>
      </c>
      <c r="C180" s="63" t="s">
        <v>91</v>
      </c>
      <c r="D180" s="64"/>
      <c r="E180" s="65"/>
    </row>
    <row r="181" spans="1:5" x14ac:dyDescent="0.3">
      <c r="A181" s="67" t="s">
        <v>460</v>
      </c>
      <c r="B181" s="62" t="s">
        <v>461</v>
      </c>
      <c r="C181" s="63" t="s">
        <v>91</v>
      </c>
      <c r="D181" s="64"/>
      <c r="E181" s="65"/>
    </row>
    <row r="182" spans="1:5" x14ac:dyDescent="0.3">
      <c r="A182" s="67" t="s">
        <v>462</v>
      </c>
      <c r="B182" s="62" t="s">
        <v>463</v>
      </c>
      <c r="C182" s="63" t="s">
        <v>91</v>
      </c>
      <c r="D182" s="64"/>
      <c r="E182" s="65"/>
    </row>
    <row r="183" spans="1:5" ht="30.15" x14ac:dyDescent="0.3">
      <c r="A183" s="67" t="s">
        <v>464</v>
      </c>
      <c r="B183" s="62" t="s">
        <v>465</v>
      </c>
      <c r="C183" s="63" t="s">
        <v>91</v>
      </c>
      <c r="D183" s="64" t="s">
        <v>466</v>
      </c>
      <c r="E183" s="65"/>
    </row>
    <row r="184" spans="1:5" x14ac:dyDescent="0.3">
      <c r="A184" s="67" t="s">
        <v>467</v>
      </c>
      <c r="B184" s="71" t="s">
        <v>468</v>
      </c>
      <c r="C184" s="63" t="s">
        <v>91</v>
      </c>
      <c r="D184" s="64" t="s">
        <v>469</v>
      </c>
      <c r="E184" s="65"/>
    </row>
    <row r="185" spans="1:5" x14ac:dyDescent="0.3">
      <c r="A185" s="67" t="s">
        <v>470</v>
      </c>
      <c r="B185" s="62" t="s">
        <v>471</v>
      </c>
      <c r="C185" s="63" t="s">
        <v>91</v>
      </c>
      <c r="D185" s="64"/>
      <c r="E185" s="65"/>
    </row>
    <row r="186" spans="1:5" x14ac:dyDescent="0.3">
      <c r="A186" s="67" t="s">
        <v>472</v>
      </c>
      <c r="B186" s="62" t="s">
        <v>473</v>
      </c>
      <c r="C186" s="63" t="s">
        <v>91</v>
      </c>
      <c r="D186" s="64"/>
      <c r="E186" s="65"/>
    </row>
    <row r="187" spans="1:5" x14ac:dyDescent="0.3">
      <c r="A187" s="67" t="s">
        <v>474</v>
      </c>
      <c r="B187" s="62" t="s">
        <v>475</v>
      </c>
      <c r="C187" s="63" t="s">
        <v>91</v>
      </c>
      <c r="D187" s="64"/>
      <c r="E187" s="65"/>
    </row>
    <row r="188" spans="1:5" x14ac:dyDescent="0.3">
      <c r="A188" s="67" t="s">
        <v>476</v>
      </c>
      <c r="B188" s="71" t="s">
        <v>477</v>
      </c>
      <c r="C188" s="63" t="s">
        <v>91</v>
      </c>
      <c r="D188" s="64"/>
      <c r="E188" s="65"/>
    </row>
    <row r="189" spans="1:5" x14ac:dyDescent="0.3">
      <c r="A189" s="58">
        <v>11</v>
      </c>
      <c r="B189" s="66" t="s">
        <v>478</v>
      </c>
      <c r="C189" s="69"/>
      <c r="D189" s="69"/>
      <c r="E189" s="70"/>
    </row>
    <row r="190" spans="1:5" x14ac:dyDescent="0.3">
      <c r="A190" s="67" t="s">
        <v>479</v>
      </c>
      <c r="B190" s="71" t="s">
        <v>480</v>
      </c>
      <c r="C190" s="63" t="s">
        <v>91</v>
      </c>
      <c r="D190" s="64"/>
      <c r="E190" s="65"/>
    </row>
    <row r="191" spans="1:5" x14ac:dyDescent="0.3">
      <c r="A191" s="67" t="s">
        <v>481</v>
      </c>
      <c r="B191" s="62" t="s">
        <v>482</v>
      </c>
      <c r="C191" s="63" t="s">
        <v>91</v>
      </c>
      <c r="D191" s="64"/>
      <c r="E191" s="65"/>
    </row>
    <row r="192" spans="1:5" ht="24.9" x14ac:dyDescent="0.3">
      <c r="A192" s="67" t="s">
        <v>483</v>
      </c>
      <c r="B192" s="62" t="s">
        <v>484</v>
      </c>
      <c r="C192" s="63" t="s">
        <v>91</v>
      </c>
      <c r="D192" s="64"/>
      <c r="E192" s="65"/>
    </row>
    <row r="193" spans="1:5" x14ac:dyDescent="0.3">
      <c r="A193" s="67" t="s">
        <v>485</v>
      </c>
      <c r="B193" s="62" t="s">
        <v>486</v>
      </c>
      <c r="C193" s="63" t="s">
        <v>91</v>
      </c>
      <c r="D193" s="64"/>
      <c r="E193" s="65"/>
    </row>
    <row r="194" spans="1:5" x14ac:dyDescent="0.3">
      <c r="A194" s="67" t="s">
        <v>487</v>
      </c>
      <c r="B194" s="62" t="s">
        <v>488</v>
      </c>
      <c r="C194" s="219" t="s">
        <v>124</v>
      </c>
      <c r="D194" s="64"/>
      <c r="E194" s="65"/>
    </row>
    <row r="195" spans="1:5" x14ac:dyDescent="0.3">
      <c r="A195" s="67" t="s">
        <v>489</v>
      </c>
      <c r="B195" s="62" t="s">
        <v>490</v>
      </c>
      <c r="C195" s="63" t="s">
        <v>91</v>
      </c>
      <c r="D195" s="64"/>
      <c r="E195" s="65"/>
    </row>
    <row r="196" spans="1:5" ht="75.3" x14ac:dyDescent="0.3">
      <c r="A196" s="67" t="s">
        <v>491</v>
      </c>
      <c r="B196" s="62" t="s">
        <v>492</v>
      </c>
      <c r="C196" s="219" t="s">
        <v>124</v>
      </c>
      <c r="D196" s="64" t="s">
        <v>493</v>
      </c>
      <c r="E196" s="65"/>
    </row>
    <row r="197" spans="1:5" x14ac:dyDescent="0.3">
      <c r="A197" s="67" t="s">
        <v>494</v>
      </c>
      <c r="B197" s="62" t="s">
        <v>495</v>
      </c>
      <c r="C197" s="63" t="s">
        <v>91</v>
      </c>
      <c r="D197" s="64"/>
      <c r="E197" s="65"/>
    </row>
    <row r="198" spans="1:5" x14ac:dyDescent="0.3">
      <c r="A198" s="67" t="s">
        <v>496</v>
      </c>
      <c r="B198" s="71" t="s">
        <v>497</v>
      </c>
      <c r="C198" s="63" t="s">
        <v>91</v>
      </c>
      <c r="D198" s="64"/>
      <c r="E198" s="65"/>
    </row>
    <row r="199" spans="1:5" x14ac:dyDescent="0.3">
      <c r="A199" s="67" t="s">
        <v>498</v>
      </c>
      <c r="B199" s="71" t="s">
        <v>499</v>
      </c>
      <c r="C199" s="63" t="s">
        <v>91</v>
      </c>
      <c r="D199" s="64"/>
      <c r="E199" s="65"/>
    </row>
    <row r="200" spans="1:5" x14ac:dyDescent="0.3">
      <c r="A200" s="58">
        <v>12</v>
      </c>
      <c r="B200" s="66" t="s">
        <v>500</v>
      </c>
      <c r="C200" s="69"/>
      <c r="D200" s="69"/>
      <c r="E200" s="70"/>
    </row>
    <row r="201" spans="1:5" x14ac:dyDescent="0.3">
      <c r="A201" s="67" t="s">
        <v>501</v>
      </c>
      <c r="B201" s="71" t="s">
        <v>502</v>
      </c>
      <c r="C201" s="63" t="s">
        <v>91</v>
      </c>
      <c r="D201" s="64"/>
      <c r="E201" s="65"/>
    </row>
    <row r="202" spans="1:5" ht="24.9" x14ac:dyDescent="0.3">
      <c r="A202" s="67" t="s">
        <v>503</v>
      </c>
      <c r="B202" s="71" t="s">
        <v>504</v>
      </c>
      <c r="C202" s="63" t="s">
        <v>91</v>
      </c>
      <c r="D202" s="64"/>
      <c r="E202" s="65"/>
    </row>
    <row r="203" spans="1:5" x14ac:dyDescent="0.3">
      <c r="A203" s="67" t="s">
        <v>505</v>
      </c>
      <c r="B203" s="71" t="s">
        <v>506</v>
      </c>
      <c r="C203" s="63" t="s">
        <v>91</v>
      </c>
      <c r="D203" s="64"/>
      <c r="E203" s="65"/>
    </row>
    <row r="204" spans="1:5" x14ac:dyDescent="0.3">
      <c r="A204" s="67" t="s">
        <v>507</v>
      </c>
      <c r="B204" s="71" t="s">
        <v>508</v>
      </c>
      <c r="C204" s="219" t="s">
        <v>124</v>
      </c>
      <c r="D204" s="64"/>
      <c r="E204" s="65"/>
    </row>
    <row r="205" spans="1:5" x14ac:dyDescent="0.3">
      <c r="A205" s="67" t="s">
        <v>509</v>
      </c>
      <c r="B205" s="71" t="s">
        <v>510</v>
      </c>
      <c r="C205" s="219" t="s">
        <v>124</v>
      </c>
      <c r="D205" s="64"/>
      <c r="E205" s="65"/>
    </row>
    <row r="206" spans="1:5" x14ac:dyDescent="0.3">
      <c r="A206" s="67" t="s">
        <v>511</v>
      </c>
      <c r="B206" s="71" t="s">
        <v>512</v>
      </c>
      <c r="C206" s="63" t="s">
        <v>91</v>
      </c>
      <c r="D206" s="64"/>
      <c r="E206" s="65"/>
    </row>
    <row r="207" spans="1:5" x14ac:dyDescent="0.3">
      <c r="A207" s="67" t="s">
        <v>513</v>
      </c>
      <c r="B207" s="71" t="s">
        <v>514</v>
      </c>
      <c r="C207" s="63" t="s">
        <v>91</v>
      </c>
      <c r="D207" s="64"/>
      <c r="E207" s="65"/>
    </row>
    <row r="208" spans="1:5" x14ac:dyDescent="0.3">
      <c r="A208" s="67" t="s">
        <v>515</v>
      </c>
      <c r="B208" s="62" t="s">
        <v>516</v>
      </c>
      <c r="C208" s="63" t="s">
        <v>91</v>
      </c>
      <c r="D208" s="64"/>
      <c r="E208" s="65"/>
    </row>
    <row r="209" spans="1:5" x14ac:dyDescent="0.3">
      <c r="A209" s="67" t="s">
        <v>517</v>
      </c>
      <c r="B209" s="62" t="s">
        <v>518</v>
      </c>
      <c r="C209" s="63" t="s">
        <v>91</v>
      </c>
      <c r="D209" s="64"/>
      <c r="E209" s="65"/>
    </row>
    <row r="210" spans="1:5" x14ac:dyDescent="0.3">
      <c r="A210" s="67" t="s">
        <v>519</v>
      </c>
      <c r="B210" s="62" t="s">
        <v>520</v>
      </c>
      <c r="C210" s="63" t="s">
        <v>91</v>
      </c>
      <c r="D210" s="64"/>
      <c r="E210" s="65"/>
    </row>
    <row r="211" spans="1:5" x14ac:dyDescent="0.3">
      <c r="A211" s="67" t="s">
        <v>521</v>
      </c>
      <c r="B211" s="62" t="s">
        <v>522</v>
      </c>
      <c r="C211" s="63" t="s">
        <v>91</v>
      </c>
      <c r="D211" s="64"/>
      <c r="E211" s="65"/>
    </row>
    <row r="212" spans="1:5" x14ac:dyDescent="0.3">
      <c r="A212" s="67" t="s">
        <v>523</v>
      </c>
      <c r="B212" s="62" t="s">
        <v>524</v>
      </c>
      <c r="C212" s="63" t="s">
        <v>91</v>
      </c>
      <c r="D212" s="64"/>
      <c r="E212" s="65"/>
    </row>
    <row r="213" spans="1:5" x14ac:dyDescent="0.3">
      <c r="A213" s="67" t="s">
        <v>525</v>
      </c>
      <c r="B213" s="62" t="s">
        <v>526</v>
      </c>
      <c r="C213" s="63" t="s">
        <v>91</v>
      </c>
      <c r="D213" s="64"/>
      <c r="E213" s="65"/>
    </row>
    <row r="214" spans="1:5" x14ac:dyDescent="0.3">
      <c r="A214" s="67" t="s">
        <v>527</v>
      </c>
      <c r="B214" s="62" t="s">
        <v>528</v>
      </c>
      <c r="C214" s="63" t="s">
        <v>91</v>
      </c>
      <c r="D214" s="64"/>
      <c r="E214" s="65"/>
    </row>
    <row r="215" spans="1:5" x14ac:dyDescent="0.3">
      <c r="A215" s="67" t="s">
        <v>529</v>
      </c>
      <c r="B215" s="62" t="s">
        <v>530</v>
      </c>
      <c r="C215" s="63" t="s">
        <v>91</v>
      </c>
      <c r="D215" s="64"/>
      <c r="E215" s="65"/>
    </row>
    <row r="216" spans="1:5" ht="105.4" x14ac:dyDescent="0.3">
      <c r="A216" s="67" t="s">
        <v>531</v>
      </c>
      <c r="B216" s="62" t="s">
        <v>532</v>
      </c>
      <c r="C216" s="63" t="s">
        <v>91</v>
      </c>
      <c r="D216" s="76" t="s">
        <v>533</v>
      </c>
      <c r="E216" s="65"/>
    </row>
    <row r="217" spans="1:5" x14ac:dyDescent="0.3">
      <c r="A217" s="67" t="s">
        <v>534</v>
      </c>
      <c r="B217" s="62" t="s">
        <v>535</v>
      </c>
      <c r="C217" s="63" t="s">
        <v>91</v>
      </c>
      <c r="D217" s="64"/>
      <c r="E217" s="65"/>
    </row>
    <row r="218" spans="1:5" x14ac:dyDescent="0.3">
      <c r="A218" s="67" t="s">
        <v>536</v>
      </c>
      <c r="B218" s="62" t="s">
        <v>537</v>
      </c>
      <c r="C218" s="63" t="s">
        <v>91</v>
      </c>
      <c r="D218" s="64"/>
      <c r="E218" s="65"/>
    </row>
    <row r="219" spans="1:5" ht="30.15" x14ac:dyDescent="0.3">
      <c r="A219" s="67" t="s">
        <v>538</v>
      </c>
      <c r="B219" s="62" t="s">
        <v>539</v>
      </c>
      <c r="C219" s="63" t="s">
        <v>91</v>
      </c>
      <c r="D219" s="64" t="s">
        <v>540</v>
      </c>
      <c r="E219" s="65"/>
    </row>
    <row r="220" spans="1:5" x14ac:dyDescent="0.3">
      <c r="A220" s="67" t="s">
        <v>541</v>
      </c>
      <c r="B220" s="62" t="s">
        <v>542</v>
      </c>
      <c r="C220" s="63" t="s">
        <v>91</v>
      </c>
      <c r="D220" s="64" t="s">
        <v>543</v>
      </c>
      <c r="E220" s="65"/>
    </row>
    <row r="221" spans="1:5" x14ac:dyDescent="0.3">
      <c r="A221" s="67" t="s">
        <v>544</v>
      </c>
      <c r="B221" s="62" t="s">
        <v>545</v>
      </c>
      <c r="C221" s="63" t="s">
        <v>91</v>
      </c>
      <c r="D221" s="64"/>
      <c r="E221" s="65"/>
    </row>
    <row r="222" spans="1:5" x14ac:dyDescent="0.3">
      <c r="A222" s="67" t="s">
        <v>546</v>
      </c>
      <c r="B222" s="62" t="s">
        <v>547</v>
      </c>
      <c r="C222" s="219" t="s">
        <v>124</v>
      </c>
      <c r="D222" s="64" t="s">
        <v>548</v>
      </c>
      <c r="E222" s="65"/>
    </row>
    <row r="223" spans="1:5" x14ac:dyDescent="0.3">
      <c r="A223" s="67" t="s">
        <v>549</v>
      </c>
      <c r="B223" s="62" t="s">
        <v>550</v>
      </c>
      <c r="C223" s="219" t="s">
        <v>124</v>
      </c>
      <c r="D223" s="64"/>
      <c r="E223" s="65"/>
    </row>
    <row r="224" spans="1:5" x14ac:dyDescent="0.3">
      <c r="A224" s="67" t="s">
        <v>551</v>
      </c>
      <c r="B224" s="62" t="s">
        <v>552</v>
      </c>
      <c r="C224" s="63" t="s">
        <v>91</v>
      </c>
      <c r="D224" s="64"/>
      <c r="E224" s="65"/>
    </row>
    <row r="225" spans="1:5" x14ac:dyDescent="0.3">
      <c r="A225" s="67" t="s">
        <v>553</v>
      </c>
      <c r="B225" s="62" t="s">
        <v>554</v>
      </c>
      <c r="C225" s="63" t="s">
        <v>124</v>
      </c>
      <c r="D225" s="64"/>
      <c r="E225" s="65"/>
    </row>
    <row r="226" spans="1:5" ht="24.9" x14ac:dyDescent="0.3">
      <c r="A226" s="67" t="s">
        <v>555</v>
      </c>
      <c r="B226" s="71" t="s">
        <v>556</v>
      </c>
      <c r="C226" s="63" t="s">
        <v>91</v>
      </c>
      <c r="D226" s="64"/>
      <c r="E226" s="65"/>
    </row>
    <row r="227" spans="1:5" x14ac:dyDescent="0.3">
      <c r="A227" s="67" t="s">
        <v>557</v>
      </c>
      <c r="B227" s="71" t="s">
        <v>558</v>
      </c>
      <c r="C227" s="63" t="s">
        <v>91</v>
      </c>
      <c r="D227" s="64"/>
      <c r="E227" s="65"/>
    </row>
    <row r="228" spans="1:5" x14ac:dyDescent="0.3">
      <c r="A228" s="58" t="s">
        <v>559</v>
      </c>
      <c r="B228" s="66" t="s">
        <v>560</v>
      </c>
      <c r="C228" s="69"/>
      <c r="D228" s="69"/>
      <c r="E228" s="70"/>
    </row>
    <row r="229" spans="1:5" x14ac:dyDescent="0.3">
      <c r="A229" s="67" t="s">
        <v>561</v>
      </c>
      <c r="B229" s="62" t="s">
        <v>562</v>
      </c>
      <c r="C229" s="63" t="s">
        <v>91</v>
      </c>
      <c r="D229" s="64"/>
      <c r="E229" s="65"/>
    </row>
    <row r="230" spans="1:5" ht="60.25" x14ac:dyDescent="0.3">
      <c r="A230" s="67" t="s">
        <v>563</v>
      </c>
      <c r="B230" s="62" t="s">
        <v>564</v>
      </c>
      <c r="C230" s="63" t="s">
        <v>91</v>
      </c>
      <c r="D230" s="76" t="s">
        <v>565</v>
      </c>
      <c r="E230" s="65"/>
    </row>
    <row r="231" spans="1:5" x14ac:dyDescent="0.3">
      <c r="A231" s="67" t="s">
        <v>566</v>
      </c>
      <c r="B231" s="62" t="s">
        <v>567</v>
      </c>
      <c r="C231" s="63" t="s">
        <v>91</v>
      </c>
      <c r="D231" s="64"/>
      <c r="E231" s="65"/>
    </row>
    <row r="232" spans="1:5" x14ac:dyDescent="0.3">
      <c r="A232" s="67" t="s">
        <v>568</v>
      </c>
      <c r="B232" s="62" t="s">
        <v>569</v>
      </c>
      <c r="C232" s="63" t="s">
        <v>91</v>
      </c>
      <c r="D232" s="64"/>
      <c r="E232" s="65"/>
    </row>
    <row r="233" spans="1:5" x14ac:dyDescent="0.3">
      <c r="A233" s="67" t="s">
        <v>570</v>
      </c>
      <c r="B233" s="62" t="s">
        <v>571</v>
      </c>
      <c r="C233" s="63" t="s">
        <v>91</v>
      </c>
      <c r="D233" s="64"/>
      <c r="E233" s="65"/>
    </row>
    <row r="234" spans="1:5" x14ac:dyDescent="0.3">
      <c r="A234" s="67" t="s">
        <v>572</v>
      </c>
      <c r="B234" s="62" t="s">
        <v>573</v>
      </c>
      <c r="C234" s="63" t="s">
        <v>91</v>
      </c>
      <c r="D234" s="64"/>
      <c r="E234" s="65"/>
    </row>
    <row r="235" spans="1:5" x14ac:dyDescent="0.3">
      <c r="A235" s="58" t="s">
        <v>574</v>
      </c>
      <c r="B235" s="66" t="s">
        <v>575</v>
      </c>
      <c r="C235" s="69"/>
      <c r="D235" s="69"/>
      <c r="E235" s="70"/>
    </row>
    <row r="236" spans="1:5" x14ac:dyDescent="0.3">
      <c r="A236" s="67" t="s">
        <v>576</v>
      </c>
      <c r="B236" s="77" t="s">
        <v>577</v>
      </c>
      <c r="C236" s="63" t="s">
        <v>91</v>
      </c>
      <c r="D236" s="64"/>
      <c r="E236" s="65"/>
    </row>
    <row r="237" spans="1:5" x14ac:dyDescent="0.3">
      <c r="A237" s="67" t="s">
        <v>578</v>
      </c>
      <c r="B237" s="78" t="s">
        <v>579</v>
      </c>
      <c r="C237" s="63" t="s">
        <v>91</v>
      </c>
      <c r="D237" s="64"/>
      <c r="E237" s="65"/>
    </row>
    <row r="238" spans="1:5" x14ac:dyDescent="0.3">
      <c r="A238" s="67" t="s">
        <v>580</v>
      </c>
      <c r="B238" s="78" t="s">
        <v>581</v>
      </c>
      <c r="C238" s="63" t="s">
        <v>91</v>
      </c>
      <c r="D238" s="64"/>
      <c r="E238" s="65"/>
    </row>
    <row r="239" spans="1:5" x14ac:dyDescent="0.3">
      <c r="A239" s="67" t="s">
        <v>582</v>
      </c>
      <c r="B239" s="78" t="s">
        <v>583</v>
      </c>
      <c r="C239" s="63" t="s">
        <v>91</v>
      </c>
      <c r="D239" s="64"/>
      <c r="E239" s="68"/>
    </row>
    <row r="240" spans="1:5" x14ac:dyDescent="0.3">
      <c r="A240" s="67" t="s">
        <v>584</v>
      </c>
      <c r="B240" s="78" t="s">
        <v>585</v>
      </c>
      <c r="C240" s="63" t="s">
        <v>91</v>
      </c>
      <c r="D240" s="64">
        <v>256</v>
      </c>
      <c r="E240" s="68" t="s">
        <v>586</v>
      </c>
    </row>
    <row r="241" spans="1:5" x14ac:dyDescent="0.3">
      <c r="A241" s="67" t="s">
        <v>587</v>
      </c>
      <c r="B241" s="78" t="s">
        <v>588</v>
      </c>
      <c r="C241" s="63" t="s">
        <v>91</v>
      </c>
      <c r="D241" s="64">
        <v>6</v>
      </c>
      <c r="E241" s="68" t="s">
        <v>586</v>
      </c>
    </row>
    <row r="242" spans="1:5" x14ac:dyDescent="0.3">
      <c r="A242" s="67" t="s">
        <v>589</v>
      </c>
      <c r="B242" s="78" t="s">
        <v>590</v>
      </c>
      <c r="C242" s="63" t="s">
        <v>91</v>
      </c>
      <c r="D242" s="64" t="s">
        <v>591</v>
      </c>
      <c r="E242" s="68" t="s">
        <v>586</v>
      </c>
    </row>
    <row r="243" spans="1:5" x14ac:dyDescent="0.3">
      <c r="A243" s="67" t="s">
        <v>592</v>
      </c>
      <c r="B243" s="78" t="s">
        <v>593</v>
      </c>
      <c r="C243" s="63" t="s">
        <v>91</v>
      </c>
      <c r="D243" s="64" t="s">
        <v>594</v>
      </c>
      <c r="E243" s="68" t="s">
        <v>586</v>
      </c>
    </row>
    <row r="244" spans="1:5" x14ac:dyDescent="0.3">
      <c r="A244" s="67" t="s">
        <v>595</v>
      </c>
      <c r="B244" s="78" t="s">
        <v>596</v>
      </c>
      <c r="C244" s="63" t="s">
        <v>91</v>
      </c>
      <c r="D244" s="64" t="s">
        <v>591</v>
      </c>
      <c r="E244" s="68" t="s">
        <v>586</v>
      </c>
    </row>
    <row r="245" spans="1:5" x14ac:dyDescent="0.3">
      <c r="A245" s="67" t="s">
        <v>597</v>
      </c>
      <c r="B245" s="78" t="s">
        <v>598</v>
      </c>
      <c r="C245" s="63" t="s">
        <v>91</v>
      </c>
      <c r="D245" s="64">
        <v>26</v>
      </c>
      <c r="E245" s="68" t="s">
        <v>586</v>
      </c>
    </row>
    <row r="246" spans="1:5" ht="24.9" x14ac:dyDescent="0.3">
      <c r="A246" s="67" t="s">
        <v>599</v>
      </c>
      <c r="B246" s="78" t="s">
        <v>600</v>
      </c>
      <c r="C246" s="63" t="s">
        <v>91</v>
      </c>
      <c r="D246" s="64"/>
      <c r="E246" s="68" t="s">
        <v>586</v>
      </c>
    </row>
    <row r="247" spans="1:5" ht="24.9" x14ac:dyDescent="0.3">
      <c r="A247" s="67" t="s">
        <v>601</v>
      </c>
      <c r="B247" s="78" t="s">
        <v>602</v>
      </c>
      <c r="C247" s="219" t="s">
        <v>124</v>
      </c>
      <c r="D247" s="64" t="s">
        <v>603</v>
      </c>
      <c r="E247" s="65"/>
    </row>
    <row r="248" spans="1:5" x14ac:dyDescent="0.3">
      <c r="A248" s="67" t="s">
        <v>604</v>
      </c>
      <c r="B248" s="78" t="s">
        <v>605</v>
      </c>
      <c r="C248" s="63" t="s">
        <v>91</v>
      </c>
      <c r="D248" s="64"/>
      <c r="E248" s="65"/>
    </row>
    <row r="249" spans="1:5" x14ac:dyDescent="0.3">
      <c r="A249" s="67" t="s">
        <v>606</v>
      </c>
      <c r="B249" s="78" t="s">
        <v>607</v>
      </c>
      <c r="C249" s="63" t="s">
        <v>91</v>
      </c>
      <c r="D249" s="64"/>
      <c r="E249" s="65"/>
    </row>
    <row r="250" spans="1:5" x14ac:dyDescent="0.3">
      <c r="A250" s="67" t="s">
        <v>608</v>
      </c>
      <c r="B250" s="79" t="s">
        <v>609</v>
      </c>
      <c r="C250" s="63" t="s">
        <v>91</v>
      </c>
      <c r="D250" s="64"/>
      <c r="E250" s="65"/>
    </row>
    <row r="251" spans="1:5" x14ac:dyDescent="0.3">
      <c r="A251" s="67" t="s">
        <v>610</v>
      </c>
      <c r="B251" s="79" t="s">
        <v>611</v>
      </c>
      <c r="C251" s="63" t="s">
        <v>91</v>
      </c>
      <c r="D251" s="64"/>
      <c r="E251" s="65"/>
    </row>
    <row r="252" spans="1:5" x14ac:dyDescent="0.3">
      <c r="A252" s="67" t="s">
        <v>612</v>
      </c>
      <c r="B252" s="79" t="s">
        <v>613</v>
      </c>
      <c r="C252" s="63" t="s">
        <v>91</v>
      </c>
      <c r="D252" s="64"/>
      <c r="E252" s="65"/>
    </row>
    <row r="253" spans="1:5" x14ac:dyDescent="0.3">
      <c r="A253" s="67" t="s">
        <v>614</v>
      </c>
      <c r="B253" s="79" t="s">
        <v>615</v>
      </c>
      <c r="C253" s="63" t="s">
        <v>91</v>
      </c>
      <c r="D253" s="64"/>
      <c r="E253" s="65"/>
    </row>
    <row r="254" spans="1:5" x14ac:dyDescent="0.3">
      <c r="A254" s="67" t="s">
        <v>616</v>
      </c>
      <c r="B254" s="78" t="s">
        <v>617</v>
      </c>
      <c r="C254" s="63" t="s">
        <v>91</v>
      </c>
      <c r="D254" s="64"/>
      <c r="E254" s="65"/>
    </row>
    <row r="255" spans="1:5" x14ac:dyDescent="0.3">
      <c r="A255" s="67" t="s">
        <v>618</v>
      </c>
      <c r="B255" s="78" t="s">
        <v>619</v>
      </c>
      <c r="C255" s="63" t="s">
        <v>91</v>
      </c>
      <c r="D255" s="64"/>
      <c r="E255" s="65"/>
    </row>
    <row r="256" spans="1:5" x14ac:dyDescent="0.3">
      <c r="A256" s="58" t="s">
        <v>620</v>
      </c>
      <c r="B256" s="66" t="s">
        <v>28</v>
      </c>
      <c r="C256" s="59"/>
      <c r="D256" s="59"/>
      <c r="E256" s="59"/>
    </row>
    <row r="257" spans="1:5" ht="37.35" x14ac:dyDescent="0.3">
      <c r="A257" s="67" t="s">
        <v>621</v>
      </c>
      <c r="B257" s="71" t="s">
        <v>622</v>
      </c>
      <c r="C257" s="223" t="s">
        <v>124</v>
      </c>
      <c r="D257" s="64"/>
      <c r="E257" s="65"/>
    </row>
    <row r="258" spans="1:5" ht="37.35" x14ac:dyDescent="0.3">
      <c r="A258" s="67" t="s">
        <v>623</v>
      </c>
      <c r="B258" s="71" t="s">
        <v>624</v>
      </c>
      <c r="C258" s="223" t="s">
        <v>124</v>
      </c>
      <c r="D258" s="64"/>
      <c r="E258" s="65"/>
    </row>
    <row r="259" spans="1:5" x14ac:dyDescent="0.3">
      <c r="A259" s="67" t="s">
        <v>625</v>
      </c>
      <c r="B259" s="71" t="s">
        <v>626</v>
      </c>
      <c r="C259" s="223" t="s">
        <v>124</v>
      </c>
      <c r="D259" s="64"/>
      <c r="E259" s="65"/>
    </row>
    <row r="260" spans="1:5" x14ac:dyDescent="0.3">
      <c r="A260" s="67" t="s">
        <v>627</v>
      </c>
      <c r="B260" s="71" t="s">
        <v>628</v>
      </c>
      <c r="C260" s="223" t="s">
        <v>124</v>
      </c>
      <c r="D260" s="64"/>
      <c r="E260" s="65"/>
    </row>
    <row r="261" spans="1:5" x14ac:dyDescent="0.3">
      <c r="A261" s="67" t="s">
        <v>629</v>
      </c>
      <c r="B261" s="71" t="s">
        <v>630</v>
      </c>
      <c r="C261" s="223" t="s">
        <v>124</v>
      </c>
      <c r="D261" s="64"/>
      <c r="E261" s="65"/>
    </row>
    <row r="262" spans="1:5" ht="24.9" x14ac:dyDescent="0.3">
      <c r="A262" s="67" t="s">
        <v>631</v>
      </c>
      <c r="B262" s="71" t="s">
        <v>632</v>
      </c>
      <c r="C262" s="223" t="s">
        <v>124</v>
      </c>
      <c r="D262" s="64"/>
      <c r="E262" s="65"/>
    </row>
    <row r="263" spans="1:5" x14ac:dyDescent="0.3">
      <c r="A263" s="67" t="s">
        <v>633</v>
      </c>
      <c r="B263" s="71" t="s">
        <v>634</v>
      </c>
      <c r="C263" s="63" t="s">
        <v>91</v>
      </c>
      <c r="D263" s="64"/>
      <c r="E263" s="65"/>
    </row>
    <row r="264" spans="1:5" x14ac:dyDescent="0.3">
      <c r="A264" s="67" t="s">
        <v>635</v>
      </c>
      <c r="B264" s="71" t="s">
        <v>636</v>
      </c>
      <c r="C264" s="63" t="s">
        <v>124</v>
      </c>
      <c r="D264" s="64" t="s">
        <v>637</v>
      </c>
      <c r="E264" s="65"/>
    </row>
    <row r="265" spans="1:5" ht="24.9" x14ac:dyDescent="0.3">
      <c r="A265" s="67" t="s">
        <v>638</v>
      </c>
      <c r="B265" s="71" t="s">
        <v>639</v>
      </c>
      <c r="C265" s="63" t="s">
        <v>91</v>
      </c>
      <c r="D265" s="64"/>
      <c r="E265" s="65"/>
    </row>
    <row r="266" spans="1:5" x14ac:dyDescent="0.3">
      <c r="A266" s="67" t="s">
        <v>640</v>
      </c>
      <c r="B266" s="71" t="s">
        <v>641</v>
      </c>
      <c r="C266" s="223" t="s">
        <v>124</v>
      </c>
      <c r="D266" s="64"/>
      <c r="E266" s="65"/>
    </row>
    <row r="267" spans="1:5" x14ac:dyDescent="0.3">
      <c r="A267" s="67" t="s">
        <v>642</v>
      </c>
      <c r="B267" s="71" t="s">
        <v>643</v>
      </c>
      <c r="C267" s="63" t="s">
        <v>91</v>
      </c>
      <c r="D267" s="64"/>
      <c r="E267" s="65"/>
    </row>
    <row r="268" spans="1:5" x14ac:dyDescent="0.3">
      <c r="A268" s="67" t="s">
        <v>644</v>
      </c>
      <c r="B268" s="71" t="s">
        <v>645</v>
      </c>
      <c r="C268" s="63" t="s">
        <v>91</v>
      </c>
      <c r="D268" s="64"/>
      <c r="E268" s="65"/>
    </row>
    <row r="269" spans="1:5" ht="24.9" x14ac:dyDescent="0.3">
      <c r="A269" s="67" t="s">
        <v>646</v>
      </c>
      <c r="B269" s="71" t="s">
        <v>647</v>
      </c>
      <c r="C269" s="223" t="s">
        <v>124</v>
      </c>
      <c r="D269" s="64"/>
      <c r="E269" s="65"/>
    </row>
    <row r="270" spans="1:5" ht="39.799999999999997" customHeight="1" x14ac:dyDescent="0.3">
      <c r="A270" s="67" t="s">
        <v>648</v>
      </c>
      <c r="B270" s="71" t="s">
        <v>649</v>
      </c>
      <c r="C270" s="223" t="s">
        <v>124</v>
      </c>
      <c r="D270" s="64"/>
      <c r="E270" s="65"/>
    </row>
    <row r="271" spans="1:5" x14ac:dyDescent="0.3">
      <c r="A271" s="67" t="s">
        <v>650</v>
      </c>
      <c r="B271" s="71" t="s">
        <v>651</v>
      </c>
      <c r="C271" s="223" t="s">
        <v>124</v>
      </c>
      <c r="D271" s="64"/>
      <c r="E271" s="65"/>
    </row>
    <row r="272" spans="1:5" ht="24.9" x14ac:dyDescent="0.3">
      <c r="A272" s="67" t="s">
        <v>652</v>
      </c>
      <c r="B272" s="71" t="s">
        <v>653</v>
      </c>
      <c r="C272" s="223" t="s">
        <v>124</v>
      </c>
      <c r="D272" s="64"/>
      <c r="E272" s="65"/>
    </row>
    <row r="273" spans="1:5" x14ac:dyDescent="0.3">
      <c r="A273" s="67" t="s">
        <v>654</v>
      </c>
      <c r="B273" s="71" t="s">
        <v>655</v>
      </c>
      <c r="C273" s="223" t="s">
        <v>124</v>
      </c>
      <c r="D273" s="64"/>
      <c r="E273" s="65"/>
    </row>
    <row r="274" spans="1:5" ht="24.9" x14ac:dyDescent="0.3">
      <c r="A274" s="67" t="s">
        <v>656</v>
      </c>
      <c r="B274" s="71" t="s">
        <v>657</v>
      </c>
      <c r="C274" s="223" t="s">
        <v>124</v>
      </c>
      <c r="D274" s="64"/>
      <c r="E274" s="65"/>
    </row>
    <row r="275" spans="1:5" ht="30.15" x14ac:dyDescent="0.3">
      <c r="A275" s="67" t="s">
        <v>658</v>
      </c>
      <c r="B275" s="80" t="s">
        <v>659</v>
      </c>
      <c r="C275" s="223" t="s">
        <v>124</v>
      </c>
      <c r="D275" s="64"/>
      <c r="E275" s="65"/>
    </row>
  </sheetData>
  <mergeCells count="4">
    <mergeCell ref="C5:E5"/>
    <mergeCell ref="C6:E6"/>
    <mergeCell ref="C7:E7"/>
    <mergeCell ref="C8:E8"/>
  </mergeCells>
  <conditionalFormatting sqref="B5 A6:B8">
    <cfRule type="cellIs" dxfId="0" priority="2" operator="equal">
      <formula>"Есть в базе"</formula>
    </cfRule>
  </conditionalFormatting>
  <hyperlinks>
    <hyperlink ref="E25" r:id="rId1"/>
    <hyperlink ref="E43" r:id="rId2"/>
    <hyperlink ref="E149" r:id="rId3"/>
    <hyperlink ref="E177" r:id="rId4"/>
  </hyperlinks>
  <pageMargins left="0.7" right="0.7" top="0.75" bottom="0.75" header="0.511811023622047" footer="0.511811023622047"/>
  <pageSetup paperSize="9" orientation="portrait" horizontalDpi="3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N35"/>
  <sheetViews>
    <sheetView zoomScaleNormal="100" workbookViewId="0">
      <selection activeCell="M10" sqref="M10"/>
    </sheetView>
  </sheetViews>
  <sheetFormatPr defaultColWidth="9.109375" defaultRowHeight="15.05" customHeight="1" x14ac:dyDescent="0.3"/>
  <cols>
    <col min="1" max="1" width="17.44140625" customWidth="1"/>
    <col min="2" max="2" width="11.44140625" customWidth="1"/>
    <col min="3" max="3" width="18.6640625" customWidth="1"/>
    <col min="4" max="4" width="20.44140625" customWidth="1"/>
    <col min="5" max="5" width="40" customWidth="1"/>
    <col min="6" max="6" width="10.77734375" customWidth="1"/>
    <col min="7" max="7" width="7.6640625" customWidth="1"/>
    <col min="8" max="8" width="17.44140625" customWidth="1"/>
    <col min="9" max="9" width="7.44140625" customWidth="1"/>
    <col min="10" max="10" width="10.77734375" customWidth="1"/>
    <col min="11" max="11" width="11.44140625" customWidth="1"/>
    <col min="12" max="12" width="12.33203125" customWidth="1"/>
    <col min="13" max="13" width="23.6640625" customWidth="1"/>
    <col min="14" max="14" width="26.77734375" customWidth="1"/>
    <col min="15" max="15" width="30.77734375" customWidth="1"/>
  </cols>
  <sheetData>
    <row r="1" spans="1:14" ht="17.7" x14ac:dyDescent="0.3">
      <c r="L1" s="81"/>
      <c r="M1" s="2" t="s">
        <v>660</v>
      </c>
    </row>
    <row r="2" spans="1:14" ht="17.7" x14ac:dyDescent="0.3">
      <c r="L2" s="82"/>
      <c r="M2" s="2" t="s">
        <v>1</v>
      </c>
    </row>
    <row r="5" spans="1:14" ht="18" customHeight="1" x14ac:dyDescent="0.3">
      <c r="B5" s="83" t="s">
        <v>661</v>
      </c>
      <c r="C5" s="83"/>
      <c r="D5" s="83"/>
      <c r="E5" s="83"/>
      <c r="F5" s="83"/>
      <c r="G5" s="83"/>
      <c r="H5" s="83"/>
      <c r="I5" s="84"/>
      <c r="J5" s="84"/>
    </row>
    <row r="8" spans="1:14" ht="29.45" x14ac:dyDescent="0.3">
      <c r="A8" s="85" t="s">
        <v>662</v>
      </c>
      <c r="B8" s="85" t="s">
        <v>663</v>
      </c>
      <c r="C8" s="85" t="s">
        <v>664</v>
      </c>
      <c r="D8" s="85" t="s">
        <v>665</v>
      </c>
      <c r="E8" s="86" t="s">
        <v>666</v>
      </c>
      <c r="F8" s="85" t="s">
        <v>667</v>
      </c>
      <c r="G8" s="87" t="s">
        <v>668</v>
      </c>
      <c r="H8" s="85" t="s">
        <v>669</v>
      </c>
      <c r="I8" s="87" t="s">
        <v>670</v>
      </c>
      <c r="J8" s="85" t="s">
        <v>671</v>
      </c>
      <c r="K8" s="85" t="s">
        <v>672</v>
      </c>
      <c r="L8" s="87" t="s">
        <v>394</v>
      </c>
      <c r="M8" s="87" t="s">
        <v>673</v>
      </c>
      <c r="N8" s="87" t="s">
        <v>88</v>
      </c>
    </row>
    <row r="9" spans="1:14" x14ac:dyDescent="0.3">
      <c r="A9" s="205" t="s">
        <v>674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</row>
    <row r="10" spans="1:14" x14ac:dyDescent="0.3">
      <c r="A10" s="88" t="s">
        <v>675</v>
      </c>
      <c r="B10" s="89" t="s">
        <v>676</v>
      </c>
      <c r="C10" s="89" t="s">
        <v>677</v>
      </c>
      <c r="D10" s="90" t="s">
        <v>678</v>
      </c>
      <c r="E10" s="89" t="s">
        <v>679</v>
      </c>
      <c r="F10" s="91">
        <v>1</v>
      </c>
      <c r="G10" s="91">
        <v>12</v>
      </c>
      <c r="H10" s="91">
        <v>64</v>
      </c>
      <c r="I10" s="92">
        <v>1000</v>
      </c>
      <c r="J10" s="92" t="s">
        <v>680</v>
      </c>
      <c r="K10" s="92" t="s">
        <v>91</v>
      </c>
      <c r="L10" s="92" t="s">
        <v>91</v>
      </c>
      <c r="M10" s="93"/>
      <c r="N10" s="93"/>
    </row>
    <row r="11" spans="1:14" x14ac:dyDescent="0.3">
      <c r="A11" s="88" t="s">
        <v>681</v>
      </c>
      <c r="B11" s="89" t="s">
        <v>676</v>
      </c>
      <c r="C11" s="89" t="s">
        <v>677</v>
      </c>
      <c r="D11" s="90" t="s">
        <v>678</v>
      </c>
      <c r="E11" s="89" t="s">
        <v>679</v>
      </c>
      <c r="F11" s="91">
        <v>1</v>
      </c>
      <c r="G11" s="91">
        <v>12</v>
      </c>
      <c r="H11" s="91">
        <v>64</v>
      </c>
      <c r="I11" s="92">
        <v>1000</v>
      </c>
      <c r="J11" s="92" t="s">
        <v>682</v>
      </c>
      <c r="K11" s="92" t="s">
        <v>679</v>
      </c>
      <c r="L11" s="92" t="s">
        <v>679</v>
      </c>
      <c r="M11" s="93"/>
      <c r="N11" s="93"/>
    </row>
    <row r="12" spans="1:14" x14ac:dyDescent="0.3">
      <c r="A12" s="88" t="s">
        <v>675</v>
      </c>
      <c r="B12" s="89" t="s">
        <v>676</v>
      </c>
      <c r="C12" s="89" t="s">
        <v>677</v>
      </c>
      <c r="D12" s="90" t="s">
        <v>678</v>
      </c>
      <c r="E12" s="89" t="s">
        <v>679</v>
      </c>
      <c r="F12" s="91">
        <v>1</v>
      </c>
      <c r="G12" s="91">
        <v>8</v>
      </c>
      <c r="H12" s="91">
        <v>32</v>
      </c>
      <c r="I12" s="92">
        <v>500</v>
      </c>
      <c r="J12" s="92" t="s">
        <v>683</v>
      </c>
      <c r="K12" s="92" t="s">
        <v>91</v>
      </c>
      <c r="L12" s="92" t="s">
        <v>91</v>
      </c>
      <c r="M12" s="93"/>
      <c r="N12" s="93"/>
    </row>
    <row r="13" spans="1:14" x14ac:dyDescent="0.3">
      <c r="A13" s="88" t="s">
        <v>681</v>
      </c>
      <c r="B13" s="89" t="s">
        <v>676</v>
      </c>
      <c r="C13" s="89" t="s">
        <v>677</v>
      </c>
      <c r="D13" s="90" t="s">
        <v>678</v>
      </c>
      <c r="E13" s="89" t="s">
        <v>679</v>
      </c>
      <c r="F13" s="91">
        <v>1</v>
      </c>
      <c r="G13" s="91">
        <v>8</v>
      </c>
      <c r="H13" s="91">
        <v>32</v>
      </c>
      <c r="I13" s="92">
        <v>500</v>
      </c>
      <c r="J13" s="92" t="s">
        <v>682</v>
      </c>
      <c r="K13" s="92" t="s">
        <v>679</v>
      </c>
      <c r="L13" s="92" t="s">
        <v>679</v>
      </c>
      <c r="M13" s="93"/>
      <c r="N13" s="93"/>
    </row>
    <row r="14" spans="1:14" x14ac:dyDescent="0.3">
      <c r="A14" s="88" t="s">
        <v>675</v>
      </c>
      <c r="B14" s="89" t="s">
        <v>676</v>
      </c>
      <c r="C14" s="89" t="s">
        <v>677</v>
      </c>
      <c r="D14" s="90" t="s">
        <v>678</v>
      </c>
      <c r="E14" s="89" t="s">
        <v>679</v>
      </c>
      <c r="F14" s="91">
        <v>1</v>
      </c>
      <c r="G14" s="91">
        <v>4</v>
      </c>
      <c r="H14" s="91">
        <v>16</v>
      </c>
      <c r="I14" s="92">
        <v>200</v>
      </c>
      <c r="J14" s="92" t="s">
        <v>682</v>
      </c>
      <c r="K14" s="92" t="s">
        <v>91</v>
      </c>
      <c r="L14" s="92" t="s">
        <v>91</v>
      </c>
      <c r="M14" s="93"/>
      <c r="N14" s="93"/>
    </row>
    <row r="15" spans="1:14" x14ac:dyDescent="0.3">
      <c r="A15" s="88" t="s">
        <v>681</v>
      </c>
      <c r="B15" s="89" t="s">
        <v>676</v>
      </c>
      <c r="C15" s="89" t="s">
        <v>677</v>
      </c>
      <c r="D15" s="90" t="s">
        <v>678</v>
      </c>
      <c r="E15" s="89" t="s">
        <v>679</v>
      </c>
      <c r="F15" s="91">
        <v>1</v>
      </c>
      <c r="G15" s="91">
        <v>4</v>
      </c>
      <c r="H15" s="91">
        <v>16</v>
      </c>
      <c r="I15" s="92">
        <v>200</v>
      </c>
      <c r="J15" s="92" t="s">
        <v>682</v>
      </c>
      <c r="K15" s="92" t="s">
        <v>679</v>
      </c>
      <c r="L15" s="92" t="s">
        <v>679</v>
      </c>
      <c r="M15" s="93"/>
      <c r="N15" s="93"/>
    </row>
    <row r="16" spans="1:14" x14ac:dyDescent="0.3">
      <c r="A16" s="205" t="s">
        <v>684</v>
      </c>
      <c r="B16" s="205"/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</row>
    <row r="17" spans="1:14" x14ac:dyDescent="0.3">
      <c r="A17" s="88" t="s">
        <v>675</v>
      </c>
      <c r="B17" s="89" t="s">
        <v>676</v>
      </c>
      <c r="C17" s="89" t="s">
        <v>685</v>
      </c>
      <c r="D17" s="89" t="s">
        <v>678</v>
      </c>
      <c r="E17" s="89" t="s">
        <v>686</v>
      </c>
      <c r="F17" s="91">
        <v>1</v>
      </c>
      <c r="G17" s="91">
        <v>8</v>
      </c>
      <c r="H17" s="91">
        <v>64</v>
      </c>
      <c r="I17" s="92">
        <v>1000</v>
      </c>
      <c r="J17" s="92" t="s">
        <v>680</v>
      </c>
      <c r="K17" s="92" t="s">
        <v>91</v>
      </c>
      <c r="L17" s="92" t="s">
        <v>91</v>
      </c>
      <c r="M17" s="93"/>
      <c r="N17" s="93"/>
    </row>
    <row r="18" spans="1:14" x14ac:dyDescent="0.3">
      <c r="A18" s="88" t="s">
        <v>681</v>
      </c>
      <c r="B18" s="89" t="s">
        <v>676</v>
      </c>
      <c r="C18" s="89" t="s">
        <v>685</v>
      </c>
      <c r="D18" s="89" t="s">
        <v>678</v>
      </c>
      <c r="E18" s="89" t="s">
        <v>686</v>
      </c>
      <c r="F18" s="91">
        <v>1</v>
      </c>
      <c r="G18" s="91">
        <v>8</v>
      </c>
      <c r="H18" s="91">
        <v>64</v>
      </c>
      <c r="I18" s="92">
        <v>1000</v>
      </c>
      <c r="J18" s="92" t="s">
        <v>682</v>
      </c>
      <c r="K18" s="92" t="s">
        <v>679</v>
      </c>
      <c r="L18" s="92" t="s">
        <v>679</v>
      </c>
      <c r="M18" s="93"/>
      <c r="N18" s="93"/>
    </row>
    <row r="19" spans="1:14" x14ac:dyDescent="0.3">
      <c r="A19" s="88" t="s">
        <v>675</v>
      </c>
      <c r="B19" s="89" t="s">
        <v>676</v>
      </c>
      <c r="C19" s="89" t="s">
        <v>685</v>
      </c>
      <c r="D19" s="89" t="s">
        <v>678</v>
      </c>
      <c r="E19" s="89" t="s">
        <v>686</v>
      </c>
      <c r="F19" s="91">
        <v>1</v>
      </c>
      <c r="G19" s="91">
        <v>6</v>
      </c>
      <c r="H19" s="91">
        <v>32</v>
      </c>
      <c r="I19" s="92">
        <v>500</v>
      </c>
      <c r="J19" s="92" t="s">
        <v>683</v>
      </c>
      <c r="K19" s="92" t="s">
        <v>91</v>
      </c>
      <c r="L19" s="92" t="s">
        <v>91</v>
      </c>
      <c r="M19" s="93"/>
      <c r="N19" s="93"/>
    </row>
    <row r="20" spans="1:14" x14ac:dyDescent="0.3">
      <c r="A20" s="88" t="s">
        <v>681</v>
      </c>
      <c r="B20" s="89" t="s">
        <v>676</v>
      </c>
      <c r="C20" s="89" t="s">
        <v>685</v>
      </c>
      <c r="D20" s="89" t="s">
        <v>678</v>
      </c>
      <c r="E20" s="89" t="s">
        <v>686</v>
      </c>
      <c r="F20" s="91">
        <v>1</v>
      </c>
      <c r="G20" s="91">
        <v>6</v>
      </c>
      <c r="H20" s="91">
        <v>32</v>
      </c>
      <c r="I20" s="92">
        <v>500</v>
      </c>
      <c r="J20" s="92" t="s">
        <v>682</v>
      </c>
      <c r="K20" s="92" t="s">
        <v>679</v>
      </c>
      <c r="L20" s="92" t="s">
        <v>679</v>
      </c>
      <c r="M20" s="93"/>
      <c r="N20" s="93"/>
    </row>
    <row r="21" spans="1:14" x14ac:dyDescent="0.3">
      <c r="A21" s="88" t="s">
        <v>675</v>
      </c>
      <c r="B21" s="89" t="s">
        <v>676</v>
      </c>
      <c r="C21" s="89" t="s">
        <v>685</v>
      </c>
      <c r="D21" s="89" t="s">
        <v>678</v>
      </c>
      <c r="E21" s="89" t="s">
        <v>686</v>
      </c>
      <c r="F21" s="91">
        <v>1</v>
      </c>
      <c r="G21" s="91">
        <v>4</v>
      </c>
      <c r="H21" s="91">
        <v>16</v>
      </c>
      <c r="I21" s="92">
        <v>200</v>
      </c>
      <c r="J21" s="92" t="s">
        <v>682</v>
      </c>
      <c r="K21" s="92" t="s">
        <v>91</v>
      </c>
      <c r="L21" s="92" t="s">
        <v>91</v>
      </c>
      <c r="M21" s="93"/>
      <c r="N21" s="93"/>
    </row>
    <row r="22" spans="1:14" x14ac:dyDescent="0.3">
      <c r="A22" s="88" t="s">
        <v>681</v>
      </c>
      <c r="B22" s="89" t="s">
        <v>676</v>
      </c>
      <c r="C22" s="89" t="s">
        <v>685</v>
      </c>
      <c r="D22" s="89" t="s">
        <v>678</v>
      </c>
      <c r="E22" s="89" t="s">
        <v>686</v>
      </c>
      <c r="F22" s="91">
        <v>1</v>
      </c>
      <c r="G22" s="91">
        <v>4</v>
      </c>
      <c r="H22" s="91">
        <v>16</v>
      </c>
      <c r="I22" s="92">
        <v>200</v>
      </c>
      <c r="J22" s="92" t="s">
        <v>682</v>
      </c>
      <c r="K22" s="92" t="s">
        <v>679</v>
      </c>
      <c r="L22" s="92" t="s">
        <v>679</v>
      </c>
      <c r="M22" s="93"/>
      <c r="N22" s="93"/>
    </row>
    <row r="23" spans="1:14" x14ac:dyDescent="0.3">
      <c r="A23" s="206" t="s">
        <v>687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</row>
    <row r="24" spans="1:14" x14ac:dyDescent="0.3">
      <c r="A24" s="88" t="s">
        <v>675</v>
      </c>
      <c r="B24" s="89" t="s">
        <v>688</v>
      </c>
      <c r="C24" s="89" t="s">
        <v>677</v>
      </c>
      <c r="D24" s="89" t="s">
        <v>678</v>
      </c>
      <c r="E24" s="89" t="s">
        <v>679</v>
      </c>
      <c r="F24" s="91">
        <v>2</v>
      </c>
      <c r="G24" s="91">
        <v>20</v>
      </c>
      <c r="H24" s="91">
        <v>768</v>
      </c>
      <c r="I24" s="92">
        <f>480+1920+7680</f>
        <v>10080</v>
      </c>
      <c r="J24" s="92" t="s">
        <v>689</v>
      </c>
      <c r="K24" s="92" t="s">
        <v>91</v>
      </c>
      <c r="L24" s="92" t="s">
        <v>91</v>
      </c>
      <c r="M24" s="93"/>
      <c r="N24" s="93"/>
    </row>
    <row r="25" spans="1:14" x14ac:dyDescent="0.3">
      <c r="A25" s="88" t="s">
        <v>681</v>
      </c>
      <c r="B25" s="89" t="s">
        <v>688</v>
      </c>
      <c r="C25" s="89" t="s">
        <v>677</v>
      </c>
      <c r="D25" s="89" t="s">
        <v>678</v>
      </c>
      <c r="E25" s="89" t="s">
        <v>679</v>
      </c>
      <c r="F25" s="91">
        <v>2</v>
      </c>
      <c r="G25" s="91">
        <v>20</v>
      </c>
      <c r="H25" s="91">
        <v>768</v>
      </c>
      <c r="I25" s="92">
        <f>480+1920+7680</f>
        <v>10080</v>
      </c>
      <c r="J25" s="92" t="s">
        <v>689</v>
      </c>
      <c r="K25" s="92" t="s">
        <v>679</v>
      </c>
      <c r="L25" s="92" t="s">
        <v>679</v>
      </c>
      <c r="M25" s="93"/>
      <c r="N25" s="93"/>
    </row>
    <row r="26" spans="1:14" x14ac:dyDescent="0.3">
      <c r="A26" s="207" t="s">
        <v>690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</row>
    <row r="27" spans="1:14" x14ac:dyDescent="0.3">
      <c r="A27" s="88" t="s">
        <v>675</v>
      </c>
      <c r="B27" s="89" t="s">
        <v>688</v>
      </c>
      <c r="C27" s="89" t="s">
        <v>685</v>
      </c>
      <c r="D27" s="89" t="s">
        <v>678</v>
      </c>
      <c r="E27" s="89" t="s">
        <v>691</v>
      </c>
      <c r="F27" s="91">
        <v>2</v>
      </c>
      <c r="G27" s="91">
        <v>12</v>
      </c>
      <c r="H27" s="91">
        <v>384</v>
      </c>
      <c r="I27" s="92">
        <f>600+960</f>
        <v>1560</v>
      </c>
      <c r="J27" s="92" t="s">
        <v>689</v>
      </c>
      <c r="K27" s="92" t="s">
        <v>91</v>
      </c>
      <c r="L27" s="92" t="s">
        <v>91</v>
      </c>
      <c r="M27" s="93"/>
      <c r="N27" s="93"/>
    </row>
    <row r="28" spans="1:14" x14ac:dyDescent="0.3">
      <c r="A28" s="88" t="s">
        <v>681</v>
      </c>
      <c r="B28" s="89" t="s">
        <v>688</v>
      </c>
      <c r="C28" s="89" t="s">
        <v>685</v>
      </c>
      <c r="D28" s="89" t="s">
        <v>678</v>
      </c>
      <c r="E28" s="89" t="s">
        <v>691</v>
      </c>
      <c r="F28" s="91">
        <v>2</v>
      </c>
      <c r="G28" s="91">
        <v>12</v>
      </c>
      <c r="H28" s="91">
        <v>384</v>
      </c>
      <c r="I28" s="92">
        <f>600+960</f>
        <v>1560</v>
      </c>
      <c r="J28" s="92" t="s">
        <v>689</v>
      </c>
      <c r="K28" s="92" t="s">
        <v>679</v>
      </c>
      <c r="L28" s="92" t="s">
        <v>679</v>
      </c>
      <c r="M28" s="93"/>
      <c r="N28" s="93"/>
    </row>
    <row r="29" spans="1:14" x14ac:dyDescent="0.3">
      <c r="A29" s="208" t="s">
        <v>692</v>
      </c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</row>
    <row r="30" spans="1:14" x14ac:dyDescent="0.3">
      <c r="A30" s="88" t="s">
        <v>675</v>
      </c>
      <c r="B30" s="89"/>
      <c r="C30" s="89" t="s">
        <v>692</v>
      </c>
      <c r="D30" s="89"/>
      <c r="E30" s="89"/>
      <c r="F30" s="91"/>
      <c r="G30" s="91"/>
      <c r="H30" s="91"/>
      <c r="I30" s="92">
        <v>1000</v>
      </c>
      <c r="J30" s="92" t="s">
        <v>680</v>
      </c>
      <c r="K30" s="92"/>
      <c r="L30" s="92" t="s">
        <v>679</v>
      </c>
      <c r="M30" s="93"/>
      <c r="N30" s="93"/>
    </row>
    <row r="31" spans="1:14" x14ac:dyDescent="0.3">
      <c r="A31" s="88" t="s">
        <v>681</v>
      </c>
      <c r="B31" s="89"/>
      <c r="C31" s="89" t="s">
        <v>692</v>
      </c>
      <c r="D31" s="89"/>
      <c r="E31" s="89"/>
      <c r="F31" s="91"/>
      <c r="G31" s="91"/>
      <c r="H31" s="91"/>
      <c r="I31" s="92">
        <v>1000</v>
      </c>
      <c r="J31" s="92" t="s">
        <v>683</v>
      </c>
      <c r="K31" s="92"/>
      <c r="L31" s="92" t="s">
        <v>679</v>
      </c>
      <c r="M31" s="93"/>
      <c r="N31" s="93"/>
    </row>
    <row r="32" spans="1:14" x14ac:dyDescent="0.3">
      <c r="A32" s="88" t="s">
        <v>675</v>
      </c>
      <c r="B32" s="89"/>
      <c r="C32" s="89" t="s">
        <v>692</v>
      </c>
      <c r="D32" s="89"/>
      <c r="E32" s="89"/>
      <c r="F32" s="91"/>
      <c r="G32" s="91"/>
      <c r="H32" s="91"/>
      <c r="I32" s="92">
        <v>1000</v>
      </c>
      <c r="J32" s="92" t="s">
        <v>682</v>
      </c>
      <c r="K32" s="92"/>
      <c r="L32" s="92" t="s">
        <v>679</v>
      </c>
      <c r="M32" s="93"/>
      <c r="N32" s="93"/>
    </row>
    <row r="33" spans="1:14" x14ac:dyDescent="0.3">
      <c r="A33" s="88" t="s">
        <v>681</v>
      </c>
      <c r="B33" s="89"/>
      <c r="C33" s="89" t="s">
        <v>692</v>
      </c>
      <c r="D33" s="89"/>
      <c r="E33" s="89"/>
      <c r="F33" s="91"/>
      <c r="G33" s="91"/>
      <c r="H33" s="91"/>
      <c r="I33" s="92">
        <v>1000</v>
      </c>
      <c r="J33" s="92" t="s">
        <v>682</v>
      </c>
      <c r="K33" s="92"/>
      <c r="L33" s="92" t="s">
        <v>679</v>
      </c>
      <c r="M33" s="93"/>
      <c r="N33" s="93"/>
    </row>
    <row r="35" spans="1:14" x14ac:dyDescent="0.3">
      <c r="A35" s="94" t="s">
        <v>693</v>
      </c>
    </row>
  </sheetData>
  <mergeCells count="5">
    <mergeCell ref="A9:N9"/>
    <mergeCell ref="A16:N16"/>
    <mergeCell ref="A23:N23"/>
    <mergeCell ref="A26:N26"/>
    <mergeCell ref="A29:N29"/>
  </mergeCells>
  <dataValidations count="12">
    <dataValidation type="list" allowBlank="1" showInputMessage="1" showErrorMessage="1" sqref="L10:L15 L17:L22 L24:L25 L27:L28 L30:L33">
      <formula1>Резервное_копирование</formula1>
      <formula2>0</formula2>
    </dataValidation>
    <dataValidation type="list" allowBlank="1" showInputMessage="1" showErrorMessage="1" sqref="K10:K15 K17:K22 K24:K25 K27:K28 K30:K33">
      <formula1>Мониторинг</formula1>
      <formula2>0</formula2>
    </dataValidation>
    <dataValidation type="list" allowBlank="1" errorTitle="Внимание!" error="Укажите тип сервера" sqref="F10:F15 F17:F22 F24:F25 F27:F28 F30:F33">
      <formula1>INDIRECT(B17)</formula1>
      <formula2>0</formula2>
    </dataValidation>
    <dataValidation type="list" allowBlank="1" showInputMessage="1" showErrorMessage="1" sqref="J11 J13 J15 J18 J20 J22 J24:J25 J27:J28">
      <formula1>Тип_дисков</formula1>
      <formula2>0</formula2>
    </dataValidation>
    <dataValidation type="list" allowBlank="1" errorTitle="Внимание!" error="Укажите тип сервера" sqref="G24:G25 G27:G28 G30:G33">
      <formula1>Кол_во_ядер_на_1_CPU</formula1>
      <formula2>0</formula2>
    </dataValidation>
    <dataValidation type="list" allowBlank="1" showInputMessage="1" showErrorMessage="1" sqref="E17:E22 E27:E28 D30:D33">
      <formula1>Операционная_система</formula1>
      <formula2>0</formula2>
    </dataValidation>
    <dataValidation type="list" allowBlank="1" showInputMessage="1" showErrorMessage="1" sqref="A10:A15 A17:A22 A24:A25 A27:A28 A30:A33">
      <formula1>Площадка</formula1>
      <formula2>0</formula2>
    </dataValidation>
    <dataValidation type="list" showErrorMessage="1" sqref="C10:C15 C17:C22 C24:C25 C27:C28 C30:C33">
      <formula1>Назначение</formula1>
      <formula2>0</formula2>
    </dataValidation>
    <dataValidation type="list" showErrorMessage="1" sqref="B10:B15 B17:B22 B24:B25 B27:B28 B30:B33">
      <formula1>Тип_сервера</formula1>
      <formula2>0</formula2>
    </dataValidation>
    <dataValidation type="list" allowBlank="1" showInputMessage="1" showErrorMessage="1" sqref="E10:E15 E24:E25 E30:E33">
      <formula1>СУБД</formula1>
      <formula2>0</formula2>
    </dataValidation>
    <dataValidation type="list" allowBlank="1" showInputMessage="1" showErrorMessage="1" sqref="J10 J12 J14 J17 J19 J21 J30:J33">
      <formula1>#REF!</formula1>
      <formula2>0</formula2>
    </dataValidation>
    <dataValidation type="list" allowBlank="1" errorTitle="Внимание!" error="Укажите тип сервера" sqref="G10:G15 G17:G22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H77"/>
  <sheetViews>
    <sheetView topLeftCell="A43" zoomScaleNormal="100" workbookViewId="0">
      <selection activeCell="G17" sqref="G17"/>
    </sheetView>
  </sheetViews>
  <sheetFormatPr defaultColWidth="9.109375" defaultRowHeight="12.8" customHeight="1" x14ac:dyDescent="0.2"/>
  <cols>
    <col min="1" max="1" width="5.77734375" style="95" customWidth="1"/>
    <col min="2" max="2" width="121.44140625" style="95" customWidth="1"/>
    <col min="3" max="3" width="16.44140625" style="95" customWidth="1"/>
    <col min="4" max="5" width="16.6640625" style="95" customWidth="1"/>
    <col min="6" max="6" width="15.6640625" style="95" customWidth="1"/>
    <col min="7" max="7" width="13.77734375" style="95" customWidth="1"/>
    <col min="8" max="8" width="9.109375" style="95"/>
    <col min="9" max="9" width="17.77734375" style="95" customWidth="1"/>
    <col min="10" max="16384" width="9.109375" style="95"/>
  </cols>
  <sheetData>
    <row r="1" spans="2:8" ht="15.05" x14ac:dyDescent="0.25">
      <c r="F1" s="2" t="s">
        <v>694</v>
      </c>
    </row>
    <row r="2" spans="2:8" ht="15.05" x14ac:dyDescent="0.25">
      <c r="F2" s="2" t="s">
        <v>1</v>
      </c>
    </row>
    <row r="3" spans="2:8" ht="17.7" x14ac:dyDescent="0.3">
      <c r="B3" s="96" t="s">
        <v>695</v>
      </c>
      <c r="C3" s="97"/>
      <c r="D3" s="97"/>
      <c r="E3" s="97"/>
      <c r="F3" s="97"/>
      <c r="G3" s="97"/>
      <c r="H3" s="97"/>
    </row>
    <row r="5" spans="2:8" ht="12.45" x14ac:dyDescent="0.2">
      <c r="B5" s="98"/>
    </row>
    <row r="6" spans="2:8" ht="12.45" x14ac:dyDescent="0.2">
      <c r="B6" s="99" t="s">
        <v>696</v>
      </c>
    </row>
    <row r="7" spans="2:8" ht="12.45" x14ac:dyDescent="0.2">
      <c r="B7" s="99" t="s">
        <v>697</v>
      </c>
      <c r="C7" s="100"/>
      <c r="D7" s="100"/>
    </row>
    <row r="8" spans="2:8" ht="12.45" x14ac:dyDescent="0.2">
      <c r="B8" s="99" t="s">
        <v>698</v>
      </c>
      <c r="C8" s="100"/>
      <c r="D8" s="100"/>
    </row>
    <row r="9" spans="2:8" ht="12.45" x14ac:dyDescent="0.2">
      <c r="B9" s="99" t="s">
        <v>699</v>
      </c>
      <c r="D9" s="100"/>
      <c r="E9" s="100"/>
    </row>
    <row r="10" spans="2:8" ht="12.45" x14ac:dyDescent="0.2">
      <c r="B10" s="99" t="s">
        <v>700</v>
      </c>
      <c r="C10" s="100"/>
      <c r="D10" s="100"/>
    </row>
    <row r="11" spans="2:8" ht="12.45" x14ac:dyDescent="0.2">
      <c r="B11" s="99" t="s">
        <v>701</v>
      </c>
      <c r="C11" s="100"/>
      <c r="D11" s="100"/>
    </row>
    <row r="12" spans="2:8" ht="12.45" x14ac:dyDescent="0.2">
      <c r="B12" s="99" t="s">
        <v>702</v>
      </c>
      <c r="C12" s="100"/>
      <c r="D12" s="100"/>
    </row>
    <row r="13" spans="2:8" ht="12.45" x14ac:dyDescent="0.2">
      <c r="B13" s="100"/>
    </row>
    <row r="14" spans="2:8" ht="13.1" x14ac:dyDescent="0.2">
      <c r="B14" s="101" t="s">
        <v>703</v>
      </c>
    </row>
    <row r="15" spans="2:8" ht="24.9" x14ac:dyDescent="0.2">
      <c r="B15" s="100" t="s">
        <v>704</v>
      </c>
    </row>
    <row r="16" spans="2:8" ht="12.45" x14ac:dyDescent="0.2">
      <c r="B16" s="100"/>
    </row>
    <row r="17" spans="1:5" ht="12.45" x14ac:dyDescent="0.2">
      <c r="B17" s="98"/>
    </row>
    <row r="19" spans="1:5" ht="14.4" x14ac:dyDescent="0.2">
      <c r="B19" s="102" t="s">
        <v>705</v>
      </c>
    </row>
    <row r="20" spans="1:5" ht="26.2" x14ac:dyDescent="0.2">
      <c r="B20" s="103" t="s">
        <v>706</v>
      </c>
      <c r="C20" s="103" t="s">
        <v>707</v>
      </c>
      <c r="D20" s="104" t="s">
        <v>708</v>
      </c>
    </row>
    <row r="21" spans="1:5" ht="49.75" x14ac:dyDescent="0.2">
      <c r="B21" s="105" t="s">
        <v>709</v>
      </c>
      <c r="C21" s="106" t="s">
        <v>710</v>
      </c>
      <c r="D21" s="107"/>
    </row>
    <row r="22" spans="1:5" ht="12.45" x14ac:dyDescent="0.2">
      <c r="B22" s="108"/>
      <c r="C22" s="109"/>
      <c r="D22" s="110"/>
    </row>
    <row r="23" spans="1:5" ht="12.8" customHeight="1" x14ac:dyDescent="0.2">
      <c r="B23" s="108"/>
      <c r="C23" s="109"/>
    </row>
    <row r="24" spans="1:5" s="113" customFormat="1" ht="15.05" x14ac:dyDescent="0.25">
      <c r="A24" s="111"/>
      <c r="B24" s="102" t="s">
        <v>711</v>
      </c>
      <c r="C24" s="112"/>
      <c r="D24" s="112"/>
    </row>
    <row r="25" spans="1:5" s="113" customFormat="1" ht="15.05" x14ac:dyDescent="0.25">
      <c r="A25" s="111"/>
      <c r="B25" s="114" t="s">
        <v>712</v>
      </c>
      <c r="C25" s="112"/>
      <c r="D25" s="112"/>
    </row>
    <row r="26" spans="1:5" s="113" customFormat="1" ht="52.4" x14ac:dyDescent="0.25">
      <c r="A26" s="111"/>
      <c r="B26" s="115" t="s">
        <v>713</v>
      </c>
      <c r="C26" s="104" t="s">
        <v>707</v>
      </c>
      <c r="D26" s="104" t="s">
        <v>714</v>
      </c>
      <c r="E26" s="104" t="s">
        <v>708</v>
      </c>
    </row>
    <row r="27" spans="1:5" s="113" customFormat="1" ht="37.35" x14ac:dyDescent="0.25">
      <c r="A27" s="111"/>
      <c r="B27" s="105" t="s">
        <v>715</v>
      </c>
      <c r="C27" s="114" t="s">
        <v>710</v>
      </c>
      <c r="D27" s="210">
        <v>30</v>
      </c>
      <c r="E27" s="211"/>
    </row>
    <row r="28" spans="1:5" s="113" customFormat="1" ht="15.05" x14ac:dyDescent="0.25">
      <c r="A28" s="111"/>
      <c r="B28" s="105" t="s">
        <v>716</v>
      </c>
      <c r="C28" s="114" t="s">
        <v>717</v>
      </c>
      <c r="D28" s="210"/>
      <c r="E28" s="211"/>
    </row>
    <row r="29" spans="1:5" s="113" customFormat="1" ht="15.05" x14ac:dyDescent="0.25">
      <c r="A29" s="111"/>
      <c r="B29" s="105" t="s">
        <v>718</v>
      </c>
      <c r="C29" s="114" t="s">
        <v>717</v>
      </c>
      <c r="D29" s="210"/>
      <c r="E29" s="211"/>
    </row>
    <row r="30" spans="1:5" s="113" customFormat="1" ht="15.05" x14ac:dyDescent="0.25">
      <c r="A30" s="111"/>
      <c r="B30" s="105" t="s">
        <v>719</v>
      </c>
      <c r="C30" s="114" t="s">
        <v>710</v>
      </c>
      <c r="D30" s="210"/>
      <c r="E30" s="211"/>
    </row>
    <row r="31" spans="1:5" s="113" customFormat="1" ht="15.05" x14ac:dyDescent="0.25">
      <c r="A31" s="111"/>
      <c r="B31" s="105" t="s">
        <v>720</v>
      </c>
      <c r="C31" s="114" t="s">
        <v>717</v>
      </c>
      <c r="D31" s="210"/>
      <c r="E31" s="211"/>
    </row>
    <row r="32" spans="1:5" s="113" customFormat="1" ht="15.05" x14ac:dyDescent="0.25">
      <c r="A32" s="111"/>
      <c r="B32" s="105" t="s">
        <v>721</v>
      </c>
      <c r="C32" s="114" t="s">
        <v>710</v>
      </c>
      <c r="D32" s="210"/>
      <c r="E32" s="211"/>
    </row>
    <row r="33" spans="1:5" s="113" customFormat="1" ht="15.05" x14ac:dyDescent="0.25">
      <c r="A33" s="111"/>
      <c r="B33" s="108"/>
      <c r="C33" s="116"/>
      <c r="D33" s="116"/>
      <c r="E33" s="117"/>
    </row>
    <row r="34" spans="1:5" ht="12.45" x14ac:dyDescent="0.2">
      <c r="B34" s="108"/>
      <c r="C34" s="109"/>
    </row>
    <row r="35" spans="1:5" ht="14.4" x14ac:dyDescent="0.2">
      <c r="B35" s="102" t="s">
        <v>722</v>
      </c>
      <c r="C35" s="118"/>
      <c r="D35" s="119"/>
      <c r="E35" s="119"/>
    </row>
    <row r="36" spans="1:5" ht="26.2" x14ac:dyDescent="0.2">
      <c r="B36" s="103" t="s">
        <v>713</v>
      </c>
      <c r="C36" s="103" t="s">
        <v>707</v>
      </c>
      <c r="D36" s="104" t="s">
        <v>723</v>
      </c>
      <c r="E36" s="104" t="s">
        <v>708</v>
      </c>
    </row>
    <row r="37" spans="1:5" ht="12.45" x14ac:dyDescent="0.2">
      <c r="B37" s="105" t="s">
        <v>724</v>
      </c>
      <c r="C37" s="106" t="s">
        <v>710</v>
      </c>
      <c r="D37" s="106"/>
      <c r="E37" s="212"/>
    </row>
    <row r="38" spans="1:5" ht="12.45" x14ac:dyDescent="0.2">
      <c r="B38" s="105" t="s">
        <v>725</v>
      </c>
      <c r="C38" s="106" t="s">
        <v>717</v>
      </c>
      <c r="D38" s="106"/>
      <c r="E38" s="212"/>
    </row>
    <row r="39" spans="1:5" ht="62.2" x14ac:dyDescent="0.2">
      <c r="B39" s="105" t="s">
        <v>726</v>
      </c>
      <c r="C39" s="106" t="s">
        <v>710</v>
      </c>
      <c r="D39" s="103" t="s">
        <v>727</v>
      </c>
      <c r="E39" s="212"/>
    </row>
    <row r="40" spans="1:5" ht="12.45" x14ac:dyDescent="0.2">
      <c r="B40" s="105" t="s">
        <v>728</v>
      </c>
      <c r="C40" s="106" t="s">
        <v>717</v>
      </c>
      <c r="D40" s="106"/>
      <c r="E40" s="212"/>
    </row>
    <row r="41" spans="1:5" ht="26.2" x14ac:dyDescent="0.2">
      <c r="B41" s="105" t="s">
        <v>729</v>
      </c>
      <c r="C41" s="106" t="s">
        <v>710</v>
      </c>
      <c r="D41" s="103" t="s">
        <v>727</v>
      </c>
      <c r="E41" s="212"/>
    </row>
    <row r="42" spans="1:5" ht="12.45" x14ac:dyDescent="0.2">
      <c r="B42" s="105" t="s">
        <v>730</v>
      </c>
      <c r="C42" s="106" t="s">
        <v>717</v>
      </c>
      <c r="D42" s="106"/>
      <c r="E42" s="212"/>
    </row>
    <row r="43" spans="1:5" ht="12.45" x14ac:dyDescent="0.2">
      <c r="B43" s="108"/>
      <c r="C43" s="109"/>
      <c r="D43" s="109"/>
      <c r="E43" s="119"/>
    </row>
    <row r="44" spans="1:5" ht="12.45" x14ac:dyDescent="0.2">
      <c r="B44" s="120"/>
      <c r="C44" s="109"/>
    </row>
    <row r="45" spans="1:5" ht="28.8" x14ac:dyDescent="0.2">
      <c r="B45" s="102" t="s">
        <v>731</v>
      </c>
    </row>
    <row r="46" spans="1:5" ht="24.9" x14ac:dyDescent="0.2">
      <c r="B46" s="121" t="s">
        <v>732</v>
      </c>
    </row>
    <row r="47" spans="1:5" ht="26.2" x14ac:dyDescent="0.2">
      <c r="B47" s="103" t="s">
        <v>733</v>
      </c>
      <c r="C47" s="103" t="s">
        <v>707</v>
      </c>
      <c r="D47" s="104" t="s">
        <v>723</v>
      </c>
      <c r="E47" s="104" t="s">
        <v>708</v>
      </c>
    </row>
    <row r="48" spans="1:5" ht="12.45" x14ac:dyDescent="0.2">
      <c r="B48" s="105" t="s">
        <v>734</v>
      </c>
      <c r="C48" s="106" t="s">
        <v>717</v>
      </c>
      <c r="D48" s="122"/>
      <c r="E48" s="209"/>
    </row>
    <row r="49" spans="2:5" ht="12.45" x14ac:dyDescent="0.2">
      <c r="B49" s="105" t="s">
        <v>735</v>
      </c>
      <c r="C49" s="106" t="s">
        <v>736</v>
      </c>
      <c r="D49" s="122"/>
      <c r="E49" s="209"/>
    </row>
    <row r="50" spans="2:5" ht="12.45" x14ac:dyDescent="0.2">
      <c r="B50" s="105" t="s">
        <v>737</v>
      </c>
      <c r="C50" s="106" t="s">
        <v>717</v>
      </c>
      <c r="D50" s="106"/>
      <c r="E50" s="209"/>
    </row>
    <row r="51" spans="2:5" ht="12.45" x14ac:dyDescent="0.2">
      <c r="B51" s="105" t="s">
        <v>738</v>
      </c>
      <c r="C51" s="106" t="s">
        <v>736</v>
      </c>
      <c r="D51" s="106"/>
      <c r="E51" s="209"/>
    </row>
    <row r="52" spans="2:5" ht="12.45" x14ac:dyDescent="0.2">
      <c r="B52" s="105" t="s">
        <v>739</v>
      </c>
      <c r="C52" s="106" t="s">
        <v>717</v>
      </c>
      <c r="D52" s="106"/>
      <c r="E52" s="209"/>
    </row>
    <row r="53" spans="2:5" ht="12.45" x14ac:dyDescent="0.2">
      <c r="B53" s="105" t="s">
        <v>740</v>
      </c>
      <c r="C53" s="106" t="s">
        <v>736</v>
      </c>
      <c r="D53" s="106"/>
      <c r="E53" s="209"/>
    </row>
    <row r="54" spans="2:5" ht="12.45" x14ac:dyDescent="0.2">
      <c r="B54" s="105" t="s">
        <v>741</v>
      </c>
      <c r="C54" s="106" t="s">
        <v>710</v>
      </c>
      <c r="D54" s="106"/>
      <c r="E54" s="209"/>
    </row>
    <row r="55" spans="2:5" ht="12.8" customHeight="1" x14ac:dyDescent="0.2">
      <c r="B55" s="105" t="s">
        <v>742</v>
      </c>
      <c r="C55" s="106" t="s">
        <v>736</v>
      </c>
      <c r="D55" s="106"/>
      <c r="E55" s="209"/>
    </row>
    <row r="56" spans="2:5" ht="12.8" customHeight="1" x14ac:dyDescent="0.2">
      <c r="B56" s="105" t="s">
        <v>743</v>
      </c>
      <c r="C56" s="106" t="s">
        <v>710</v>
      </c>
      <c r="D56" s="213" t="s">
        <v>744</v>
      </c>
      <c r="E56" s="209"/>
    </row>
    <row r="57" spans="2:5" ht="12.45" x14ac:dyDescent="0.2">
      <c r="B57" s="105" t="s">
        <v>745</v>
      </c>
      <c r="C57" s="106" t="s">
        <v>710</v>
      </c>
      <c r="D57" s="213"/>
      <c r="E57" s="209"/>
    </row>
    <row r="58" spans="2:5" ht="12.45" x14ac:dyDescent="0.2">
      <c r="B58" s="105" t="s">
        <v>746</v>
      </c>
      <c r="C58" s="106" t="s">
        <v>710</v>
      </c>
      <c r="D58" s="213"/>
      <c r="E58" s="209"/>
    </row>
    <row r="59" spans="2:5" ht="16.55" customHeight="1" x14ac:dyDescent="0.2">
      <c r="B59" s="105" t="s">
        <v>747</v>
      </c>
      <c r="C59" s="106" t="s">
        <v>710</v>
      </c>
      <c r="D59" s="213"/>
      <c r="E59" s="209"/>
    </row>
    <row r="60" spans="2:5" ht="12.45" x14ac:dyDescent="0.2">
      <c r="B60" s="105" t="s">
        <v>748</v>
      </c>
      <c r="C60" s="106" t="s">
        <v>717</v>
      </c>
      <c r="D60" s="213"/>
      <c r="E60" s="209"/>
    </row>
    <row r="61" spans="2:5" ht="24.9" x14ac:dyDescent="0.2">
      <c r="B61" s="105" t="s">
        <v>749</v>
      </c>
      <c r="C61" s="106" t="s">
        <v>736</v>
      </c>
      <c r="D61" s="213"/>
      <c r="E61" s="209"/>
    </row>
    <row r="62" spans="2:5" ht="12.45" x14ac:dyDescent="0.2">
      <c r="B62" s="105" t="s">
        <v>750</v>
      </c>
      <c r="C62" s="106" t="s">
        <v>736</v>
      </c>
      <c r="D62" s="213"/>
      <c r="E62" s="209"/>
    </row>
    <row r="63" spans="2:5" ht="74.650000000000006" x14ac:dyDescent="0.2">
      <c r="B63" s="105" t="s">
        <v>751</v>
      </c>
      <c r="C63" s="106" t="s">
        <v>736</v>
      </c>
      <c r="D63" s="213"/>
      <c r="E63" s="209"/>
    </row>
    <row r="64" spans="2:5" ht="12.45" x14ac:dyDescent="0.2">
      <c r="B64" s="105" t="s">
        <v>752</v>
      </c>
      <c r="C64" s="106" t="s">
        <v>710</v>
      </c>
      <c r="D64" s="106"/>
      <c r="E64" s="209"/>
    </row>
    <row r="65" spans="2:6" ht="12.45" x14ac:dyDescent="0.2">
      <c r="B65" s="108"/>
      <c r="C65" s="109"/>
      <c r="D65" s="109"/>
      <c r="E65" s="109"/>
      <c r="F65" s="123"/>
    </row>
    <row r="66" spans="2:6" ht="12.45" x14ac:dyDescent="0.2">
      <c r="C66" s="119"/>
    </row>
    <row r="67" spans="2:6" ht="12.45" x14ac:dyDescent="0.2">
      <c r="B67" s="124"/>
      <c r="C67" s="119"/>
      <c r="D67" s="119"/>
      <c r="E67" s="119"/>
    </row>
    <row r="68" spans="2:6" ht="14.4" x14ac:dyDescent="0.2">
      <c r="B68" s="102" t="s">
        <v>753</v>
      </c>
      <c r="C68" s="125"/>
      <c r="D68" s="125"/>
      <c r="E68" s="125"/>
    </row>
    <row r="69" spans="2:6" ht="62.2" x14ac:dyDescent="0.2">
      <c r="B69" s="126" t="s">
        <v>754</v>
      </c>
      <c r="D69" s="119"/>
      <c r="E69" s="119"/>
    </row>
    <row r="70" spans="2:6" ht="26.2" x14ac:dyDescent="0.2">
      <c r="B70" s="103" t="s">
        <v>733</v>
      </c>
      <c r="C70" s="103" t="s">
        <v>707</v>
      </c>
      <c r="D70" s="104" t="s">
        <v>723</v>
      </c>
      <c r="E70" s="104" t="s">
        <v>708</v>
      </c>
    </row>
    <row r="71" spans="2:6" ht="49.75" x14ac:dyDescent="0.2">
      <c r="B71" s="127" t="s">
        <v>755</v>
      </c>
      <c r="C71" s="106" t="s">
        <v>736</v>
      </c>
      <c r="D71" s="122"/>
      <c r="E71" s="209"/>
    </row>
    <row r="72" spans="2:6" ht="12.45" x14ac:dyDescent="0.2">
      <c r="B72" s="127" t="s">
        <v>756</v>
      </c>
      <c r="C72" s="106" t="s">
        <v>710</v>
      </c>
      <c r="D72" s="122"/>
      <c r="E72" s="209"/>
    </row>
    <row r="73" spans="2:6" ht="12.45" x14ac:dyDescent="0.2">
      <c r="B73" s="127" t="s">
        <v>757</v>
      </c>
      <c r="C73" s="106" t="s">
        <v>717</v>
      </c>
      <c r="D73" s="106"/>
      <c r="E73" s="209"/>
    </row>
    <row r="74" spans="2:6" ht="12.45" x14ac:dyDescent="0.2">
      <c r="B74" s="127" t="s">
        <v>758</v>
      </c>
      <c r="C74" s="106" t="s">
        <v>736</v>
      </c>
      <c r="D74" s="106"/>
      <c r="E74" s="209"/>
    </row>
    <row r="75" spans="2:6" ht="12.45" x14ac:dyDescent="0.2">
      <c r="B75" s="127" t="s">
        <v>759</v>
      </c>
      <c r="C75" s="106" t="s">
        <v>710</v>
      </c>
      <c r="D75" s="106"/>
      <c r="E75" s="209"/>
    </row>
    <row r="76" spans="2:6" ht="12.45" x14ac:dyDescent="0.2">
      <c r="B76" s="127" t="s">
        <v>760</v>
      </c>
      <c r="C76" s="106" t="s">
        <v>710</v>
      </c>
      <c r="D76" s="106"/>
      <c r="E76" s="209"/>
    </row>
    <row r="77" spans="2:6" ht="12.45" x14ac:dyDescent="0.2">
      <c r="B77" s="127" t="s">
        <v>761</v>
      </c>
      <c r="C77" s="106" t="s">
        <v>710</v>
      </c>
      <c r="D77" s="106"/>
      <c r="E77" s="209"/>
    </row>
  </sheetData>
  <mergeCells count="6">
    <mergeCell ref="E71:E77"/>
    <mergeCell ref="D27:D32"/>
    <mergeCell ref="E27:E32"/>
    <mergeCell ref="E37:E42"/>
    <mergeCell ref="E48:E64"/>
    <mergeCell ref="D56:D63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F16"/>
  <sheetViews>
    <sheetView zoomScaleNormal="100" workbookViewId="0">
      <selection activeCell="C12" sqref="C12:C13"/>
    </sheetView>
  </sheetViews>
  <sheetFormatPr defaultColWidth="39" defaultRowHeight="15.05" customHeight="1" x14ac:dyDescent="0.3"/>
  <cols>
    <col min="1" max="1" width="3.109375" customWidth="1"/>
    <col min="2" max="2" width="76.44140625" customWidth="1"/>
    <col min="3" max="3" width="40.6640625" customWidth="1"/>
    <col min="5" max="5" width="61.44140625" customWidth="1"/>
  </cols>
  <sheetData>
    <row r="1" spans="1:6" s="128" customFormat="1" ht="15.75" x14ac:dyDescent="0.3">
      <c r="E1" s="2" t="s">
        <v>762</v>
      </c>
      <c r="F1" s="129"/>
    </row>
    <row r="2" spans="1:6" s="128" customFormat="1" ht="15.75" x14ac:dyDescent="0.3">
      <c r="E2" s="2" t="s">
        <v>1</v>
      </c>
      <c r="F2" s="129"/>
    </row>
    <row r="3" spans="1:6" s="128" customFormat="1" x14ac:dyDescent="0.3">
      <c r="F3" s="129"/>
    </row>
    <row r="4" spans="1:6" s="128" customFormat="1" ht="17.7" x14ac:dyDescent="0.3">
      <c r="B4" s="214" t="s">
        <v>763</v>
      </c>
      <c r="C4" s="214"/>
      <c r="D4" s="214"/>
      <c r="E4" s="214"/>
      <c r="F4" s="129"/>
    </row>
    <row r="8" spans="1:6" x14ac:dyDescent="0.3">
      <c r="A8" s="130" t="s">
        <v>55</v>
      </c>
      <c r="B8" s="130" t="s">
        <v>764</v>
      </c>
      <c r="C8" s="130" t="s">
        <v>765</v>
      </c>
      <c r="D8" s="130" t="s">
        <v>766</v>
      </c>
      <c r="E8" s="130" t="s">
        <v>767</v>
      </c>
    </row>
    <row r="9" spans="1:6" ht="23.75" customHeight="1" x14ac:dyDescent="0.3">
      <c r="A9" s="215">
        <v>1</v>
      </c>
      <c r="B9" s="216" t="s">
        <v>768</v>
      </c>
      <c r="C9" s="64" t="s">
        <v>769</v>
      </c>
      <c r="D9" s="64" t="s">
        <v>770</v>
      </c>
      <c r="E9" s="64" t="s">
        <v>771</v>
      </c>
    </row>
    <row r="10" spans="1:6" x14ac:dyDescent="0.3">
      <c r="A10" s="215"/>
      <c r="B10" s="216"/>
      <c r="C10" s="64" t="s">
        <v>772</v>
      </c>
      <c r="D10" s="64" t="s">
        <v>773</v>
      </c>
      <c r="E10" s="64" t="s">
        <v>771</v>
      </c>
    </row>
    <row r="11" spans="1:6" x14ac:dyDescent="0.3">
      <c r="A11" s="65">
        <v>2</v>
      </c>
      <c r="B11" s="76" t="s">
        <v>774</v>
      </c>
      <c r="C11" s="64" t="s">
        <v>775</v>
      </c>
      <c r="D11" s="64" t="s">
        <v>775</v>
      </c>
      <c r="E11" s="64" t="s">
        <v>775</v>
      </c>
    </row>
    <row r="12" spans="1:6" x14ac:dyDescent="0.3">
      <c r="A12" s="65">
        <v>3</v>
      </c>
      <c r="B12" s="76" t="s">
        <v>776</v>
      </c>
      <c r="C12" s="64" t="s">
        <v>777</v>
      </c>
      <c r="D12" s="64" t="s">
        <v>778</v>
      </c>
      <c r="E12" s="64" t="s">
        <v>779</v>
      </c>
    </row>
    <row r="13" spans="1:6" x14ac:dyDescent="0.3">
      <c r="A13" s="65">
        <v>4</v>
      </c>
      <c r="B13" s="76" t="s">
        <v>780</v>
      </c>
      <c r="C13" s="64" t="s">
        <v>781</v>
      </c>
      <c r="D13" s="131" t="s">
        <v>254</v>
      </c>
      <c r="E13" s="64" t="s">
        <v>782</v>
      </c>
    </row>
    <row r="14" spans="1:6" ht="30.15" x14ac:dyDescent="0.3">
      <c r="A14" s="65">
        <v>5</v>
      </c>
      <c r="B14" s="76" t="s">
        <v>783</v>
      </c>
      <c r="C14" s="64" t="s">
        <v>784</v>
      </c>
      <c r="D14" s="64" t="s">
        <v>47</v>
      </c>
      <c r="E14" s="64" t="s">
        <v>785</v>
      </c>
    </row>
    <row r="15" spans="1:6" ht="30.15" x14ac:dyDescent="0.3">
      <c r="A15" s="65">
        <v>6</v>
      </c>
      <c r="B15" s="76" t="s">
        <v>786</v>
      </c>
      <c r="C15" s="65" t="s">
        <v>787</v>
      </c>
      <c r="D15" s="65" t="s">
        <v>47</v>
      </c>
      <c r="E15" s="65" t="s">
        <v>788</v>
      </c>
    </row>
    <row r="16" spans="1:6" ht="30.15" x14ac:dyDescent="0.3">
      <c r="A16" s="65">
        <v>7</v>
      </c>
      <c r="B16" s="76" t="s">
        <v>789</v>
      </c>
      <c r="C16" s="64" t="s">
        <v>790</v>
      </c>
      <c r="D16" s="64" t="s">
        <v>790</v>
      </c>
      <c r="E16" s="64" t="s">
        <v>791</v>
      </c>
    </row>
  </sheetData>
  <mergeCells count="3">
    <mergeCell ref="B4:E4"/>
    <mergeCell ref="A9:A10"/>
    <mergeCell ref="B9:B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  <pageSetUpPr fitToPage="1"/>
  </sheetPr>
  <dimension ref="B1:G91"/>
  <sheetViews>
    <sheetView topLeftCell="B55" zoomScaleNormal="100" workbookViewId="0">
      <selection activeCell="E53" sqref="E53"/>
    </sheetView>
  </sheetViews>
  <sheetFormatPr defaultColWidth="8.77734375" defaultRowHeight="15.05" customHeight="1" x14ac:dyDescent="0.3"/>
  <cols>
    <col min="1" max="1" width="8.77734375" style="128"/>
    <col min="2" max="2" width="13.77734375" style="128" customWidth="1"/>
    <col min="3" max="3" width="116.77734375" style="128" customWidth="1"/>
    <col min="4" max="4" width="24.44140625" style="128" customWidth="1"/>
    <col min="5" max="5" width="27.6640625" style="128" customWidth="1"/>
    <col min="6" max="6" width="28.33203125" style="129" customWidth="1"/>
    <col min="7" max="7" width="17.77734375" style="128" customWidth="1"/>
    <col min="8" max="8" width="6.109375" style="128" customWidth="1"/>
    <col min="9" max="10" width="8.77734375" style="128"/>
    <col min="11" max="11" width="14.109375" style="128" customWidth="1"/>
    <col min="12" max="16384" width="8.77734375" style="128"/>
  </cols>
  <sheetData>
    <row r="1" spans="2:6" ht="15.75" x14ac:dyDescent="0.3">
      <c r="E1" s="2" t="s">
        <v>792</v>
      </c>
    </row>
    <row r="2" spans="2:6" ht="15.75" x14ac:dyDescent="0.3">
      <c r="E2" s="2" t="s">
        <v>1</v>
      </c>
    </row>
    <row r="4" spans="2:6" ht="17.7" x14ac:dyDescent="0.3">
      <c r="C4" s="214" t="s">
        <v>793</v>
      </c>
      <c r="D4" s="214"/>
      <c r="E4" s="214"/>
    </row>
    <row r="5" spans="2:6" ht="17.7" x14ac:dyDescent="0.3">
      <c r="C5" s="132"/>
      <c r="D5" s="133"/>
      <c r="E5" s="133"/>
    </row>
    <row r="6" spans="2:6" ht="17.7" x14ac:dyDescent="0.3">
      <c r="C6" s="84"/>
      <c r="D6" s="84"/>
      <c r="E6" s="84"/>
    </row>
    <row r="7" spans="2:6" ht="45.2" x14ac:dyDescent="0.3">
      <c r="B7" s="134" t="s">
        <v>55</v>
      </c>
      <c r="C7" s="130" t="s">
        <v>794</v>
      </c>
      <c r="D7" s="135" t="s">
        <v>795</v>
      </c>
      <c r="E7" s="135" t="s">
        <v>88</v>
      </c>
      <c r="F7" s="136"/>
    </row>
    <row r="8" spans="2:6" ht="30.15" x14ac:dyDescent="0.3">
      <c r="B8" s="137">
        <v>1</v>
      </c>
      <c r="C8" s="138" t="s">
        <v>796</v>
      </c>
      <c r="D8" s="139"/>
      <c r="E8" s="140"/>
      <c r="F8" s="141"/>
    </row>
    <row r="9" spans="2:6" ht="30.15" x14ac:dyDescent="0.3">
      <c r="B9" s="137">
        <v>2</v>
      </c>
      <c r="C9" s="138" t="s">
        <v>797</v>
      </c>
      <c r="D9" s="139"/>
      <c r="E9" s="140"/>
      <c r="F9" s="141"/>
    </row>
    <row r="10" spans="2:6" ht="30.15" x14ac:dyDescent="0.3">
      <c r="B10" s="137">
        <v>3</v>
      </c>
      <c r="C10" s="138" t="s">
        <v>798</v>
      </c>
      <c r="D10" s="139"/>
      <c r="E10" s="140"/>
      <c r="F10" s="141"/>
    </row>
    <row r="11" spans="2:6" ht="30.15" x14ac:dyDescent="0.3">
      <c r="B11" s="137">
        <v>4</v>
      </c>
      <c r="C11" s="142" t="s">
        <v>799</v>
      </c>
      <c r="D11" s="139"/>
      <c r="E11" s="140"/>
      <c r="F11" s="143"/>
    </row>
    <row r="12" spans="2:6" x14ac:dyDescent="0.3">
      <c r="B12" s="217">
        <v>5</v>
      </c>
      <c r="C12" s="138" t="s">
        <v>800</v>
      </c>
      <c r="D12" s="145"/>
      <c r="E12" s="145"/>
      <c r="F12" s="146"/>
    </row>
    <row r="13" spans="2:6" ht="30.15" x14ac:dyDescent="0.3">
      <c r="B13" s="217"/>
      <c r="C13" s="138" t="s">
        <v>801</v>
      </c>
      <c r="D13" s="145"/>
      <c r="E13" s="145"/>
      <c r="F13" s="146"/>
    </row>
    <row r="14" spans="2:6" x14ac:dyDescent="0.3">
      <c r="B14" s="217"/>
      <c r="C14" s="138" t="s">
        <v>802</v>
      </c>
      <c r="D14" s="145"/>
      <c r="E14" s="145"/>
      <c r="F14" s="146"/>
    </row>
    <row r="15" spans="2:6" x14ac:dyDescent="0.3">
      <c r="B15" s="217"/>
      <c r="C15" s="138" t="s">
        <v>803</v>
      </c>
      <c r="D15" s="145"/>
      <c r="E15" s="145"/>
      <c r="F15" s="146"/>
    </row>
    <row r="16" spans="2:6" ht="30.15" x14ac:dyDescent="0.3">
      <c r="B16" s="217"/>
      <c r="C16" s="138" t="s">
        <v>804</v>
      </c>
      <c r="D16" s="145"/>
      <c r="E16" s="145"/>
      <c r="F16" s="146"/>
    </row>
    <row r="17" spans="2:6" x14ac:dyDescent="0.3">
      <c r="B17" s="217"/>
      <c r="C17" s="138" t="s">
        <v>805</v>
      </c>
      <c r="D17" s="145"/>
      <c r="E17" s="145"/>
      <c r="F17" s="146"/>
    </row>
    <row r="18" spans="2:6" x14ac:dyDescent="0.3">
      <c r="B18" s="217"/>
      <c r="C18" s="138" t="s">
        <v>806</v>
      </c>
      <c r="D18" s="145"/>
      <c r="E18" s="145"/>
      <c r="F18" s="146"/>
    </row>
    <row r="19" spans="2:6" ht="120.45" x14ac:dyDescent="0.3">
      <c r="B19" s="217"/>
      <c r="C19" s="147" t="s">
        <v>807</v>
      </c>
      <c r="D19" s="145"/>
      <c r="E19" s="145"/>
      <c r="F19" s="146"/>
    </row>
    <row r="20" spans="2:6" x14ac:dyDescent="0.3">
      <c r="B20" s="217"/>
      <c r="C20" s="138" t="s">
        <v>808</v>
      </c>
      <c r="D20" s="145"/>
      <c r="E20" s="145"/>
      <c r="F20" s="146"/>
    </row>
    <row r="21" spans="2:6" x14ac:dyDescent="0.3">
      <c r="B21" s="217"/>
      <c r="C21" s="138" t="s">
        <v>809</v>
      </c>
      <c r="D21" s="145"/>
      <c r="E21" s="145"/>
      <c r="F21" s="146"/>
    </row>
    <row r="22" spans="2:6" x14ac:dyDescent="0.3">
      <c r="B22" s="217"/>
      <c r="C22" s="138" t="s">
        <v>810</v>
      </c>
      <c r="D22" s="145"/>
      <c r="E22" s="145"/>
      <c r="F22" s="146"/>
    </row>
    <row r="23" spans="2:6" x14ac:dyDescent="0.3">
      <c r="B23" s="217"/>
      <c r="C23" s="138" t="s">
        <v>811</v>
      </c>
      <c r="D23" s="145"/>
      <c r="E23" s="145"/>
      <c r="F23" s="146"/>
    </row>
    <row r="24" spans="2:6" x14ac:dyDescent="0.3">
      <c r="B24" s="217"/>
      <c r="C24" s="138" t="s">
        <v>812</v>
      </c>
      <c r="D24" s="145"/>
      <c r="E24" s="145"/>
      <c r="F24" s="146"/>
    </row>
    <row r="25" spans="2:6" x14ac:dyDescent="0.3">
      <c r="B25" s="217"/>
      <c r="C25" s="138" t="s">
        <v>813</v>
      </c>
      <c r="D25" s="145"/>
      <c r="E25" s="145"/>
      <c r="F25" s="146"/>
    </row>
    <row r="26" spans="2:6" x14ac:dyDescent="0.3">
      <c r="B26" s="217"/>
      <c r="C26" s="138" t="s">
        <v>814</v>
      </c>
      <c r="D26" s="145"/>
      <c r="E26" s="145"/>
      <c r="F26" s="146"/>
    </row>
    <row r="27" spans="2:6" x14ac:dyDescent="0.3">
      <c r="B27" s="144">
        <v>6</v>
      </c>
      <c r="C27" s="138" t="s">
        <v>815</v>
      </c>
      <c r="D27" s="145"/>
      <c r="E27" s="145"/>
      <c r="F27" s="146"/>
    </row>
    <row r="28" spans="2:6" ht="30.15" x14ac:dyDescent="0.3">
      <c r="B28" s="144">
        <v>7</v>
      </c>
      <c r="C28" s="148" t="s">
        <v>816</v>
      </c>
      <c r="D28" s="145"/>
      <c r="E28" s="145"/>
      <c r="F28" s="146"/>
    </row>
    <row r="29" spans="2:6" x14ac:dyDescent="0.3">
      <c r="B29" s="217">
        <v>8</v>
      </c>
      <c r="C29" s="138" t="s">
        <v>817</v>
      </c>
      <c r="D29" s="145"/>
      <c r="E29" s="145"/>
      <c r="F29" s="146"/>
    </row>
    <row r="30" spans="2:6" x14ac:dyDescent="0.3">
      <c r="B30" s="217"/>
      <c r="C30" s="138" t="s">
        <v>818</v>
      </c>
      <c r="D30" s="145"/>
      <c r="E30" s="145"/>
      <c r="F30" s="146"/>
    </row>
    <row r="31" spans="2:6" x14ac:dyDescent="0.3">
      <c r="B31" s="217"/>
      <c r="C31" s="138" t="s">
        <v>819</v>
      </c>
      <c r="D31" s="145"/>
      <c r="E31" s="145"/>
      <c r="F31" s="146"/>
    </row>
    <row r="32" spans="2:6" x14ac:dyDescent="0.3">
      <c r="B32" s="217"/>
      <c r="C32" s="138" t="s">
        <v>820</v>
      </c>
      <c r="D32" s="145"/>
      <c r="E32" s="145"/>
      <c r="F32" s="146"/>
    </row>
    <row r="33" spans="2:6" x14ac:dyDescent="0.3">
      <c r="B33" s="217"/>
      <c r="C33" s="138" t="s">
        <v>821</v>
      </c>
      <c r="D33" s="145"/>
      <c r="E33" s="145"/>
      <c r="F33" s="146"/>
    </row>
    <row r="34" spans="2:6" ht="30.15" x14ac:dyDescent="0.3">
      <c r="B34" s="144">
        <v>9</v>
      </c>
      <c r="C34" s="138" t="s">
        <v>822</v>
      </c>
      <c r="D34" s="145"/>
      <c r="E34" s="145"/>
      <c r="F34" s="146"/>
    </row>
    <row r="35" spans="2:6" ht="45.2" x14ac:dyDescent="0.3">
      <c r="B35" s="144">
        <v>10</v>
      </c>
      <c r="C35" s="138" t="s">
        <v>823</v>
      </c>
      <c r="D35" s="145"/>
      <c r="E35" s="145"/>
      <c r="F35" s="146"/>
    </row>
    <row r="36" spans="2:6" ht="30.15" x14ac:dyDescent="0.3">
      <c r="B36" s="144">
        <v>11</v>
      </c>
      <c r="C36" s="138" t="s">
        <v>824</v>
      </c>
      <c r="D36" s="145"/>
      <c r="E36" s="145"/>
      <c r="F36" s="146"/>
    </row>
    <row r="37" spans="2:6" ht="45.2" x14ac:dyDescent="0.3">
      <c r="B37" s="144">
        <v>12</v>
      </c>
      <c r="C37" s="138" t="s">
        <v>825</v>
      </c>
      <c r="D37" s="145"/>
      <c r="E37" s="145"/>
      <c r="F37" s="146"/>
    </row>
    <row r="38" spans="2:6" ht="45.2" x14ac:dyDescent="0.3">
      <c r="B38" s="144">
        <v>13</v>
      </c>
      <c r="C38" s="138" t="s">
        <v>826</v>
      </c>
      <c r="D38" s="145"/>
      <c r="E38" s="145"/>
      <c r="F38" s="146"/>
    </row>
    <row r="39" spans="2:6" ht="30.15" x14ac:dyDescent="0.3">
      <c r="B39" s="144">
        <v>14</v>
      </c>
      <c r="C39" s="138" t="s">
        <v>827</v>
      </c>
      <c r="D39" s="145"/>
      <c r="E39" s="145"/>
      <c r="F39" s="146"/>
    </row>
    <row r="40" spans="2:6" ht="30.15" x14ac:dyDescent="0.3">
      <c r="B40" s="144">
        <v>15</v>
      </c>
      <c r="C40" s="138" t="s">
        <v>828</v>
      </c>
      <c r="D40" s="145"/>
      <c r="E40" s="145"/>
      <c r="F40" s="146"/>
    </row>
    <row r="41" spans="2:6" x14ac:dyDescent="0.3">
      <c r="B41" s="217">
        <v>16</v>
      </c>
      <c r="C41" s="149" t="s">
        <v>829</v>
      </c>
      <c r="D41" s="145"/>
      <c r="E41" s="145"/>
      <c r="F41" s="146"/>
    </row>
    <row r="42" spans="2:6" x14ac:dyDescent="0.3">
      <c r="B42" s="217"/>
      <c r="C42" s="138" t="s">
        <v>830</v>
      </c>
      <c r="D42" s="145"/>
      <c r="E42" s="145"/>
      <c r="F42" s="146"/>
    </row>
    <row r="43" spans="2:6" x14ac:dyDescent="0.3">
      <c r="B43" s="217"/>
      <c r="C43" s="138" t="s">
        <v>831</v>
      </c>
      <c r="D43" s="145"/>
      <c r="E43" s="145"/>
      <c r="F43" s="146"/>
    </row>
    <row r="44" spans="2:6" x14ac:dyDescent="0.3">
      <c r="B44" s="217"/>
      <c r="C44" s="138" t="s">
        <v>832</v>
      </c>
      <c r="D44" s="145"/>
      <c r="E44" s="145"/>
      <c r="F44" s="146"/>
    </row>
    <row r="45" spans="2:6" ht="60.25" x14ac:dyDescent="0.3">
      <c r="B45" s="144">
        <v>17</v>
      </c>
      <c r="C45" s="150" t="s">
        <v>833</v>
      </c>
      <c r="D45" s="145"/>
      <c r="E45" s="145"/>
      <c r="F45" s="10"/>
    </row>
    <row r="46" spans="2:6" ht="45.2" x14ac:dyDescent="0.3">
      <c r="B46" s="137">
        <v>18</v>
      </c>
      <c r="C46" s="147" t="s">
        <v>834</v>
      </c>
      <c r="D46" s="151"/>
      <c r="E46" s="152"/>
      <c r="F46" s="143"/>
    </row>
    <row r="47" spans="2:6" ht="15.75" x14ac:dyDescent="0.3">
      <c r="B47" s="137">
        <v>19</v>
      </c>
      <c r="C47" s="147" t="s">
        <v>835</v>
      </c>
      <c r="D47" s="153"/>
      <c r="E47" s="154"/>
      <c r="F47" s="141"/>
    </row>
    <row r="48" spans="2:6" ht="15.75" x14ac:dyDescent="0.3">
      <c r="B48" s="137">
        <v>20</v>
      </c>
      <c r="C48" s="147" t="s">
        <v>836</v>
      </c>
      <c r="D48" s="137"/>
      <c r="E48" s="137"/>
      <c r="F48" s="141"/>
    </row>
    <row r="49" spans="2:7" ht="15.75" x14ac:dyDescent="0.3">
      <c r="B49" s="155"/>
      <c r="C49" s="156"/>
      <c r="D49" s="155"/>
      <c r="E49" s="155"/>
      <c r="F49" s="141"/>
    </row>
    <row r="50" spans="2:7" x14ac:dyDescent="0.3">
      <c r="B50" s="157" t="s">
        <v>837</v>
      </c>
      <c r="D50" s="158"/>
      <c r="E50" s="159"/>
      <c r="F50" s="128"/>
    </row>
    <row r="51" spans="2:7" ht="30.15" x14ac:dyDescent="0.3">
      <c r="B51" s="160" t="s">
        <v>838</v>
      </c>
      <c r="C51" s="161" t="s">
        <v>839</v>
      </c>
      <c r="D51" s="162"/>
      <c r="F51" s="163"/>
    </row>
    <row r="52" spans="2:7" ht="51.05" customHeight="1" x14ac:dyDescent="0.3">
      <c r="B52" s="164" t="s">
        <v>840</v>
      </c>
      <c r="C52" s="165" t="s">
        <v>841</v>
      </c>
      <c r="F52" s="128"/>
    </row>
    <row r="53" spans="2:7" ht="132.75" customHeight="1" x14ac:dyDescent="0.3">
      <c r="B53" s="164" t="s">
        <v>842</v>
      </c>
      <c r="C53" s="165" t="s">
        <v>843</v>
      </c>
      <c r="D53" s="158"/>
      <c r="F53" s="128"/>
    </row>
    <row r="54" spans="2:7" x14ac:dyDescent="0.3">
      <c r="B54" s="164" t="s">
        <v>844</v>
      </c>
      <c r="C54" s="165" t="s">
        <v>845</v>
      </c>
      <c r="D54" s="158"/>
      <c r="F54" s="128"/>
    </row>
    <row r="55" spans="2:7" x14ac:dyDescent="0.3">
      <c r="B55" s="164" t="s">
        <v>846</v>
      </c>
      <c r="C55" s="165" t="s">
        <v>847</v>
      </c>
      <c r="D55" s="158"/>
      <c r="F55" s="166"/>
    </row>
    <row r="56" spans="2:7" x14ac:dyDescent="0.3">
      <c r="B56" s="166"/>
      <c r="C56" s="163"/>
      <c r="D56" s="158"/>
      <c r="F56" s="166"/>
    </row>
    <row r="57" spans="2:7" x14ac:dyDescent="0.3">
      <c r="B57" s="157" t="s">
        <v>848</v>
      </c>
      <c r="D57" s="158"/>
      <c r="F57" s="166"/>
    </row>
    <row r="58" spans="2:7" ht="45.2" x14ac:dyDescent="0.3">
      <c r="B58" s="167" t="s">
        <v>55</v>
      </c>
      <c r="C58" s="168" t="s">
        <v>849</v>
      </c>
      <c r="D58" s="168" t="s">
        <v>850</v>
      </c>
      <c r="E58" s="168" t="s">
        <v>851</v>
      </c>
      <c r="F58" s="168" t="s">
        <v>852</v>
      </c>
      <c r="G58" s="168" t="s">
        <v>853</v>
      </c>
    </row>
    <row r="59" spans="2:7" x14ac:dyDescent="0.3">
      <c r="B59" s="169">
        <v>1</v>
      </c>
      <c r="C59" s="170" t="s">
        <v>854</v>
      </c>
      <c r="D59" s="171" t="s">
        <v>855</v>
      </c>
      <c r="E59" s="171" t="s">
        <v>856</v>
      </c>
      <c r="F59" s="171" t="s">
        <v>857</v>
      </c>
      <c r="G59" s="171" t="s">
        <v>858</v>
      </c>
    </row>
    <row r="60" spans="2:7" x14ac:dyDescent="0.3">
      <c r="B60" s="169">
        <v>2</v>
      </c>
      <c r="C60" s="170" t="s">
        <v>859</v>
      </c>
      <c r="D60" s="171" t="s">
        <v>860</v>
      </c>
      <c r="E60" s="171" t="s">
        <v>861</v>
      </c>
      <c r="F60" s="171" t="s">
        <v>862</v>
      </c>
      <c r="G60" s="171" t="s">
        <v>863</v>
      </c>
    </row>
    <row r="61" spans="2:7" x14ac:dyDescent="0.3">
      <c r="B61" s="169">
        <v>3</v>
      </c>
      <c r="C61" s="170" t="s">
        <v>864</v>
      </c>
      <c r="D61" s="171" t="s">
        <v>861</v>
      </c>
      <c r="E61" s="171" t="s">
        <v>865</v>
      </c>
      <c r="F61" s="171" t="s">
        <v>866</v>
      </c>
      <c r="G61" s="171" t="s">
        <v>863</v>
      </c>
    </row>
    <row r="62" spans="2:7" x14ac:dyDescent="0.3">
      <c r="B62" s="169">
        <v>4</v>
      </c>
      <c r="C62" s="170" t="s">
        <v>867</v>
      </c>
      <c r="D62" s="171" t="s">
        <v>868</v>
      </c>
      <c r="E62" s="171" t="s">
        <v>47</v>
      </c>
      <c r="F62" s="171" t="s">
        <v>857</v>
      </c>
      <c r="G62" s="171" t="s">
        <v>863</v>
      </c>
    </row>
    <row r="63" spans="2:7" x14ac:dyDescent="0.3">
      <c r="D63" s="172"/>
      <c r="E63" s="173"/>
    </row>
    <row r="64" spans="2:7" x14ac:dyDescent="0.3">
      <c r="F64" s="128"/>
    </row>
    <row r="65" spans="2:3" s="128" customFormat="1" x14ac:dyDescent="0.3">
      <c r="B65" s="157" t="s">
        <v>869</v>
      </c>
    </row>
    <row r="66" spans="2:3" s="128" customFormat="1" ht="30.15" x14ac:dyDescent="0.3">
      <c r="B66" s="168" t="s">
        <v>838</v>
      </c>
      <c r="C66" s="168" t="s">
        <v>870</v>
      </c>
    </row>
    <row r="67" spans="2:3" s="128" customFormat="1" ht="33.75" customHeight="1" x14ac:dyDescent="0.3">
      <c r="B67" s="170" t="s">
        <v>840</v>
      </c>
      <c r="C67" s="170" t="s">
        <v>871</v>
      </c>
    </row>
    <row r="68" spans="2:3" s="128" customFormat="1" x14ac:dyDescent="0.3">
      <c r="B68" s="170"/>
      <c r="C68" s="170" t="s">
        <v>872</v>
      </c>
    </row>
    <row r="69" spans="2:3" s="128" customFormat="1" x14ac:dyDescent="0.3">
      <c r="B69" s="170"/>
      <c r="C69" s="170" t="s">
        <v>873</v>
      </c>
    </row>
    <row r="70" spans="2:3" s="128" customFormat="1" x14ac:dyDescent="0.3">
      <c r="B70" s="170" t="s">
        <v>842</v>
      </c>
      <c r="C70" s="170" t="s">
        <v>874</v>
      </c>
    </row>
    <row r="71" spans="2:3" s="128" customFormat="1" x14ac:dyDescent="0.3">
      <c r="B71" s="170"/>
      <c r="C71" s="170" t="s">
        <v>875</v>
      </c>
    </row>
    <row r="72" spans="2:3" s="128" customFormat="1" x14ac:dyDescent="0.3">
      <c r="B72" s="170" t="s">
        <v>844</v>
      </c>
      <c r="C72" s="170" t="s">
        <v>876</v>
      </c>
    </row>
    <row r="73" spans="2:3" s="128" customFormat="1" x14ac:dyDescent="0.3">
      <c r="B73" s="170" t="s">
        <v>877</v>
      </c>
      <c r="C73" s="170" t="s">
        <v>878</v>
      </c>
    </row>
    <row r="74" spans="2:3" s="128" customFormat="1" ht="73.5" customHeight="1" x14ac:dyDescent="0.3">
      <c r="B74" s="170" t="s">
        <v>879</v>
      </c>
      <c r="C74" s="170" t="s">
        <v>880</v>
      </c>
    </row>
    <row r="75" spans="2:3" s="128" customFormat="1" ht="30.15" x14ac:dyDescent="0.3">
      <c r="B75" s="170" t="s">
        <v>881</v>
      </c>
      <c r="C75" s="170" t="s">
        <v>882</v>
      </c>
    </row>
    <row r="76" spans="2:3" s="128" customFormat="1" x14ac:dyDescent="0.3"/>
    <row r="77" spans="2:3" s="128" customFormat="1" ht="30.15" x14ac:dyDescent="0.3">
      <c r="C77" s="174" t="s">
        <v>883</v>
      </c>
    </row>
    <row r="78" spans="2:3" s="128" customFormat="1" x14ac:dyDescent="0.3"/>
    <row r="79" spans="2:3" s="128" customFormat="1" x14ac:dyDescent="0.3"/>
    <row r="80" spans="2:3" s="128" customFormat="1" x14ac:dyDescent="0.3"/>
    <row r="81" s="128" customFormat="1" x14ac:dyDescent="0.3"/>
    <row r="82" s="128" customFormat="1" x14ac:dyDescent="0.3"/>
    <row r="83" s="128" customFormat="1" x14ac:dyDescent="0.3"/>
    <row r="84" s="128" customFormat="1" x14ac:dyDescent="0.3"/>
    <row r="85" s="128" customFormat="1" x14ac:dyDescent="0.3"/>
    <row r="86" s="128" customFormat="1" x14ac:dyDescent="0.3"/>
    <row r="87" s="128" customFormat="1" x14ac:dyDescent="0.3"/>
    <row r="88" s="128" customFormat="1" x14ac:dyDescent="0.3"/>
    <row r="89" s="128" customFormat="1" x14ac:dyDescent="0.3"/>
    <row r="90" s="128" customFormat="1" x14ac:dyDescent="0.3"/>
    <row r="91" s="128" customFormat="1" x14ac:dyDescent="0.3"/>
  </sheetData>
  <mergeCells count="4">
    <mergeCell ref="C4:E4"/>
    <mergeCell ref="B12:B26"/>
    <mergeCell ref="B29:B33"/>
    <mergeCell ref="B41:B44"/>
  </mergeCells>
  <pageMargins left="0.7" right="0.7" top="0.75" bottom="0.75" header="0.511811023622047" footer="0.511811023622047"/>
  <pageSetup paperSize="9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I15"/>
  <sheetViews>
    <sheetView zoomScale="85" zoomScaleNormal="85" workbookViewId="0">
      <selection activeCell="C12" sqref="C12"/>
    </sheetView>
  </sheetViews>
  <sheetFormatPr defaultColWidth="57.44140625" defaultRowHeight="15.05" customHeight="1" x14ac:dyDescent="0.3"/>
  <cols>
    <col min="1" max="1" width="7.6640625" customWidth="1"/>
    <col min="2" max="2" width="167.6640625" style="48" customWidth="1"/>
    <col min="3" max="3" width="23.6640625" customWidth="1"/>
    <col min="4" max="4" width="31.109375" customWidth="1"/>
  </cols>
  <sheetData>
    <row r="1" spans="1:9" ht="15.75" x14ac:dyDescent="0.3">
      <c r="D1" s="2" t="s">
        <v>884</v>
      </c>
    </row>
    <row r="2" spans="1:9" ht="15.75" x14ac:dyDescent="0.3">
      <c r="D2" s="2" t="s">
        <v>1</v>
      </c>
    </row>
    <row r="4" spans="1:9" ht="17.7" x14ac:dyDescent="0.3">
      <c r="B4" s="84" t="s">
        <v>885</v>
      </c>
      <c r="C4" s="175"/>
      <c r="D4" s="175"/>
      <c r="E4" s="175"/>
    </row>
    <row r="5" spans="1:9" ht="17.7" x14ac:dyDescent="0.3">
      <c r="B5" s="176"/>
      <c r="C5" s="175"/>
      <c r="D5" s="175"/>
      <c r="E5" s="175"/>
    </row>
    <row r="6" spans="1:9" ht="43.2" x14ac:dyDescent="0.3">
      <c r="A6" s="177" t="s">
        <v>85</v>
      </c>
      <c r="B6" s="178" t="s">
        <v>886</v>
      </c>
      <c r="C6" s="178" t="s">
        <v>887</v>
      </c>
      <c r="D6" s="178" t="s">
        <v>888</v>
      </c>
    </row>
    <row r="7" spans="1:9" x14ac:dyDescent="0.3">
      <c r="A7" s="67" t="s">
        <v>889</v>
      </c>
      <c r="B7" s="179" t="s">
        <v>890</v>
      </c>
      <c r="C7" s="93"/>
      <c r="D7" s="93"/>
    </row>
    <row r="8" spans="1:9" x14ac:dyDescent="0.3">
      <c r="A8" s="67" t="s">
        <v>891</v>
      </c>
      <c r="B8" s="179" t="s">
        <v>892</v>
      </c>
      <c r="C8" s="93"/>
      <c r="D8" s="93"/>
    </row>
    <row r="9" spans="1:9" x14ac:dyDescent="0.3">
      <c r="A9" s="67" t="s">
        <v>157</v>
      </c>
      <c r="B9" s="179" t="s">
        <v>893</v>
      </c>
      <c r="C9" s="93"/>
      <c r="D9" s="93"/>
    </row>
    <row r="10" spans="1:9" ht="30.15" x14ac:dyDescent="0.3">
      <c r="A10" s="67" t="s">
        <v>222</v>
      </c>
      <c r="B10" s="179" t="s">
        <v>894</v>
      </c>
      <c r="C10" s="93"/>
      <c r="D10" s="93"/>
    </row>
    <row r="11" spans="1:9" x14ac:dyDescent="0.3">
      <c r="A11" s="67" t="s">
        <v>895</v>
      </c>
      <c r="B11" s="179" t="s">
        <v>896</v>
      </c>
      <c r="C11" s="93"/>
      <c r="D11" s="93"/>
    </row>
    <row r="12" spans="1:9" ht="45.2" x14ac:dyDescent="0.3">
      <c r="A12" s="67" t="s">
        <v>897</v>
      </c>
      <c r="B12" s="138" t="s">
        <v>898</v>
      </c>
      <c r="C12" s="93"/>
      <c r="D12" s="93"/>
    </row>
    <row r="15" spans="1:9" x14ac:dyDescent="0.3">
      <c r="B15" s="180"/>
      <c r="C15" s="180"/>
      <c r="D15" s="181"/>
      <c r="E15" s="182"/>
      <c r="F15" s="182"/>
      <c r="G15" s="182"/>
      <c r="H15" s="182"/>
      <c r="I15" s="182"/>
    </row>
  </sheetData>
  <dataValidations count="1">
    <dataValidation type="list" allowBlank="1" showInputMessage="1" showErrorMessage="1" sqref="C7:C11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B1:J74"/>
  <sheetViews>
    <sheetView topLeftCell="A34" zoomScaleNormal="100" workbookViewId="0">
      <selection activeCell="B54" sqref="B54"/>
    </sheetView>
  </sheetViews>
  <sheetFormatPr defaultColWidth="9.109375" defaultRowHeight="12.8" customHeight="1" x14ac:dyDescent="0.25"/>
  <cols>
    <col min="1" max="1" width="9.109375" style="183"/>
    <col min="2" max="2" width="110" style="183" customWidth="1"/>
    <col min="3" max="4" width="9.109375" style="183"/>
    <col min="5" max="5" width="39" style="183" customWidth="1"/>
    <col min="6" max="7" width="9.109375" style="183"/>
    <col min="8" max="8" width="81.77734375" style="183" customWidth="1"/>
    <col min="9" max="16384" width="9.109375" style="183"/>
  </cols>
  <sheetData>
    <row r="1" spans="2:10" ht="15.05" x14ac:dyDescent="0.25">
      <c r="E1" s="2" t="s">
        <v>899</v>
      </c>
    </row>
    <row r="2" spans="2:10" ht="15.05" x14ac:dyDescent="0.25">
      <c r="E2" s="2" t="s">
        <v>1</v>
      </c>
    </row>
    <row r="3" spans="2:10" ht="15.05" x14ac:dyDescent="0.25">
      <c r="E3" s="2"/>
    </row>
    <row r="4" spans="2:10" ht="17.7" x14ac:dyDescent="0.25">
      <c r="B4" s="184" t="s">
        <v>900</v>
      </c>
    </row>
    <row r="6" spans="2:10" ht="13.1" x14ac:dyDescent="0.25">
      <c r="B6" s="185" t="s">
        <v>901</v>
      </c>
    </row>
    <row r="7" spans="2:10" ht="13.1" x14ac:dyDescent="0.25">
      <c r="B7" s="186" t="s">
        <v>902</v>
      </c>
      <c r="C7" s="186">
        <v>1</v>
      </c>
      <c r="J7" s="187"/>
    </row>
    <row r="8" spans="2:10" ht="13.1" x14ac:dyDescent="0.25">
      <c r="B8" s="186" t="s">
        <v>903</v>
      </c>
      <c r="C8" s="186">
        <v>2</v>
      </c>
      <c r="J8" s="187"/>
    </row>
    <row r="9" spans="2:10" ht="13.1" x14ac:dyDescent="0.25">
      <c r="B9" s="186" t="s">
        <v>904</v>
      </c>
      <c r="C9" s="186">
        <v>24</v>
      </c>
      <c r="J9" s="187"/>
    </row>
    <row r="10" spans="2:10" ht="13.1" x14ac:dyDescent="0.25">
      <c r="B10" s="186" t="s">
        <v>905</v>
      </c>
      <c r="C10" s="186">
        <v>2</v>
      </c>
      <c r="J10" s="187"/>
    </row>
    <row r="11" spans="2:10" ht="13.1" x14ac:dyDescent="0.25">
      <c r="B11" s="186" t="s">
        <v>906</v>
      </c>
      <c r="C11" s="186">
        <v>5</v>
      </c>
      <c r="J11" s="187"/>
    </row>
    <row r="12" spans="2:10" ht="13.1" x14ac:dyDescent="0.25">
      <c r="B12" s="186" t="s">
        <v>907</v>
      </c>
      <c r="C12" s="186">
        <v>2</v>
      </c>
      <c r="J12" s="187"/>
    </row>
    <row r="13" spans="2:10" ht="13.1" x14ac:dyDescent="0.25">
      <c r="B13" s="186" t="s">
        <v>908</v>
      </c>
      <c r="C13" s="186">
        <v>2</v>
      </c>
      <c r="F13" s="188"/>
      <c r="J13" s="187"/>
    </row>
    <row r="14" spans="2:10" ht="13.1" x14ac:dyDescent="0.25">
      <c r="B14" s="186" t="s">
        <v>909</v>
      </c>
      <c r="C14" s="186">
        <v>1</v>
      </c>
      <c r="J14" s="187"/>
    </row>
    <row r="15" spans="2:10" ht="13.1" x14ac:dyDescent="0.25">
      <c r="B15" s="186" t="s">
        <v>910</v>
      </c>
      <c r="C15" s="186">
        <v>1</v>
      </c>
      <c r="J15" s="187"/>
    </row>
    <row r="16" spans="2:10" ht="13.1" x14ac:dyDescent="0.25">
      <c r="B16" s="186" t="s">
        <v>911</v>
      </c>
      <c r="C16" s="186">
        <v>2</v>
      </c>
      <c r="J16" s="187"/>
    </row>
    <row r="17" spans="2:10" ht="13.1" x14ac:dyDescent="0.25">
      <c r="B17" s="186" t="s">
        <v>912</v>
      </c>
      <c r="C17" s="186">
        <v>1</v>
      </c>
      <c r="J17" s="187"/>
    </row>
    <row r="18" spans="2:10" ht="13.1" x14ac:dyDescent="0.25">
      <c r="J18" s="187"/>
    </row>
    <row r="19" spans="2:10" ht="13.1" x14ac:dyDescent="0.25">
      <c r="B19" s="185" t="s">
        <v>913</v>
      </c>
      <c r="J19" s="187"/>
    </row>
    <row r="20" spans="2:10" ht="13.1" x14ac:dyDescent="0.25">
      <c r="B20" s="186" t="s">
        <v>914</v>
      </c>
      <c r="C20" s="186">
        <v>1</v>
      </c>
      <c r="J20" s="187"/>
    </row>
    <row r="21" spans="2:10" ht="13.1" x14ac:dyDescent="0.25">
      <c r="B21" s="186" t="s">
        <v>915</v>
      </c>
      <c r="C21" s="186">
        <v>2</v>
      </c>
      <c r="J21" s="187"/>
    </row>
    <row r="22" spans="2:10" ht="13.1" x14ac:dyDescent="0.25">
      <c r="B22" s="186" t="s">
        <v>916</v>
      </c>
      <c r="C22" s="186">
        <v>16</v>
      </c>
      <c r="J22" s="187"/>
    </row>
    <row r="23" spans="2:10" ht="13.1" x14ac:dyDescent="0.25">
      <c r="B23" s="186" t="s">
        <v>917</v>
      </c>
      <c r="C23" s="186">
        <v>2</v>
      </c>
      <c r="J23" s="187"/>
    </row>
    <row r="24" spans="2:10" ht="13.1" x14ac:dyDescent="0.25">
      <c r="B24" s="186" t="s">
        <v>918</v>
      </c>
      <c r="C24" s="186">
        <v>2</v>
      </c>
      <c r="J24" s="187"/>
    </row>
    <row r="25" spans="2:10" ht="13.1" x14ac:dyDescent="0.25">
      <c r="B25" s="186" t="s">
        <v>919</v>
      </c>
      <c r="C25" s="186">
        <v>4</v>
      </c>
      <c r="J25" s="187"/>
    </row>
    <row r="26" spans="2:10" ht="13.1" x14ac:dyDescent="0.25">
      <c r="B26" s="186" t="s">
        <v>920</v>
      </c>
      <c r="C26" s="186">
        <v>1</v>
      </c>
      <c r="J26" s="187"/>
    </row>
    <row r="27" spans="2:10" ht="13.1" x14ac:dyDescent="0.25">
      <c r="B27" s="186" t="s">
        <v>921</v>
      </c>
      <c r="C27" s="186">
        <v>1</v>
      </c>
      <c r="J27" s="187"/>
    </row>
    <row r="28" spans="2:10" ht="13.1" x14ac:dyDescent="0.25">
      <c r="B28" s="186" t="s">
        <v>922</v>
      </c>
      <c r="C28" s="186">
        <v>2</v>
      </c>
      <c r="J28" s="187"/>
    </row>
    <row r="29" spans="2:10" ht="13.1" x14ac:dyDescent="0.25">
      <c r="B29" s="186" t="s">
        <v>923</v>
      </c>
      <c r="C29" s="186">
        <v>2</v>
      </c>
      <c r="J29" s="187"/>
    </row>
    <row r="30" spans="2:10" ht="13.1" x14ac:dyDescent="0.25">
      <c r="B30" s="186" t="s">
        <v>924</v>
      </c>
      <c r="C30" s="186">
        <v>1</v>
      </c>
      <c r="J30" s="187"/>
    </row>
    <row r="31" spans="2:10" ht="13.1" x14ac:dyDescent="0.25">
      <c r="B31" s="186" t="s">
        <v>925</v>
      </c>
      <c r="C31" s="186">
        <v>1</v>
      </c>
      <c r="J31" s="187"/>
    </row>
    <row r="32" spans="2:10" ht="13.1" x14ac:dyDescent="0.25">
      <c r="B32" s="186" t="s">
        <v>926</v>
      </c>
      <c r="C32" s="186">
        <v>2</v>
      </c>
    </row>
    <row r="33" spans="2:5" ht="13.1" x14ac:dyDescent="0.25">
      <c r="B33" s="186" t="s">
        <v>927</v>
      </c>
      <c r="C33" s="186">
        <v>1</v>
      </c>
    </row>
    <row r="34" spans="2:5" ht="13.1" x14ac:dyDescent="0.25">
      <c r="B34" s="186" t="s">
        <v>928</v>
      </c>
      <c r="C34" s="186">
        <v>1</v>
      </c>
    </row>
    <row r="35" spans="2:5" ht="13.1" x14ac:dyDescent="0.25"/>
    <row r="36" spans="2:5" ht="13.1" x14ac:dyDescent="0.25">
      <c r="B36" s="185" t="s">
        <v>929</v>
      </c>
      <c r="C36" s="189"/>
    </row>
    <row r="37" spans="2:5" ht="13.1" x14ac:dyDescent="0.25">
      <c r="B37" s="186" t="s">
        <v>930</v>
      </c>
      <c r="C37" s="186">
        <v>1</v>
      </c>
    </row>
    <row r="38" spans="2:5" ht="13.1" x14ac:dyDescent="0.25">
      <c r="B38" s="186" t="s">
        <v>931</v>
      </c>
      <c r="C38" s="186">
        <v>2</v>
      </c>
    </row>
    <row r="39" spans="2:5" ht="13.1" x14ac:dyDescent="0.25">
      <c r="B39" s="186" t="s">
        <v>932</v>
      </c>
      <c r="C39" s="186">
        <v>24</v>
      </c>
    </row>
    <row r="40" spans="2:5" ht="13.1" x14ac:dyDescent="0.25">
      <c r="B40" s="186" t="s">
        <v>933</v>
      </c>
      <c r="C40" s="186" t="s">
        <v>934</v>
      </c>
    </row>
    <row r="41" spans="2:5" ht="13.1" x14ac:dyDescent="0.25">
      <c r="B41" s="186" t="s">
        <v>935</v>
      </c>
      <c r="C41" s="186">
        <v>2</v>
      </c>
    </row>
    <row r="42" spans="2:5" ht="13.1" x14ac:dyDescent="0.25">
      <c r="B42" s="186" t="s">
        <v>936</v>
      </c>
      <c r="C42" s="186">
        <v>2</v>
      </c>
      <c r="E42" s="189"/>
    </row>
    <row r="43" spans="2:5" ht="13.1" x14ac:dyDescent="0.25">
      <c r="B43" s="186" t="s">
        <v>937</v>
      </c>
      <c r="C43" s="186" t="s">
        <v>934</v>
      </c>
    </row>
    <row r="44" spans="2:5" ht="13.1" x14ac:dyDescent="0.25">
      <c r="B44" s="186" t="s">
        <v>938</v>
      </c>
      <c r="C44" s="186">
        <v>2</v>
      </c>
    </row>
    <row r="45" spans="2:5" ht="13.1" x14ac:dyDescent="0.25">
      <c r="B45" s="186" t="s">
        <v>939</v>
      </c>
      <c r="C45" s="186" t="s">
        <v>934</v>
      </c>
    </row>
    <row r="46" spans="2:5" ht="13.1" x14ac:dyDescent="0.25">
      <c r="B46" s="186" t="s">
        <v>940</v>
      </c>
      <c r="C46" s="186">
        <v>2</v>
      </c>
    </row>
    <row r="47" spans="2:5" ht="13.1" x14ac:dyDescent="0.25">
      <c r="B47" s="186" t="s">
        <v>941</v>
      </c>
      <c r="C47" s="186">
        <v>1</v>
      </c>
    </row>
    <row r="48" spans="2:5" ht="13.1" x14ac:dyDescent="0.25">
      <c r="B48" s="186" t="s">
        <v>942</v>
      </c>
      <c r="C48" s="186" t="s">
        <v>934</v>
      </c>
    </row>
    <row r="49" spans="2:8" ht="13.1" x14ac:dyDescent="0.25">
      <c r="B49" s="186" t="s">
        <v>943</v>
      </c>
      <c r="C49" s="186">
        <v>3</v>
      </c>
    </row>
    <row r="50" spans="2:8" ht="13.1" x14ac:dyDescent="0.25">
      <c r="B50" s="186" t="s">
        <v>944</v>
      </c>
      <c r="C50" s="186" t="s">
        <v>934</v>
      </c>
    </row>
    <row r="51" spans="2:8" ht="13.1" x14ac:dyDescent="0.25">
      <c r="B51" s="186" t="s">
        <v>945</v>
      </c>
      <c r="C51" s="186">
        <v>1</v>
      </c>
    </row>
    <row r="52" spans="2:8" ht="13.1" x14ac:dyDescent="0.25">
      <c r="B52" s="186" t="s">
        <v>946</v>
      </c>
      <c r="C52" s="186">
        <v>1</v>
      </c>
      <c r="H52" s="189"/>
    </row>
    <row r="53" spans="2:8" ht="13.1" x14ac:dyDescent="0.25">
      <c r="B53" s="189"/>
      <c r="C53" s="189"/>
      <c r="H53" s="189"/>
    </row>
    <row r="54" spans="2:8" ht="13.1" x14ac:dyDescent="0.25">
      <c r="B54" s="185" t="s">
        <v>947</v>
      </c>
      <c r="C54" s="190"/>
      <c r="H54" s="189"/>
    </row>
    <row r="55" spans="2:8" ht="13.1" x14ac:dyDescent="0.25">
      <c r="B55" s="186" t="s">
        <v>948</v>
      </c>
      <c r="C55" s="186">
        <v>1</v>
      </c>
      <c r="D55" s="191"/>
      <c r="H55" s="189"/>
    </row>
    <row r="56" spans="2:8" ht="13.1" x14ac:dyDescent="0.25">
      <c r="B56" s="186" t="s">
        <v>949</v>
      </c>
      <c r="C56" s="186">
        <v>2</v>
      </c>
      <c r="H56" s="189"/>
    </row>
    <row r="57" spans="2:8" ht="13.1" x14ac:dyDescent="0.25">
      <c r="B57" s="186" t="s">
        <v>950</v>
      </c>
      <c r="C57" s="186">
        <v>12</v>
      </c>
      <c r="H57" s="189"/>
    </row>
    <row r="58" spans="2:8" ht="13.1" x14ac:dyDescent="0.25">
      <c r="B58" s="186" t="s">
        <v>951</v>
      </c>
      <c r="C58" s="186">
        <v>1</v>
      </c>
      <c r="H58" s="189"/>
    </row>
    <row r="59" spans="2:8" ht="13.1" x14ac:dyDescent="0.25">
      <c r="B59" s="186" t="s">
        <v>952</v>
      </c>
      <c r="C59" s="186">
        <v>1</v>
      </c>
      <c r="H59" s="189"/>
    </row>
    <row r="60" spans="2:8" ht="13.1" x14ac:dyDescent="0.25">
      <c r="B60" s="186" t="s">
        <v>953</v>
      </c>
      <c r="C60" s="186">
        <v>1</v>
      </c>
    </row>
    <row r="61" spans="2:8" ht="13.1" x14ac:dyDescent="0.25">
      <c r="B61" s="186" t="s">
        <v>954</v>
      </c>
      <c r="C61" s="186">
        <v>2</v>
      </c>
    </row>
    <row r="62" spans="2:8" ht="13.1" x14ac:dyDescent="0.25">
      <c r="B62" s="186" t="s">
        <v>955</v>
      </c>
      <c r="C62" s="186">
        <v>1</v>
      </c>
    </row>
    <row r="63" spans="2:8" ht="13.1" x14ac:dyDescent="0.25"/>
    <row r="64" spans="2:8" ht="13.1" x14ac:dyDescent="0.25">
      <c r="B64" s="185" t="s">
        <v>956</v>
      </c>
    </row>
    <row r="65" spans="2:3" ht="13.1" x14ac:dyDescent="0.25">
      <c r="B65" s="186" t="s">
        <v>957</v>
      </c>
      <c r="C65" s="186">
        <v>1</v>
      </c>
    </row>
    <row r="66" spans="2:3" ht="13.1" x14ac:dyDescent="0.25">
      <c r="B66" s="186" t="s">
        <v>958</v>
      </c>
      <c r="C66" s="186">
        <v>2</v>
      </c>
    </row>
    <row r="67" spans="2:3" ht="13.1" x14ac:dyDescent="0.25">
      <c r="B67" s="186" t="s">
        <v>959</v>
      </c>
      <c r="C67" s="186">
        <v>16</v>
      </c>
    </row>
    <row r="68" spans="2:3" ht="13.1" x14ac:dyDescent="0.25">
      <c r="B68" s="186" t="s">
        <v>960</v>
      </c>
      <c r="C68" s="186">
        <v>4</v>
      </c>
    </row>
    <row r="69" spans="2:3" ht="13.1" x14ac:dyDescent="0.25">
      <c r="B69" s="186" t="s">
        <v>961</v>
      </c>
      <c r="C69" s="186">
        <v>1</v>
      </c>
    </row>
    <row r="70" spans="2:3" ht="13.1" x14ac:dyDescent="0.25">
      <c r="B70" s="186" t="s">
        <v>962</v>
      </c>
      <c r="C70" s="186">
        <v>1</v>
      </c>
    </row>
    <row r="71" spans="2:3" ht="13.1" x14ac:dyDescent="0.25">
      <c r="B71" s="186" t="s">
        <v>963</v>
      </c>
      <c r="C71" s="186">
        <v>2</v>
      </c>
    </row>
    <row r="72" spans="2:3" ht="13.1" x14ac:dyDescent="0.25">
      <c r="B72" s="186" t="s">
        <v>964</v>
      </c>
      <c r="C72" s="186">
        <v>1</v>
      </c>
    </row>
    <row r="73" spans="2:3" ht="13.1" x14ac:dyDescent="0.25">
      <c r="B73" s="186" t="s">
        <v>965</v>
      </c>
      <c r="C73" s="186">
        <v>2</v>
      </c>
    </row>
    <row r="74" spans="2:3" ht="13.1" x14ac:dyDescent="0.25">
      <c r="B74" s="186" t="s">
        <v>966</v>
      </c>
      <c r="C74" s="186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E217"/>
  <sheetViews>
    <sheetView topLeftCell="A193" zoomScale="85" zoomScaleNormal="85" workbookViewId="0">
      <selection activeCell="E30" sqref="E30"/>
    </sheetView>
  </sheetViews>
  <sheetFormatPr defaultColWidth="8.6640625" defaultRowHeight="15.05" customHeight="1" x14ac:dyDescent="0.3"/>
  <cols>
    <col min="1" max="1" width="7.33203125" customWidth="1"/>
    <col min="2" max="2" width="141.44140625" customWidth="1"/>
    <col min="3" max="3" width="23.109375" customWidth="1"/>
    <col min="4" max="4" width="21.109375" customWidth="1"/>
    <col min="5" max="5" width="23.77734375" customWidth="1"/>
  </cols>
  <sheetData>
    <row r="1" spans="1:5" ht="15.75" x14ac:dyDescent="0.3">
      <c r="E1" s="2" t="s">
        <v>967</v>
      </c>
    </row>
    <row r="2" spans="1:5" ht="15.75" x14ac:dyDescent="0.3">
      <c r="E2" s="2" t="s">
        <v>1</v>
      </c>
    </row>
    <row r="6" spans="1:5" ht="17.7" x14ac:dyDescent="0.3">
      <c r="B6" s="192" t="s">
        <v>968</v>
      </c>
      <c r="E6" s="2"/>
    </row>
    <row r="7" spans="1:5" ht="15.75" x14ac:dyDescent="0.3">
      <c r="E7" s="2"/>
    </row>
    <row r="8" spans="1:5" ht="17.7" x14ac:dyDescent="0.3">
      <c r="E8" s="82"/>
    </row>
    <row r="10" spans="1:5" ht="43.2" x14ac:dyDescent="0.3">
      <c r="A10" s="228" t="s">
        <v>85</v>
      </c>
      <c r="B10" s="228" t="s">
        <v>969</v>
      </c>
      <c r="C10" s="226" t="s">
        <v>87</v>
      </c>
      <c r="D10" s="226" t="s">
        <v>970</v>
      </c>
      <c r="E10" s="226" t="s">
        <v>88</v>
      </c>
    </row>
    <row r="11" spans="1:5" x14ac:dyDescent="0.3">
      <c r="A11" s="229" t="s">
        <v>971</v>
      </c>
      <c r="B11" s="230" t="s">
        <v>972</v>
      </c>
      <c r="C11" s="227"/>
      <c r="D11" s="227"/>
      <c r="E11" s="227"/>
    </row>
    <row r="12" spans="1:5" x14ac:dyDescent="0.3">
      <c r="A12" s="229"/>
      <c r="B12" s="230" t="s">
        <v>973</v>
      </c>
      <c r="C12" s="227"/>
      <c r="D12" s="227"/>
      <c r="E12" s="227"/>
    </row>
    <row r="13" spans="1:5" x14ac:dyDescent="0.3">
      <c r="A13" s="229" t="s">
        <v>974</v>
      </c>
      <c r="B13" s="231" t="s">
        <v>975</v>
      </c>
      <c r="C13" s="232" t="s">
        <v>91</v>
      </c>
      <c r="D13" s="233"/>
      <c r="E13" s="233"/>
    </row>
    <row r="14" spans="1:5" x14ac:dyDescent="0.3">
      <c r="A14" s="229" t="s">
        <v>976</v>
      </c>
      <c r="B14" s="231" t="s">
        <v>977</v>
      </c>
      <c r="C14" s="232" t="s">
        <v>91</v>
      </c>
      <c r="D14" s="233"/>
      <c r="E14" s="233"/>
    </row>
    <row r="15" spans="1:5" ht="30.15" x14ac:dyDescent="0.3">
      <c r="A15" s="229" t="s">
        <v>978</v>
      </c>
      <c r="B15" s="231" t="s">
        <v>979</v>
      </c>
      <c r="C15" s="232" t="s">
        <v>91</v>
      </c>
      <c r="D15" s="233"/>
      <c r="E15" s="233"/>
    </row>
    <row r="16" spans="1:5" x14ac:dyDescent="0.3">
      <c r="A16" s="229" t="s">
        <v>980</v>
      </c>
      <c r="B16" s="231" t="s">
        <v>981</v>
      </c>
      <c r="C16" s="232" t="s">
        <v>91</v>
      </c>
      <c r="D16" s="233"/>
      <c r="E16" s="233"/>
    </row>
    <row r="17" spans="1:5" x14ac:dyDescent="0.3">
      <c r="A17" s="229" t="s">
        <v>982</v>
      </c>
      <c r="B17" s="231" t="s">
        <v>983</v>
      </c>
      <c r="C17" s="232" t="s">
        <v>91</v>
      </c>
      <c r="D17" s="233"/>
      <c r="E17" s="233"/>
    </row>
    <row r="18" spans="1:5" x14ac:dyDescent="0.3">
      <c r="A18" s="229" t="s">
        <v>984</v>
      </c>
      <c r="B18" s="231" t="s">
        <v>985</v>
      </c>
      <c r="C18" s="232" t="s">
        <v>91</v>
      </c>
      <c r="D18" s="233"/>
      <c r="E18" s="233"/>
    </row>
    <row r="19" spans="1:5" x14ac:dyDescent="0.3">
      <c r="A19" s="229" t="s">
        <v>986</v>
      </c>
      <c r="B19" s="231" t="s">
        <v>987</v>
      </c>
      <c r="C19" s="232" t="s">
        <v>91</v>
      </c>
      <c r="D19" s="233"/>
      <c r="E19" s="233"/>
    </row>
    <row r="20" spans="1:5" x14ac:dyDescent="0.3">
      <c r="A20" s="229" t="s">
        <v>988</v>
      </c>
      <c r="B20" s="231" t="s">
        <v>989</v>
      </c>
      <c r="C20" s="232" t="s">
        <v>91</v>
      </c>
      <c r="D20" s="233"/>
      <c r="E20" s="233"/>
    </row>
    <row r="21" spans="1:5" x14ac:dyDescent="0.3">
      <c r="A21" s="229" t="s">
        <v>990</v>
      </c>
      <c r="B21" s="231" t="s">
        <v>991</v>
      </c>
      <c r="C21" s="232" t="s">
        <v>91</v>
      </c>
      <c r="D21" s="233"/>
      <c r="E21" s="233"/>
    </row>
    <row r="22" spans="1:5" x14ac:dyDescent="0.3">
      <c r="A22" s="229" t="s">
        <v>992</v>
      </c>
      <c r="B22" s="231" t="s">
        <v>993</v>
      </c>
      <c r="C22" s="234" t="s">
        <v>124</v>
      </c>
      <c r="D22" s="233"/>
      <c r="E22" s="233"/>
    </row>
    <row r="23" spans="1:5" x14ac:dyDescent="0.3">
      <c r="A23" s="229" t="s">
        <v>994</v>
      </c>
      <c r="B23" s="231" t="s">
        <v>995</v>
      </c>
      <c r="C23" s="232" t="s">
        <v>91</v>
      </c>
      <c r="D23" s="233"/>
      <c r="E23" s="233"/>
    </row>
    <row r="24" spans="1:5" x14ac:dyDescent="0.3">
      <c r="A24" s="229" t="s">
        <v>996</v>
      </c>
      <c r="B24" s="231" t="s">
        <v>997</v>
      </c>
      <c r="C24" s="232" t="s">
        <v>91</v>
      </c>
      <c r="D24" s="233"/>
      <c r="E24" s="233"/>
    </row>
    <row r="25" spans="1:5" x14ac:dyDescent="0.3">
      <c r="A25" s="229" t="s">
        <v>998</v>
      </c>
      <c r="B25" s="231" t="s">
        <v>999</v>
      </c>
      <c r="C25" s="232" t="s">
        <v>91</v>
      </c>
      <c r="D25" s="233"/>
      <c r="E25" s="233"/>
    </row>
    <row r="26" spans="1:5" x14ac:dyDescent="0.3">
      <c r="A26" s="229" t="s">
        <v>1000</v>
      </c>
      <c r="B26" s="231" t="s">
        <v>1001</v>
      </c>
      <c r="C26" s="232" t="s">
        <v>91</v>
      </c>
      <c r="D26" s="233"/>
      <c r="E26" s="233"/>
    </row>
    <row r="27" spans="1:5" x14ac:dyDescent="0.3">
      <c r="A27" s="229" t="s">
        <v>1002</v>
      </c>
      <c r="B27" s="231" t="s">
        <v>1003</v>
      </c>
      <c r="C27" s="232" t="s">
        <v>91</v>
      </c>
      <c r="D27" s="233"/>
      <c r="E27" s="233"/>
    </row>
    <row r="28" spans="1:5" ht="30.15" x14ac:dyDescent="0.3">
      <c r="A28" s="229" t="s">
        <v>1004</v>
      </c>
      <c r="B28" s="231" t="s">
        <v>1005</v>
      </c>
      <c r="C28" s="232" t="s">
        <v>91</v>
      </c>
      <c r="D28" s="233"/>
      <c r="E28" s="233"/>
    </row>
    <row r="29" spans="1:5" ht="30.15" x14ac:dyDescent="0.3">
      <c r="A29" s="229" t="s">
        <v>1006</v>
      </c>
      <c r="B29" s="231" t="s">
        <v>1007</v>
      </c>
      <c r="C29" s="232" t="s">
        <v>91</v>
      </c>
      <c r="D29" s="233"/>
      <c r="E29" s="233"/>
    </row>
    <row r="30" spans="1:5" ht="90.35" x14ac:dyDescent="0.3">
      <c r="A30" s="229" t="s">
        <v>1008</v>
      </c>
      <c r="B30" s="231" t="s">
        <v>1009</v>
      </c>
      <c r="C30" s="232" t="s">
        <v>91</v>
      </c>
      <c r="D30" s="233"/>
      <c r="E30" s="235" t="s">
        <v>1339</v>
      </c>
    </row>
    <row r="31" spans="1:5" ht="90.35" x14ac:dyDescent="0.3">
      <c r="A31" s="229" t="s">
        <v>1010</v>
      </c>
      <c r="B31" s="231" t="s">
        <v>1011</v>
      </c>
      <c r="C31" s="232" t="s">
        <v>91</v>
      </c>
      <c r="D31" s="233"/>
      <c r="E31" s="235" t="s">
        <v>1339</v>
      </c>
    </row>
    <row r="32" spans="1:5" x14ac:dyDescent="0.3">
      <c r="A32" s="229" t="s">
        <v>1012</v>
      </c>
      <c r="B32" s="231" t="s">
        <v>1013</v>
      </c>
      <c r="C32" s="232" t="s">
        <v>91</v>
      </c>
      <c r="D32" s="233"/>
      <c r="E32" s="233"/>
    </row>
    <row r="33" spans="1:5" x14ac:dyDescent="0.3">
      <c r="A33" s="229" t="s">
        <v>1014</v>
      </c>
      <c r="B33" s="231" t="s">
        <v>1015</v>
      </c>
      <c r="C33" s="232" t="s">
        <v>91</v>
      </c>
      <c r="D33" s="233"/>
      <c r="E33" s="233"/>
    </row>
    <row r="34" spans="1:5" x14ac:dyDescent="0.3">
      <c r="A34" s="229" t="s">
        <v>1016</v>
      </c>
      <c r="B34" s="231" t="s">
        <v>1017</v>
      </c>
      <c r="C34" s="232" t="s">
        <v>91</v>
      </c>
      <c r="D34" s="233"/>
      <c r="E34" s="233"/>
    </row>
    <row r="35" spans="1:5" ht="30.15" x14ac:dyDescent="0.3">
      <c r="A35" s="229" t="s">
        <v>1018</v>
      </c>
      <c r="B35" s="231" t="s">
        <v>1019</v>
      </c>
      <c r="C35" s="236" t="s">
        <v>1340</v>
      </c>
      <c r="D35" s="233"/>
      <c r="E35" s="237" t="s">
        <v>1341</v>
      </c>
    </row>
    <row r="36" spans="1:5" x14ac:dyDescent="0.3">
      <c r="A36" s="229" t="s">
        <v>1020</v>
      </c>
      <c r="B36" s="231" t="s">
        <v>1021</v>
      </c>
      <c r="C36" s="232" t="s">
        <v>91</v>
      </c>
      <c r="D36" s="233"/>
      <c r="E36" s="233"/>
    </row>
    <row r="37" spans="1:5" x14ac:dyDescent="0.3">
      <c r="A37" s="229" t="s">
        <v>1022</v>
      </c>
      <c r="B37" s="231" t="s">
        <v>1023</v>
      </c>
      <c r="C37" s="232" t="s">
        <v>91</v>
      </c>
      <c r="D37" s="233"/>
      <c r="E37" s="233"/>
    </row>
    <row r="38" spans="1:5" x14ac:dyDescent="0.3">
      <c r="A38" s="229" t="s">
        <v>1024</v>
      </c>
      <c r="B38" s="231" t="s">
        <v>1025</v>
      </c>
      <c r="C38" s="232" t="s">
        <v>91</v>
      </c>
      <c r="D38" s="233"/>
      <c r="E38" s="233"/>
    </row>
    <row r="39" spans="1:5" ht="30.15" x14ac:dyDescent="0.3">
      <c r="A39" s="229" t="s">
        <v>1026</v>
      </c>
      <c r="B39" s="231" t="s">
        <v>1027</v>
      </c>
      <c r="C39" s="236" t="s">
        <v>99</v>
      </c>
      <c r="D39" s="233"/>
      <c r="E39" s="237" t="s">
        <v>1342</v>
      </c>
    </row>
    <row r="40" spans="1:5" x14ac:dyDescent="0.3">
      <c r="A40" s="229" t="s">
        <v>1028</v>
      </c>
      <c r="B40" s="231" t="s">
        <v>1029</v>
      </c>
      <c r="C40" s="232" t="s">
        <v>91</v>
      </c>
      <c r="D40" s="233"/>
      <c r="E40" s="233"/>
    </row>
    <row r="41" spans="1:5" x14ac:dyDescent="0.3">
      <c r="A41" s="229" t="s">
        <v>1030</v>
      </c>
      <c r="B41" s="231" t="s">
        <v>1031</v>
      </c>
      <c r="C41" s="232" t="s">
        <v>91</v>
      </c>
      <c r="D41" s="233"/>
      <c r="E41" s="233"/>
    </row>
    <row r="42" spans="1:5" x14ac:dyDescent="0.3">
      <c r="A42" s="229" t="s">
        <v>1032</v>
      </c>
      <c r="B42" s="231" t="s">
        <v>1033</v>
      </c>
      <c r="C42" s="232" t="s">
        <v>91</v>
      </c>
      <c r="D42" s="233"/>
      <c r="E42" s="233"/>
    </row>
    <row r="43" spans="1:5" x14ac:dyDescent="0.3">
      <c r="A43" s="229" t="s">
        <v>1034</v>
      </c>
      <c r="B43" s="231" t="s">
        <v>1035</v>
      </c>
      <c r="C43" s="232" t="s">
        <v>91</v>
      </c>
      <c r="D43" s="233"/>
      <c r="E43" s="233"/>
    </row>
    <row r="44" spans="1:5" ht="30.15" x14ac:dyDescent="0.3">
      <c r="A44" s="229" t="s">
        <v>1036</v>
      </c>
      <c r="B44" s="231" t="s">
        <v>1037</v>
      </c>
      <c r="C44" s="236" t="s">
        <v>99</v>
      </c>
      <c r="D44" s="233"/>
      <c r="E44" s="237" t="s">
        <v>1343</v>
      </c>
    </row>
    <row r="45" spans="1:5" ht="30.15" x14ac:dyDescent="0.3">
      <c r="A45" s="229" t="s">
        <v>1038</v>
      </c>
      <c r="B45" s="231" t="s">
        <v>1039</v>
      </c>
      <c r="C45" s="236" t="s">
        <v>99</v>
      </c>
      <c r="D45" s="233"/>
      <c r="E45" s="237" t="s">
        <v>1343</v>
      </c>
    </row>
    <row r="46" spans="1:5" ht="30.15" x14ac:dyDescent="0.3">
      <c r="A46" s="229" t="s">
        <v>1040</v>
      </c>
      <c r="B46" s="231" t="s">
        <v>1041</v>
      </c>
      <c r="C46" s="236" t="s">
        <v>99</v>
      </c>
      <c r="D46" s="233"/>
      <c r="E46" s="237" t="s">
        <v>1343</v>
      </c>
    </row>
    <row r="47" spans="1:5" ht="30.15" x14ac:dyDescent="0.3">
      <c r="A47" s="229" t="s">
        <v>1042</v>
      </c>
      <c r="B47" s="231" t="s">
        <v>1043</v>
      </c>
      <c r="C47" s="236" t="s">
        <v>99</v>
      </c>
      <c r="D47" s="233"/>
      <c r="E47" s="237" t="s">
        <v>1343</v>
      </c>
    </row>
    <row r="48" spans="1:5" ht="30.15" x14ac:dyDescent="0.3">
      <c r="A48" s="229" t="s">
        <v>1044</v>
      </c>
      <c r="B48" s="231" t="s">
        <v>1045</v>
      </c>
      <c r="C48" s="236" t="s">
        <v>99</v>
      </c>
      <c r="D48" s="233"/>
      <c r="E48" s="237" t="s">
        <v>1343</v>
      </c>
    </row>
    <row r="49" spans="1:5" ht="30.15" x14ac:dyDescent="0.3">
      <c r="A49" s="229" t="s">
        <v>1046</v>
      </c>
      <c r="B49" s="231" t="s">
        <v>1047</v>
      </c>
      <c r="C49" s="236" t="s">
        <v>99</v>
      </c>
      <c r="D49" s="233"/>
      <c r="E49" s="237" t="s">
        <v>1343</v>
      </c>
    </row>
    <row r="50" spans="1:5" ht="30.15" x14ac:dyDescent="0.3">
      <c r="A50" s="229" t="s">
        <v>1048</v>
      </c>
      <c r="B50" s="231" t="s">
        <v>1049</v>
      </c>
      <c r="C50" s="236" t="s">
        <v>99</v>
      </c>
      <c r="D50" s="233"/>
      <c r="E50" s="237" t="s">
        <v>1343</v>
      </c>
    </row>
    <row r="51" spans="1:5" ht="30.15" x14ac:dyDescent="0.3">
      <c r="A51" s="229" t="s">
        <v>1050</v>
      </c>
      <c r="B51" s="231" t="s">
        <v>1051</v>
      </c>
      <c r="C51" s="236" t="s">
        <v>99</v>
      </c>
      <c r="D51" s="233"/>
      <c r="E51" s="237" t="s">
        <v>1344</v>
      </c>
    </row>
    <row r="52" spans="1:5" ht="30.15" x14ac:dyDescent="0.3">
      <c r="A52" s="229" t="s">
        <v>1052</v>
      </c>
      <c r="B52" s="231" t="s">
        <v>1053</v>
      </c>
      <c r="C52" s="236" t="s">
        <v>99</v>
      </c>
      <c r="D52" s="233"/>
      <c r="E52" s="237" t="s">
        <v>1344</v>
      </c>
    </row>
    <row r="53" spans="1:5" ht="30.15" x14ac:dyDescent="0.3">
      <c r="A53" s="229" t="s">
        <v>1054</v>
      </c>
      <c r="B53" s="231" t="s">
        <v>1055</v>
      </c>
      <c r="C53" s="236" t="s">
        <v>99</v>
      </c>
      <c r="D53" s="233"/>
      <c r="E53" s="237" t="s">
        <v>1344</v>
      </c>
    </row>
    <row r="54" spans="1:5" x14ac:dyDescent="0.3">
      <c r="A54" s="229" t="s">
        <v>1056</v>
      </c>
      <c r="B54" s="231" t="s">
        <v>1057</v>
      </c>
      <c r="C54" s="232" t="s">
        <v>91</v>
      </c>
      <c r="D54" s="233"/>
      <c r="E54" s="233"/>
    </row>
    <row r="55" spans="1:5" x14ac:dyDescent="0.3">
      <c r="A55" s="229" t="s">
        <v>1058</v>
      </c>
      <c r="B55" s="231" t="s">
        <v>1059</v>
      </c>
      <c r="C55" s="232" t="s">
        <v>91</v>
      </c>
      <c r="D55" s="233"/>
      <c r="E55" s="233"/>
    </row>
    <row r="56" spans="1:5" x14ac:dyDescent="0.3">
      <c r="A56" s="229" t="s">
        <v>1060</v>
      </c>
      <c r="B56" s="231" t="s">
        <v>1061</v>
      </c>
      <c r="C56" s="232" t="s">
        <v>91</v>
      </c>
      <c r="D56" s="233"/>
      <c r="E56" s="233"/>
    </row>
    <row r="57" spans="1:5" x14ac:dyDescent="0.3">
      <c r="A57" s="229" t="s">
        <v>1062</v>
      </c>
      <c r="B57" s="231" t="s">
        <v>1063</v>
      </c>
      <c r="C57" s="232" t="s">
        <v>91</v>
      </c>
      <c r="D57" s="233"/>
      <c r="E57" s="233"/>
    </row>
    <row r="58" spans="1:5" x14ac:dyDescent="0.3">
      <c r="A58" s="229" t="s">
        <v>1064</v>
      </c>
      <c r="B58" s="231" t="s">
        <v>1065</v>
      </c>
      <c r="C58" s="232" t="s">
        <v>91</v>
      </c>
      <c r="D58" s="233"/>
      <c r="E58" s="233"/>
    </row>
    <row r="59" spans="1:5" ht="30.15" x14ac:dyDescent="0.3">
      <c r="A59" s="229" t="s">
        <v>1066</v>
      </c>
      <c r="B59" s="231" t="s">
        <v>1067</v>
      </c>
      <c r="C59" s="236" t="s">
        <v>99</v>
      </c>
      <c r="D59" s="233"/>
      <c r="E59" s="237" t="s">
        <v>1345</v>
      </c>
    </row>
    <row r="60" spans="1:5" x14ac:dyDescent="0.3">
      <c r="A60" s="229" t="s">
        <v>1068</v>
      </c>
      <c r="B60" s="231" t="s">
        <v>1069</v>
      </c>
      <c r="C60" s="232" t="s">
        <v>91</v>
      </c>
      <c r="D60" s="233"/>
      <c r="E60" s="233"/>
    </row>
    <row r="61" spans="1:5" x14ac:dyDescent="0.3">
      <c r="A61" s="229" t="s">
        <v>1070</v>
      </c>
      <c r="B61" s="231" t="s">
        <v>1071</v>
      </c>
      <c r="C61" s="232" t="s">
        <v>91</v>
      </c>
      <c r="D61" s="233"/>
      <c r="E61" s="233"/>
    </row>
    <row r="62" spans="1:5" x14ac:dyDescent="0.3">
      <c r="A62" s="229" t="s">
        <v>1072</v>
      </c>
      <c r="B62" s="231" t="s">
        <v>1073</v>
      </c>
      <c r="C62" s="232" t="s">
        <v>91</v>
      </c>
      <c r="D62" s="233"/>
      <c r="E62" s="233"/>
    </row>
    <row r="63" spans="1:5" x14ac:dyDescent="0.3">
      <c r="A63" s="229" t="s">
        <v>1074</v>
      </c>
      <c r="B63" s="231" t="s">
        <v>1075</v>
      </c>
      <c r="C63" s="232" t="s">
        <v>91</v>
      </c>
      <c r="D63" s="233"/>
      <c r="E63" s="233"/>
    </row>
    <row r="64" spans="1:5" x14ac:dyDescent="0.3">
      <c r="A64" s="229" t="s">
        <v>1076</v>
      </c>
      <c r="B64" s="231" t="s">
        <v>1077</v>
      </c>
      <c r="C64" s="232" t="s">
        <v>91</v>
      </c>
      <c r="D64" s="233"/>
      <c r="E64" s="233"/>
    </row>
    <row r="65" spans="1:5" x14ac:dyDescent="0.3">
      <c r="A65" s="229" t="s">
        <v>1078</v>
      </c>
      <c r="B65" s="231" t="s">
        <v>1079</v>
      </c>
      <c r="C65" s="232" t="s">
        <v>91</v>
      </c>
      <c r="D65" s="233"/>
      <c r="E65" s="233"/>
    </row>
    <row r="66" spans="1:5" x14ac:dyDescent="0.3">
      <c r="A66" s="229" t="s">
        <v>1080</v>
      </c>
      <c r="B66" s="231" t="s">
        <v>1081</v>
      </c>
      <c r="C66" s="232" t="s">
        <v>91</v>
      </c>
      <c r="D66" s="233"/>
      <c r="E66" s="233"/>
    </row>
    <row r="67" spans="1:5" x14ac:dyDescent="0.3">
      <c r="A67" s="229" t="s">
        <v>1082</v>
      </c>
      <c r="B67" s="231" t="s">
        <v>1083</v>
      </c>
      <c r="C67" s="232" t="s">
        <v>91</v>
      </c>
      <c r="D67" s="233"/>
      <c r="E67" s="233"/>
    </row>
    <row r="68" spans="1:5" x14ac:dyDescent="0.3">
      <c r="A68" s="229" t="s">
        <v>1084</v>
      </c>
      <c r="B68" s="231" t="s">
        <v>1085</v>
      </c>
      <c r="C68" s="232" t="s">
        <v>91</v>
      </c>
      <c r="D68" s="233"/>
      <c r="E68" s="233"/>
    </row>
    <row r="69" spans="1:5" x14ac:dyDescent="0.3">
      <c r="A69" s="229" t="s">
        <v>1086</v>
      </c>
      <c r="B69" s="231" t="s">
        <v>1087</v>
      </c>
      <c r="C69" s="232" t="s">
        <v>91</v>
      </c>
      <c r="D69" s="233"/>
      <c r="E69" s="233"/>
    </row>
    <row r="70" spans="1:5" x14ac:dyDescent="0.3">
      <c r="A70" s="229" t="s">
        <v>1088</v>
      </c>
      <c r="B70" s="231" t="s">
        <v>1089</v>
      </c>
      <c r="C70" s="232" t="s">
        <v>91</v>
      </c>
      <c r="D70" s="233"/>
      <c r="E70" s="233"/>
    </row>
    <row r="71" spans="1:5" x14ac:dyDescent="0.3">
      <c r="A71" s="229" t="s">
        <v>1090</v>
      </c>
      <c r="B71" s="231" t="s">
        <v>1091</v>
      </c>
      <c r="C71" s="232" t="s">
        <v>91</v>
      </c>
      <c r="D71" s="233"/>
      <c r="E71" s="233"/>
    </row>
    <row r="72" spans="1:5" ht="30.15" x14ac:dyDescent="0.3">
      <c r="A72" s="229" t="s">
        <v>1092</v>
      </c>
      <c r="B72" s="231" t="s">
        <v>1093</v>
      </c>
      <c r="C72" s="234" t="s">
        <v>124</v>
      </c>
      <c r="D72" s="233"/>
      <c r="E72" s="233"/>
    </row>
    <row r="73" spans="1:5" x14ac:dyDescent="0.3">
      <c r="A73" s="229" t="s">
        <v>1094</v>
      </c>
      <c r="B73" s="231" t="s">
        <v>1095</v>
      </c>
      <c r="C73" s="232" t="s">
        <v>91</v>
      </c>
      <c r="D73" s="233"/>
      <c r="E73" s="233"/>
    </row>
    <row r="74" spans="1:5" x14ac:dyDescent="0.3">
      <c r="A74" s="229" t="s">
        <v>1096</v>
      </c>
      <c r="B74" s="231" t="s">
        <v>1097</v>
      </c>
      <c r="C74" s="232" t="s">
        <v>91</v>
      </c>
      <c r="D74" s="233"/>
      <c r="E74" s="233"/>
    </row>
    <row r="75" spans="1:5" x14ac:dyDescent="0.3">
      <c r="A75" s="229" t="s">
        <v>1098</v>
      </c>
      <c r="B75" s="231" t="s">
        <v>1099</v>
      </c>
      <c r="C75" s="232" t="s">
        <v>91</v>
      </c>
      <c r="D75" s="233"/>
      <c r="E75" s="233"/>
    </row>
    <row r="76" spans="1:5" x14ac:dyDescent="0.3">
      <c r="A76" s="229" t="s">
        <v>1100</v>
      </c>
      <c r="B76" s="231" t="s">
        <v>1101</v>
      </c>
      <c r="C76" s="232" t="s">
        <v>91</v>
      </c>
      <c r="D76" s="233"/>
      <c r="E76" s="233"/>
    </row>
    <row r="77" spans="1:5" x14ac:dyDescent="0.3">
      <c r="A77" s="229" t="s">
        <v>1102</v>
      </c>
      <c r="B77" s="231" t="s">
        <v>1103</v>
      </c>
      <c r="C77" s="232" t="s">
        <v>91</v>
      </c>
      <c r="D77" s="233"/>
      <c r="E77" s="233"/>
    </row>
    <row r="78" spans="1:5" ht="30.15" x14ac:dyDescent="0.3">
      <c r="A78" s="229" t="s">
        <v>1104</v>
      </c>
      <c r="B78" s="231" t="s">
        <v>1105</v>
      </c>
      <c r="C78" s="232" t="s">
        <v>91</v>
      </c>
      <c r="D78" s="233"/>
      <c r="E78" s="233"/>
    </row>
    <row r="79" spans="1:5" ht="30.15" x14ac:dyDescent="0.3">
      <c r="A79" s="229" t="s">
        <v>1106</v>
      </c>
      <c r="B79" s="231" t="s">
        <v>1107</v>
      </c>
      <c r="C79" s="232" t="s">
        <v>91</v>
      </c>
      <c r="D79" s="233"/>
      <c r="E79" s="233"/>
    </row>
    <row r="80" spans="1:5" x14ac:dyDescent="0.3">
      <c r="A80" s="229" t="s">
        <v>1108</v>
      </c>
      <c r="B80" s="231" t="s">
        <v>1109</v>
      </c>
      <c r="C80" s="232" t="s">
        <v>91</v>
      </c>
      <c r="D80" s="233"/>
      <c r="E80" s="233"/>
    </row>
    <row r="81" spans="1:5" x14ac:dyDescent="0.3">
      <c r="A81" s="229" t="s">
        <v>1110</v>
      </c>
      <c r="B81" s="231" t="s">
        <v>1111</v>
      </c>
      <c r="C81" s="232" t="s">
        <v>91</v>
      </c>
      <c r="D81" s="233"/>
      <c r="E81" s="233"/>
    </row>
    <row r="82" spans="1:5" x14ac:dyDescent="0.3">
      <c r="A82" s="229" t="s">
        <v>1112</v>
      </c>
      <c r="B82" s="231" t="s">
        <v>1113</v>
      </c>
      <c r="C82" s="232" t="s">
        <v>91</v>
      </c>
      <c r="D82" s="233"/>
      <c r="E82" s="233"/>
    </row>
    <row r="83" spans="1:5" x14ac:dyDescent="0.3">
      <c r="A83" s="229" t="s">
        <v>1114</v>
      </c>
      <c r="B83" s="230" t="s">
        <v>1115</v>
      </c>
      <c r="C83" s="227"/>
      <c r="D83" s="227"/>
      <c r="E83" s="227"/>
    </row>
    <row r="84" spans="1:5" x14ac:dyDescent="0.3">
      <c r="A84" s="229"/>
      <c r="B84" s="230" t="s">
        <v>1116</v>
      </c>
      <c r="C84" s="227"/>
      <c r="D84" s="227"/>
      <c r="E84" s="227"/>
    </row>
    <row r="85" spans="1:5" x14ac:dyDescent="0.3">
      <c r="A85" s="229" t="s">
        <v>1117</v>
      </c>
      <c r="B85" s="231" t="s">
        <v>1118</v>
      </c>
      <c r="C85" s="232" t="s">
        <v>91</v>
      </c>
      <c r="D85" s="233"/>
      <c r="E85" s="233"/>
    </row>
    <row r="86" spans="1:5" x14ac:dyDescent="0.3">
      <c r="A86" s="229" t="s">
        <v>1119</v>
      </c>
      <c r="B86" s="231" t="s">
        <v>981</v>
      </c>
      <c r="C86" s="232" t="s">
        <v>91</v>
      </c>
      <c r="D86" s="233"/>
      <c r="E86" s="233"/>
    </row>
    <row r="87" spans="1:5" x14ac:dyDescent="0.3">
      <c r="A87" s="229" t="s">
        <v>1120</v>
      </c>
      <c r="B87" s="231" t="s">
        <v>983</v>
      </c>
      <c r="C87" s="232" t="s">
        <v>91</v>
      </c>
      <c r="D87" s="233"/>
      <c r="E87" s="233"/>
    </row>
    <row r="88" spans="1:5" x14ac:dyDescent="0.3">
      <c r="A88" s="229" t="s">
        <v>1121</v>
      </c>
      <c r="B88" s="231" t="s">
        <v>1122</v>
      </c>
      <c r="C88" s="232" t="s">
        <v>91</v>
      </c>
      <c r="D88" s="233"/>
      <c r="E88" s="233"/>
    </row>
    <row r="89" spans="1:5" x14ac:dyDescent="0.3">
      <c r="A89" s="229" t="s">
        <v>1123</v>
      </c>
      <c r="B89" s="231" t="s">
        <v>1124</v>
      </c>
      <c r="C89" s="232" t="s">
        <v>91</v>
      </c>
      <c r="D89" s="233"/>
      <c r="E89" s="233"/>
    </row>
    <row r="90" spans="1:5" x14ac:dyDescent="0.3">
      <c r="A90" s="229" t="s">
        <v>1125</v>
      </c>
      <c r="B90" s="231" t="s">
        <v>1126</v>
      </c>
      <c r="C90" s="232" t="s">
        <v>91</v>
      </c>
      <c r="D90" s="233"/>
      <c r="E90" s="233"/>
    </row>
    <row r="91" spans="1:5" x14ac:dyDescent="0.3">
      <c r="A91" s="229" t="s">
        <v>1127</v>
      </c>
      <c r="B91" s="231" t="s">
        <v>999</v>
      </c>
      <c r="C91" s="232" t="s">
        <v>91</v>
      </c>
      <c r="D91" s="233"/>
      <c r="E91" s="233"/>
    </row>
    <row r="92" spans="1:5" x14ac:dyDescent="0.3">
      <c r="A92" s="229" t="s">
        <v>1128</v>
      </c>
      <c r="B92" s="231" t="s">
        <v>1001</v>
      </c>
      <c r="C92" s="232" t="s">
        <v>91</v>
      </c>
      <c r="D92" s="233"/>
      <c r="E92" s="233"/>
    </row>
    <row r="93" spans="1:5" x14ac:dyDescent="0.3">
      <c r="A93" s="229" t="s">
        <v>1129</v>
      </c>
      <c r="B93" s="231" t="s">
        <v>1130</v>
      </c>
      <c r="C93" s="232" t="s">
        <v>91</v>
      </c>
      <c r="D93" s="233"/>
      <c r="E93" s="233"/>
    </row>
    <row r="94" spans="1:5" x14ac:dyDescent="0.3">
      <c r="A94" s="229" t="s">
        <v>1131</v>
      </c>
      <c r="B94" s="231" t="s">
        <v>1132</v>
      </c>
      <c r="C94" s="232" t="s">
        <v>91</v>
      </c>
      <c r="D94" s="233"/>
      <c r="E94" s="233"/>
    </row>
    <row r="95" spans="1:5" ht="30.15" x14ac:dyDescent="0.3">
      <c r="A95" s="229" t="s">
        <v>1133</v>
      </c>
      <c r="B95" s="231" t="s">
        <v>1134</v>
      </c>
      <c r="C95" s="232" t="s">
        <v>91</v>
      </c>
      <c r="D95" s="233"/>
      <c r="E95" s="233"/>
    </row>
    <row r="96" spans="1:5" x14ac:dyDescent="0.3">
      <c r="A96" s="229" t="s">
        <v>1135</v>
      </c>
      <c r="B96" s="231" t="s">
        <v>1136</v>
      </c>
      <c r="C96" s="232" t="s">
        <v>91</v>
      </c>
      <c r="D96" s="233"/>
      <c r="E96" s="233" t="s">
        <v>1346</v>
      </c>
    </row>
    <row r="97" spans="1:5" x14ac:dyDescent="0.3">
      <c r="A97" s="229" t="s">
        <v>1137</v>
      </c>
      <c r="B97" s="231" t="s">
        <v>1138</v>
      </c>
      <c r="C97" s="232" t="s">
        <v>91</v>
      </c>
      <c r="D97" s="233"/>
      <c r="E97" s="233" t="s">
        <v>1346</v>
      </c>
    </row>
    <row r="98" spans="1:5" x14ac:dyDescent="0.3">
      <c r="A98" s="229" t="s">
        <v>1139</v>
      </c>
      <c r="B98" s="231" t="s">
        <v>1140</v>
      </c>
      <c r="C98" s="232" t="s">
        <v>91</v>
      </c>
      <c r="D98" s="233"/>
      <c r="E98" s="233" t="s">
        <v>1346</v>
      </c>
    </row>
    <row r="99" spans="1:5" x14ac:dyDescent="0.3">
      <c r="A99" s="229" t="s">
        <v>1141</v>
      </c>
      <c r="B99" s="231" t="s">
        <v>1142</v>
      </c>
      <c r="C99" s="232" t="s">
        <v>91</v>
      </c>
      <c r="D99" s="233"/>
      <c r="E99" s="233" t="s">
        <v>1346</v>
      </c>
    </row>
    <row r="100" spans="1:5" x14ac:dyDescent="0.3">
      <c r="A100" s="229" t="s">
        <v>1143</v>
      </c>
      <c r="B100" s="231" t="s">
        <v>1033</v>
      </c>
      <c r="C100" s="232" t="s">
        <v>91</v>
      </c>
      <c r="D100" s="233"/>
      <c r="E100" s="233"/>
    </row>
    <row r="101" spans="1:5" ht="30.15" x14ac:dyDescent="0.3">
      <c r="A101" s="229" t="s">
        <v>1144</v>
      </c>
      <c r="B101" s="231" t="s">
        <v>1145</v>
      </c>
      <c r="C101" s="236" t="s">
        <v>99</v>
      </c>
      <c r="D101" s="233"/>
      <c r="E101" s="237" t="s">
        <v>1343</v>
      </c>
    </row>
    <row r="102" spans="1:5" ht="30.15" x14ac:dyDescent="0.3">
      <c r="A102" s="229" t="s">
        <v>1146</v>
      </c>
      <c r="B102" s="231" t="s">
        <v>1147</v>
      </c>
      <c r="C102" s="236" t="s">
        <v>99</v>
      </c>
      <c r="D102" s="233"/>
      <c r="E102" s="237" t="s">
        <v>1343</v>
      </c>
    </row>
    <row r="103" spans="1:5" ht="30.15" x14ac:dyDescent="0.3">
      <c r="A103" s="229" t="s">
        <v>1148</v>
      </c>
      <c r="B103" s="231" t="s">
        <v>1043</v>
      </c>
      <c r="C103" s="236" t="s">
        <v>99</v>
      </c>
      <c r="D103" s="233"/>
      <c r="E103" s="237" t="s">
        <v>1343</v>
      </c>
    </row>
    <row r="104" spans="1:5" ht="30.15" x14ac:dyDescent="0.3">
      <c r="A104" s="229" t="s">
        <v>1149</v>
      </c>
      <c r="B104" s="231" t="s">
        <v>1150</v>
      </c>
      <c r="C104" s="236" t="s">
        <v>99</v>
      </c>
      <c r="D104" s="233"/>
      <c r="E104" s="237" t="s">
        <v>1343</v>
      </c>
    </row>
    <row r="105" spans="1:5" ht="30.15" x14ac:dyDescent="0.3">
      <c r="A105" s="229" t="s">
        <v>1151</v>
      </c>
      <c r="B105" s="231" t="s">
        <v>1047</v>
      </c>
      <c r="C105" s="236" t="s">
        <v>99</v>
      </c>
      <c r="D105" s="233"/>
      <c r="E105" s="237" t="s">
        <v>1343</v>
      </c>
    </row>
    <row r="106" spans="1:5" ht="30.15" x14ac:dyDescent="0.3">
      <c r="A106" s="229" t="s">
        <v>1152</v>
      </c>
      <c r="B106" s="231" t="s">
        <v>1049</v>
      </c>
      <c r="C106" s="236" t="s">
        <v>99</v>
      </c>
      <c r="D106" s="233"/>
      <c r="E106" s="237" t="s">
        <v>1343</v>
      </c>
    </row>
    <row r="107" spans="1:5" ht="30.15" x14ac:dyDescent="0.3">
      <c r="A107" s="229" t="s">
        <v>1153</v>
      </c>
      <c r="B107" s="231" t="s">
        <v>1154</v>
      </c>
      <c r="C107" s="236" t="s">
        <v>99</v>
      </c>
      <c r="D107" s="233"/>
      <c r="E107" s="237" t="s">
        <v>1344</v>
      </c>
    </row>
    <row r="108" spans="1:5" ht="30.15" x14ac:dyDescent="0.3">
      <c r="A108" s="229" t="s">
        <v>1155</v>
      </c>
      <c r="B108" s="231" t="s">
        <v>1053</v>
      </c>
      <c r="C108" s="236" t="s">
        <v>99</v>
      </c>
      <c r="D108" s="233"/>
      <c r="E108" s="237" t="s">
        <v>1344</v>
      </c>
    </row>
    <row r="109" spans="1:5" ht="30.15" x14ac:dyDescent="0.3">
      <c r="A109" s="229" t="s">
        <v>1156</v>
      </c>
      <c r="B109" s="231" t="s">
        <v>1157</v>
      </c>
      <c r="C109" s="236" t="s">
        <v>99</v>
      </c>
      <c r="D109" s="233"/>
      <c r="E109" s="237" t="s">
        <v>1344</v>
      </c>
    </row>
    <row r="110" spans="1:5" x14ac:dyDescent="0.3">
      <c r="A110" s="229" t="s">
        <v>1158</v>
      </c>
      <c r="B110" s="231" t="s">
        <v>1159</v>
      </c>
      <c r="C110" s="232" t="s">
        <v>91</v>
      </c>
      <c r="D110" s="233"/>
      <c r="E110" s="233"/>
    </row>
    <row r="111" spans="1:5" x14ac:dyDescent="0.3">
      <c r="A111" s="229" t="s">
        <v>1160</v>
      </c>
      <c r="B111" s="231" t="s">
        <v>1161</v>
      </c>
      <c r="C111" s="232" t="s">
        <v>91</v>
      </c>
      <c r="D111" s="233"/>
      <c r="E111" s="233"/>
    </row>
    <row r="112" spans="1:5" x14ac:dyDescent="0.3">
      <c r="A112" s="229" t="s">
        <v>1162</v>
      </c>
      <c r="B112" s="231" t="s">
        <v>1063</v>
      </c>
      <c r="C112" s="232" t="s">
        <v>91</v>
      </c>
      <c r="D112" s="233"/>
      <c r="E112" s="233"/>
    </row>
    <row r="113" spans="1:5" x14ac:dyDescent="0.3">
      <c r="A113" s="229" t="s">
        <v>1163</v>
      </c>
      <c r="B113" s="231" t="s">
        <v>1164</v>
      </c>
      <c r="C113" s="232" t="s">
        <v>91</v>
      </c>
      <c r="D113" s="233"/>
      <c r="E113" s="233"/>
    </row>
    <row r="114" spans="1:5" x14ac:dyDescent="0.3">
      <c r="A114" s="229" t="s">
        <v>1165</v>
      </c>
      <c r="B114" s="231" t="s">
        <v>1166</v>
      </c>
      <c r="C114" s="232" t="s">
        <v>91</v>
      </c>
      <c r="D114" s="233"/>
      <c r="E114" s="233"/>
    </row>
    <row r="115" spans="1:5" x14ac:dyDescent="0.3">
      <c r="A115" s="229" t="s">
        <v>1167</v>
      </c>
      <c r="B115" s="231" t="s">
        <v>1069</v>
      </c>
      <c r="C115" s="232" t="s">
        <v>91</v>
      </c>
      <c r="D115" s="233"/>
      <c r="E115" s="233"/>
    </row>
    <row r="116" spans="1:5" x14ac:dyDescent="0.3">
      <c r="A116" s="229" t="s">
        <v>1168</v>
      </c>
      <c r="B116" s="231" t="s">
        <v>1169</v>
      </c>
      <c r="C116" s="232" t="s">
        <v>91</v>
      </c>
      <c r="D116" s="233"/>
      <c r="E116" s="233"/>
    </row>
    <row r="117" spans="1:5" x14ac:dyDescent="0.3">
      <c r="A117" s="229" t="s">
        <v>1170</v>
      </c>
      <c r="B117" s="231" t="s">
        <v>1171</v>
      </c>
      <c r="C117" s="232" t="s">
        <v>91</v>
      </c>
      <c r="D117" s="233"/>
      <c r="E117" s="233"/>
    </row>
    <row r="118" spans="1:5" x14ac:dyDescent="0.3">
      <c r="A118" s="229" t="s">
        <v>1172</v>
      </c>
      <c r="B118" s="231" t="s">
        <v>1077</v>
      </c>
      <c r="C118" s="232" t="s">
        <v>91</v>
      </c>
      <c r="D118" s="233"/>
      <c r="E118" s="233"/>
    </row>
    <row r="119" spans="1:5" x14ac:dyDescent="0.3">
      <c r="A119" s="229" t="s">
        <v>1173</v>
      </c>
      <c r="B119" s="231" t="s">
        <v>1079</v>
      </c>
      <c r="C119" s="232" t="s">
        <v>91</v>
      </c>
      <c r="D119" s="233"/>
      <c r="E119" s="233"/>
    </row>
    <row r="120" spans="1:5" x14ac:dyDescent="0.3">
      <c r="A120" s="229" t="s">
        <v>1174</v>
      </c>
      <c r="B120" s="231" t="s">
        <v>1175</v>
      </c>
      <c r="C120" s="232" t="s">
        <v>91</v>
      </c>
      <c r="D120" s="233"/>
      <c r="E120" s="233"/>
    </row>
    <row r="121" spans="1:5" x14ac:dyDescent="0.3">
      <c r="A121" s="229" t="s">
        <v>1176</v>
      </c>
      <c r="B121" s="231" t="s">
        <v>1177</v>
      </c>
      <c r="C121" s="232" t="s">
        <v>91</v>
      </c>
      <c r="D121" s="233"/>
      <c r="E121" s="233"/>
    </row>
    <row r="122" spans="1:5" x14ac:dyDescent="0.3">
      <c r="A122" s="229" t="s">
        <v>1178</v>
      </c>
      <c r="B122" s="231" t="s">
        <v>1179</v>
      </c>
      <c r="C122" s="232" t="s">
        <v>91</v>
      </c>
      <c r="D122" s="233"/>
      <c r="E122" s="233"/>
    </row>
    <row r="123" spans="1:5" x14ac:dyDescent="0.3">
      <c r="A123" s="229" t="s">
        <v>1180</v>
      </c>
      <c r="B123" s="231" t="s">
        <v>1181</v>
      </c>
      <c r="C123" s="232" t="s">
        <v>91</v>
      </c>
      <c r="D123" s="233"/>
      <c r="E123" s="233"/>
    </row>
    <row r="124" spans="1:5" x14ac:dyDescent="0.3">
      <c r="A124" s="229" t="s">
        <v>1182</v>
      </c>
      <c r="B124" s="231" t="s">
        <v>1089</v>
      </c>
      <c r="C124" s="232" t="s">
        <v>91</v>
      </c>
      <c r="D124" s="233"/>
      <c r="E124" s="233"/>
    </row>
    <row r="125" spans="1:5" ht="30.15" x14ac:dyDescent="0.3">
      <c r="A125" s="229" t="s">
        <v>1183</v>
      </c>
      <c r="B125" s="231" t="s">
        <v>1093</v>
      </c>
      <c r="C125" s="234" t="s">
        <v>124</v>
      </c>
      <c r="D125" s="233"/>
      <c r="E125" s="233"/>
    </row>
    <row r="126" spans="1:5" x14ac:dyDescent="0.3">
      <c r="A126" s="229" t="s">
        <v>1184</v>
      </c>
      <c r="B126" s="231" t="s">
        <v>1097</v>
      </c>
      <c r="C126" s="232" t="s">
        <v>91</v>
      </c>
      <c r="D126" s="233"/>
      <c r="E126" s="233"/>
    </row>
    <row r="127" spans="1:5" x14ac:dyDescent="0.3">
      <c r="A127" s="229" t="s">
        <v>1185</v>
      </c>
      <c r="B127" s="231" t="s">
        <v>1099</v>
      </c>
      <c r="C127" s="232" t="s">
        <v>91</v>
      </c>
      <c r="D127" s="233"/>
      <c r="E127" s="233"/>
    </row>
    <row r="128" spans="1:5" x14ac:dyDescent="0.3">
      <c r="A128" s="229" t="s">
        <v>1186</v>
      </c>
      <c r="B128" s="231" t="s">
        <v>1187</v>
      </c>
      <c r="C128" s="232" t="s">
        <v>91</v>
      </c>
      <c r="D128" s="233"/>
      <c r="E128" s="233"/>
    </row>
    <row r="129" spans="1:5" x14ac:dyDescent="0.3">
      <c r="A129" s="229" t="s">
        <v>1188</v>
      </c>
      <c r="B129" s="231" t="s">
        <v>1109</v>
      </c>
      <c r="C129" s="232" t="s">
        <v>91</v>
      </c>
      <c r="D129" s="233"/>
      <c r="E129" s="233"/>
    </row>
    <row r="130" spans="1:5" x14ac:dyDescent="0.3">
      <c r="A130" s="229" t="s">
        <v>1189</v>
      </c>
      <c r="B130" s="231" t="s">
        <v>1190</v>
      </c>
      <c r="C130" s="232" t="s">
        <v>91</v>
      </c>
      <c r="D130" s="233"/>
      <c r="E130" s="233"/>
    </row>
    <row r="131" spans="1:5" ht="30.15" x14ac:dyDescent="0.3">
      <c r="A131" s="229" t="s">
        <v>1191</v>
      </c>
      <c r="B131" s="231" t="s">
        <v>1192</v>
      </c>
      <c r="C131" s="236" t="s">
        <v>99</v>
      </c>
      <c r="D131" s="233"/>
      <c r="E131" s="237" t="s">
        <v>1347</v>
      </c>
    </row>
    <row r="132" spans="1:5" x14ac:dyDescent="0.3">
      <c r="A132" s="229" t="s">
        <v>1193</v>
      </c>
      <c r="B132" s="230" t="s">
        <v>1194</v>
      </c>
      <c r="C132" s="227"/>
      <c r="D132" s="227"/>
      <c r="E132" s="227"/>
    </row>
    <row r="133" spans="1:5" x14ac:dyDescent="0.3">
      <c r="A133" s="229"/>
      <c r="B133" s="230" t="s">
        <v>1195</v>
      </c>
      <c r="C133" s="227"/>
      <c r="D133" s="227"/>
      <c r="E133" s="227"/>
    </row>
    <row r="134" spans="1:5" x14ac:dyDescent="0.3">
      <c r="A134" s="229" t="s">
        <v>1196</v>
      </c>
      <c r="B134" s="231" t="s">
        <v>1197</v>
      </c>
      <c r="C134" s="232" t="s">
        <v>91</v>
      </c>
      <c r="D134" s="225"/>
      <c r="E134" s="225"/>
    </row>
    <row r="135" spans="1:5" x14ac:dyDescent="0.3">
      <c r="A135" s="229" t="s">
        <v>1198</v>
      </c>
      <c r="B135" s="231" t="s">
        <v>1199</v>
      </c>
      <c r="C135" s="232" t="s">
        <v>91</v>
      </c>
      <c r="D135" s="225"/>
      <c r="E135" s="225"/>
    </row>
    <row r="136" spans="1:5" x14ac:dyDescent="0.3">
      <c r="A136" s="229" t="s">
        <v>1200</v>
      </c>
      <c r="B136" s="231" t="s">
        <v>1199</v>
      </c>
      <c r="C136" s="232" t="s">
        <v>91</v>
      </c>
      <c r="D136" s="225"/>
      <c r="E136" s="225"/>
    </row>
    <row r="137" spans="1:5" x14ac:dyDescent="0.3">
      <c r="A137" s="229" t="s">
        <v>1201</v>
      </c>
      <c r="B137" s="231" t="s">
        <v>981</v>
      </c>
      <c r="C137" s="232" t="s">
        <v>91</v>
      </c>
      <c r="D137" s="225"/>
      <c r="E137" s="225"/>
    </row>
    <row r="138" spans="1:5" x14ac:dyDescent="0.3">
      <c r="A138" s="229" t="s">
        <v>1202</v>
      </c>
      <c r="B138" s="231" t="s">
        <v>983</v>
      </c>
      <c r="C138" s="232" t="s">
        <v>91</v>
      </c>
      <c r="D138" s="225"/>
      <c r="E138" s="225"/>
    </row>
    <row r="139" spans="1:5" x14ac:dyDescent="0.3">
      <c r="A139" s="229" t="s">
        <v>1203</v>
      </c>
      <c r="B139" s="231" t="s">
        <v>985</v>
      </c>
      <c r="C139" s="232" t="s">
        <v>91</v>
      </c>
      <c r="D139" s="225"/>
      <c r="E139" s="225"/>
    </row>
    <row r="140" spans="1:5" x14ac:dyDescent="0.3">
      <c r="A140" s="229" t="s">
        <v>1204</v>
      </c>
      <c r="B140" s="231" t="s">
        <v>1205</v>
      </c>
      <c r="C140" s="232" t="s">
        <v>91</v>
      </c>
      <c r="D140" s="225"/>
      <c r="E140" s="225"/>
    </row>
    <row r="141" spans="1:5" x14ac:dyDescent="0.3">
      <c r="A141" s="229" t="s">
        <v>1206</v>
      </c>
      <c r="B141" s="231" t="s">
        <v>1207</v>
      </c>
      <c r="C141" s="232" t="s">
        <v>91</v>
      </c>
      <c r="D141" s="225"/>
      <c r="E141" s="225"/>
    </row>
    <row r="142" spans="1:5" x14ac:dyDescent="0.3">
      <c r="A142" s="229" t="s">
        <v>1208</v>
      </c>
      <c r="B142" s="231" t="s">
        <v>1130</v>
      </c>
      <c r="C142" s="232" t="s">
        <v>91</v>
      </c>
      <c r="D142" s="225"/>
      <c r="E142" s="225"/>
    </row>
    <row r="143" spans="1:5" x14ac:dyDescent="0.3">
      <c r="A143" s="229" t="s">
        <v>1209</v>
      </c>
      <c r="B143" s="231" t="s">
        <v>1210</v>
      </c>
      <c r="C143" s="232" t="s">
        <v>91</v>
      </c>
      <c r="D143" s="225"/>
      <c r="E143" s="225"/>
    </row>
    <row r="144" spans="1:5" x14ac:dyDescent="0.3">
      <c r="A144" s="229" t="s">
        <v>1211</v>
      </c>
      <c r="B144" s="231" t="s">
        <v>1212</v>
      </c>
      <c r="C144" s="232" t="s">
        <v>91</v>
      </c>
      <c r="D144" s="225"/>
      <c r="E144" s="225"/>
    </row>
    <row r="145" spans="1:5" x14ac:dyDescent="0.3">
      <c r="A145" s="229" t="s">
        <v>1213</v>
      </c>
      <c r="B145" s="231" t="s">
        <v>1142</v>
      </c>
      <c r="C145" s="232" t="s">
        <v>91</v>
      </c>
      <c r="D145" s="225"/>
      <c r="E145" s="225"/>
    </row>
    <row r="146" spans="1:5" x14ac:dyDescent="0.3">
      <c r="A146" s="229" t="s">
        <v>1214</v>
      </c>
      <c r="B146" s="231" t="s">
        <v>1215</v>
      </c>
      <c r="C146" s="232" t="s">
        <v>91</v>
      </c>
      <c r="D146" s="225"/>
      <c r="E146" s="225"/>
    </row>
    <row r="147" spans="1:5" x14ac:dyDescent="0.3">
      <c r="A147" s="229" t="s">
        <v>1216</v>
      </c>
      <c r="B147" s="231" t="s">
        <v>1217</v>
      </c>
      <c r="C147" s="234" t="s">
        <v>124</v>
      </c>
      <c r="D147" s="225"/>
      <c r="E147" s="225"/>
    </row>
    <row r="148" spans="1:5" x14ac:dyDescent="0.3">
      <c r="A148" s="229" t="s">
        <v>1218</v>
      </c>
      <c r="B148" s="231" t="s">
        <v>1219</v>
      </c>
      <c r="C148" s="236" t="s">
        <v>99</v>
      </c>
      <c r="D148" s="225"/>
      <c r="E148" s="225"/>
    </row>
    <row r="149" spans="1:5" ht="30.15" x14ac:dyDescent="0.3">
      <c r="A149" s="229" t="s">
        <v>1220</v>
      </c>
      <c r="B149" s="231" t="s">
        <v>1150</v>
      </c>
      <c r="C149" s="236" t="s">
        <v>99</v>
      </c>
      <c r="D149" s="225"/>
      <c r="E149" s="225"/>
    </row>
    <row r="150" spans="1:5" ht="30.15" x14ac:dyDescent="0.3">
      <c r="A150" s="229" t="s">
        <v>1221</v>
      </c>
      <c r="B150" s="231" t="s">
        <v>1222</v>
      </c>
      <c r="C150" s="232" t="s">
        <v>91</v>
      </c>
      <c r="D150" s="225"/>
      <c r="E150" s="225"/>
    </row>
    <row r="151" spans="1:5" ht="45.2" x14ac:dyDescent="0.3">
      <c r="A151" s="229" t="s">
        <v>1223</v>
      </c>
      <c r="B151" s="231" t="s">
        <v>1224</v>
      </c>
      <c r="C151" s="236" t="s">
        <v>99</v>
      </c>
      <c r="D151" s="225"/>
      <c r="E151" s="224" t="s">
        <v>1348</v>
      </c>
    </row>
    <row r="152" spans="1:5" x14ac:dyDescent="0.3">
      <c r="A152" s="229" t="s">
        <v>1225</v>
      </c>
      <c r="B152" s="231" t="s">
        <v>1226</v>
      </c>
      <c r="C152" s="232" t="s">
        <v>91</v>
      </c>
      <c r="D152" s="225"/>
      <c r="E152" s="225"/>
    </row>
    <row r="153" spans="1:5" x14ac:dyDescent="0.3">
      <c r="A153" s="229" t="s">
        <v>1227</v>
      </c>
      <c r="B153" s="231" t="s">
        <v>1228</v>
      </c>
      <c r="C153" s="232" t="s">
        <v>91</v>
      </c>
      <c r="D153" s="225"/>
      <c r="E153" s="225"/>
    </row>
    <row r="154" spans="1:5" x14ac:dyDescent="0.3">
      <c r="A154" s="229" t="s">
        <v>1229</v>
      </c>
      <c r="B154" s="231" t="s">
        <v>1230</v>
      </c>
      <c r="C154" s="232" t="s">
        <v>91</v>
      </c>
      <c r="D154" s="225"/>
      <c r="E154" s="225"/>
    </row>
    <row r="155" spans="1:5" x14ac:dyDescent="0.3">
      <c r="A155" s="229" t="s">
        <v>1231</v>
      </c>
      <c r="B155" s="231" t="s">
        <v>1232</v>
      </c>
      <c r="C155" s="232" t="s">
        <v>91</v>
      </c>
      <c r="D155" s="225"/>
      <c r="E155" s="225"/>
    </row>
    <row r="156" spans="1:5" x14ac:dyDescent="0.3">
      <c r="A156" s="229" t="s">
        <v>1233</v>
      </c>
      <c r="B156" s="231" t="s">
        <v>1234</v>
      </c>
      <c r="C156" s="232" t="s">
        <v>91</v>
      </c>
      <c r="D156" s="225"/>
      <c r="E156" s="225"/>
    </row>
    <row r="157" spans="1:5" ht="30.15" x14ac:dyDescent="0.3">
      <c r="A157" s="229" t="s">
        <v>1235</v>
      </c>
      <c r="B157" s="231" t="s">
        <v>1236</v>
      </c>
      <c r="C157" s="234" t="s">
        <v>124</v>
      </c>
      <c r="D157" s="225"/>
      <c r="E157" s="225"/>
    </row>
    <row r="158" spans="1:5" ht="30.15" x14ac:dyDescent="0.3">
      <c r="A158" s="229" t="s">
        <v>1237</v>
      </c>
      <c r="B158" s="231" t="s">
        <v>1238</v>
      </c>
      <c r="C158" s="232" t="s">
        <v>91</v>
      </c>
      <c r="D158" s="225"/>
      <c r="E158" s="225"/>
    </row>
    <row r="159" spans="1:5" ht="30.15" x14ac:dyDescent="0.3">
      <c r="A159" s="229" t="s">
        <v>1239</v>
      </c>
      <c r="B159" s="231" t="s">
        <v>1192</v>
      </c>
      <c r="C159" s="236" t="s">
        <v>99</v>
      </c>
      <c r="D159" s="225"/>
      <c r="E159" s="238" t="s">
        <v>1347</v>
      </c>
    </row>
    <row r="160" spans="1:5" x14ac:dyDescent="0.3">
      <c r="A160" s="229" t="s">
        <v>1240</v>
      </c>
      <c r="B160" s="230" t="s">
        <v>1241</v>
      </c>
      <c r="C160" s="227"/>
      <c r="D160" s="227"/>
      <c r="E160" s="227"/>
    </row>
    <row r="161" spans="1:5" x14ac:dyDescent="0.3">
      <c r="A161" s="229"/>
      <c r="B161" s="230" t="s">
        <v>1242</v>
      </c>
      <c r="C161" s="227"/>
      <c r="D161" s="227"/>
      <c r="E161" s="227"/>
    </row>
    <row r="162" spans="1:5" x14ac:dyDescent="0.3">
      <c r="A162" s="229" t="s">
        <v>1243</v>
      </c>
      <c r="B162" s="231" t="s">
        <v>1244</v>
      </c>
      <c r="C162" s="232" t="s">
        <v>91</v>
      </c>
      <c r="D162" s="225"/>
      <c r="E162" s="225"/>
    </row>
    <row r="163" spans="1:5" x14ac:dyDescent="0.3">
      <c r="A163" s="229" t="s">
        <v>1245</v>
      </c>
      <c r="B163" s="231" t="s">
        <v>975</v>
      </c>
      <c r="C163" s="232" t="s">
        <v>91</v>
      </c>
      <c r="D163" s="225"/>
      <c r="E163" s="225"/>
    </row>
    <row r="164" spans="1:5" x14ac:dyDescent="0.3">
      <c r="A164" s="229" t="s">
        <v>1246</v>
      </c>
      <c r="B164" s="231" t="s">
        <v>1247</v>
      </c>
      <c r="C164" s="232" t="s">
        <v>91</v>
      </c>
      <c r="D164" s="225"/>
      <c r="E164" s="225"/>
    </row>
    <row r="165" spans="1:5" ht="30.15" x14ac:dyDescent="0.3">
      <c r="A165" s="229" t="s">
        <v>1248</v>
      </c>
      <c r="B165" s="231" t="s">
        <v>979</v>
      </c>
      <c r="C165" s="232" t="s">
        <v>91</v>
      </c>
      <c r="D165" s="225"/>
      <c r="E165" s="225"/>
    </row>
    <row r="166" spans="1:5" x14ac:dyDescent="0.3">
      <c r="A166" s="229" t="s">
        <v>1249</v>
      </c>
      <c r="B166" s="231" t="s">
        <v>981</v>
      </c>
      <c r="C166" s="232" t="s">
        <v>91</v>
      </c>
      <c r="D166" s="225"/>
      <c r="E166" s="225"/>
    </row>
    <row r="167" spans="1:5" x14ac:dyDescent="0.3">
      <c r="A167" s="229" t="s">
        <v>1250</v>
      </c>
      <c r="B167" s="231" t="s">
        <v>1251</v>
      </c>
      <c r="C167" s="232" t="s">
        <v>91</v>
      </c>
      <c r="D167" s="225"/>
      <c r="E167" s="225"/>
    </row>
    <row r="168" spans="1:5" x14ac:dyDescent="0.3">
      <c r="A168" s="229" t="s">
        <v>1252</v>
      </c>
      <c r="B168" s="231" t="s">
        <v>1253</v>
      </c>
      <c r="C168" s="232" t="s">
        <v>91</v>
      </c>
      <c r="D168" s="225"/>
      <c r="E168" s="225"/>
    </row>
    <row r="169" spans="1:5" ht="30.15" x14ac:dyDescent="0.3">
      <c r="A169" s="229" t="s">
        <v>1254</v>
      </c>
      <c r="B169" s="231" t="s">
        <v>1007</v>
      </c>
      <c r="C169" s="232" t="s">
        <v>91</v>
      </c>
      <c r="D169" s="225"/>
      <c r="E169" s="225"/>
    </row>
    <row r="170" spans="1:5" x14ac:dyDescent="0.3">
      <c r="A170" s="229" t="s">
        <v>1255</v>
      </c>
      <c r="B170" s="231" t="s">
        <v>1021</v>
      </c>
      <c r="C170" s="232" t="s">
        <v>91</v>
      </c>
      <c r="D170" s="225"/>
      <c r="E170" s="225"/>
    </row>
    <row r="171" spans="1:5" x14ac:dyDescent="0.3">
      <c r="A171" s="229" t="s">
        <v>1256</v>
      </c>
      <c r="B171" s="231" t="s">
        <v>1025</v>
      </c>
      <c r="C171" s="232" t="s">
        <v>91</v>
      </c>
      <c r="D171" s="225"/>
      <c r="E171" s="225"/>
    </row>
    <row r="172" spans="1:5" ht="30.15" x14ac:dyDescent="0.3">
      <c r="A172" s="229" t="s">
        <v>1257</v>
      </c>
      <c r="B172" s="231" t="s">
        <v>1217</v>
      </c>
      <c r="C172" s="236" t="s">
        <v>99</v>
      </c>
      <c r="D172" s="225"/>
      <c r="E172" s="238" t="s">
        <v>1349</v>
      </c>
    </row>
    <row r="173" spans="1:5" x14ac:dyDescent="0.3">
      <c r="A173" s="229" t="s">
        <v>1258</v>
      </c>
      <c r="B173" s="231" t="s">
        <v>1029</v>
      </c>
      <c r="C173" s="232" t="s">
        <v>91</v>
      </c>
      <c r="D173" s="225"/>
      <c r="E173" s="225"/>
    </row>
    <row r="174" spans="1:5" ht="30.15" x14ac:dyDescent="0.3">
      <c r="A174" s="229" t="s">
        <v>1259</v>
      </c>
      <c r="B174" s="231" t="s">
        <v>1260</v>
      </c>
      <c r="C174" s="232" t="s">
        <v>91</v>
      </c>
      <c r="D174" s="225"/>
      <c r="E174" s="225"/>
    </row>
    <row r="175" spans="1:5" x14ac:dyDescent="0.3">
      <c r="A175" s="229" t="s">
        <v>1261</v>
      </c>
      <c r="B175" s="231" t="s">
        <v>1083</v>
      </c>
      <c r="C175" s="232" t="s">
        <v>91</v>
      </c>
      <c r="D175" s="225"/>
      <c r="E175" s="225"/>
    </row>
    <row r="176" spans="1:5" ht="30.15" x14ac:dyDescent="0.3">
      <c r="A176" s="229" t="s">
        <v>1262</v>
      </c>
      <c r="B176" s="231" t="s">
        <v>1093</v>
      </c>
      <c r="C176" s="234" t="s">
        <v>124</v>
      </c>
      <c r="D176" s="225"/>
      <c r="E176" s="225"/>
    </row>
    <row r="177" spans="1:5" ht="30.15" x14ac:dyDescent="0.3">
      <c r="A177" s="229" t="s">
        <v>1263</v>
      </c>
      <c r="B177" s="231" t="s">
        <v>1264</v>
      </c>
      <c r="C177" s="236" t="s">
        <v>99</v>
      </c>
      <c r="D177" s="225"/>
      <c r="E177" s="238" t="s">
        <v>1349</v>
      </c>
    </row>
    <row r="178" spans="1:5" x14ac:dyDescent="0.3">
      <c r="A178" s="229" t="s">
        <v>1265</v>
      </c>
      <c r="B178" s="231" t="s">
        <v>1190</v>
      </c>
      <c r="C178" s="232" t="s">
        <v>91</v>
      </c>
      <c r="D178" s="225"/>
      <c r="E178" s="225"/>
    </row>
    <row r="179" spans="1:5" ht="30.15" x14ac:dyDescent="0.3">
      <c r="A179" s="229" t="s">
        <v>1266</v>
      </c>
      <c r="B179" s="231" t="s">
        <v>1267</v>
      </c>
      <c r="C179" s="236" t="s">
        <v>99</v>
      </c>
      <c r="D179" s="225"/>
      <c r="E179" s="238" t="s">
        <v>1347</v>
      </c>
    </row>
    <row r="180" spans="1:5" ht="30.15" x14ac:dyDescent="0.3">
      <c r="A180" s="229" t="s">
        <v>1268</v>
      </c>
      <c r="B180" s="231" t="s">
        <v>1269</v>
      </c>
      <c r="C180" s="236" t="s">
        <v>99</v>
      </c>
      <c r="D180" s="225"/>
      <c r="E180" s="238" t="s">
        <v>1347</v>
      </c>
    </row>
    <row r="181" spans="1:5" x14ac:dyDescent="0.3">
      <c r="A181" s="229" t="s">
        <v>1270</v>
      </c>
      <c r="B181" s="230" t="s">
        <v>1271</v>
      </c>
      <c r="C181" s="227"/>
      <c r="D181" s="227"/>
      <c r="E181" s="227"/>
    </row>
    <row r="182" spans="1:5" x14ac:dyDescent="0.3">
      <c r="A182" s="229"/>
      <c r="B182" s="230" t="s">
        <v>1272</v>
      </c>
      <c r="C182" s="227"/>
      <c r="D182" s="227"/>
      <c r="E182" s="227"/>
    </row>
    <row r="183" spans="1:5" x14ac:dyDescent="0.3">
      <c r="A183" s="229" t="s">
        <v>1273</v>
      </c>
      <c r="B183" s="231" t="s">
        <v>1118</v>
      </c>
      <c r="C183" s="232" t="s">
        <v>91</v>
      </c>
      <c r="D183" s="225"/>
      <c r="E183" s="225"/>
    </row>
    <row r="184" spans="1:5" x14ac:dyDescent="0.3">
      <c r="A184" s="229" t="s">
        <v>1274</v>
      </c>
      <c r="B184" s="231" t="s">
        <v>1275</v>
      </c>
      <c r="C184" s="232" t="s">
        <v>91</v>
      </c>
      <c r="D184" s="225"/>
      <c r="E184" s="225"/>
    </row>
    <row r="185" spans="1:5" x14ac:dyDescent="0.3">
      <c r="A185" s="229" t="s">
        <v>1276</v>
      </c>
      <c r="B185" s="231" t="s">
        <v>1277</v>
      </c>
      <c r="C185" s="232" t="s">
        <v>91</v>
      </c>
      <c r="D185" s="225"/>
      <c r="E185" s="225"/>
    </row>
    <row r="186" spans="1:5" x14ac:dyDescent="0.3">
      <c r="A186" s="229" t="s">
        <v>1278</v>
      </c>
      <c r="B186" s="231" t="s">
        <v>985</v>
      </c>
      <c r="C186" s="232" t="s">
        <v>91</v>
      </c>
      <c r="D186" s="225"/>
      <c r="E186" s="225"/>
    </row>
    <row r="187" spans="1:5" x14ac:dyDescent="0.3">
      <c r="A187" s="229" t="s">
        <v>1279</v>
      </c>
      <c r="B187" s="231" t="s">
        <v>997</v>
      </c>
      <c r="C187" s="232" t="s">
        <v>91</v>
      </c>
      <c r="D187" s="225"/>
      <c r="E187" s="225"/>
    </row>
    <row r="188" spans="1:5" x14ac:dyDescent="0.3">
      <c r="A188" s="229" t="s">
        <v>1280</v>
      </c>
      <c r="B188" s="231" t="s">
        <v>1130</v>
      </c>
      <c r="C188" s="232" t="s">
        <v>91</v>
      </c>
      <c r="D188" s="225"/>
      <c r="E188" s="225"/>
    </row>
    <row r="189" spans="1:5" ht="90.35" x14ac:dyDescent="0.3">
      <c r="A189" s="229" t="s">
        <v>1281</v>
      </c>
      <c r="B189" s="231" t="s">
        <v>1011</v>
      </c>
      <c r="C189" s="232" t="s">
        <v>91</v>
      </c>
      <c r="D189" s="225"/>
      <c r="E189" s="224" t="s">
        <v>1339</v>
      </c>
    </row>
    <row r="190" spans="1:5" x14ac:dyDescent="0.3">
      <c r="A190" s="229" t="s">
        <v>1282</v>
      </c>
      <c r="B190" s="231" t="s">
        <v>1283</v>
      </c>
      <c r="C190" s="232" t="s">
        <v>91</v>
      </c>
      <c r="D190" s="225"/>
      <c r="E190" s="225"/>
    </row>
    <row r="191" spans="1:5" x14ac:dyDescent="0.3">
      <c r="A191" s="229" t="s">
        <v>1284</v>
      </c>
      <c r="B191" s="231" t="s">
        <v>1021</v>
      </c>
      <c r="C191" s="232" t="s">
        <v>91</v>
      </c>
      <c r="D191" s="225"/>
      <c r="E191" s="225"/>
    </row>
    <row r="192" spans="1:5" x14ac:dyDescent="0.3">
      <c r="A192" s="229" t="s">
        <v>1285</v>
      </c>
      <c r="B192" s="231" t="s">
        <v>1286</v>
      </c>
      <c r="C192" s="232" t="s">
        <v>91</v>
      </c>
      <c r="D192" s="225"/>
      <c r="E192" s="225"/>
    </row>
    <row r="193" spans="1:5" ht="30.15" x14ac:dyDescent="0.3">
      <c r="A193" s="229" t="s">
        <v>1287</v>
      </c>
      <c r="B193" s="231" t="s">
        <v>1288</v>
      </c>
      <c r="C193" s="236" t="s">
        <v>99</v>
      </c>
      <c r="D193" s="225"/>
      <c r="E193" s="238" t="s">
        <v>1349</v>
      </c>
    </row>
    <row r="194" spans="1:5" x14ac:dyDescent="0.3">
      <c r="A194" s="229" t="s">
        <v>1289</v>
      </c>
      <c r="B194" s="231" t="s">
        <v>1290</v>
      </c>
      <c r="C194" s="232" t="s">
        <v>91</v>
      </c>
      <c r="D194" s="225"/>
      <c r="E194" s="225"/>
    </row>
    <row r="195" spans="1:5" x14ac:dyDescent="0.3">
      <c r="A195" s="229" t="s">
        <v>1291</v>
      </c>
      <c r="B195" s="231" t="s">
        <v>1035</v>
      </c>
      <c r="C195" s="232" t="s">
        <v>91</v>
      </c>
      <c r="D195" s="225"/>
      <c r="E195" s="225"/>
    </row>
    <row r="196" spans="1:5" ht="30.15" x14ac:dyDescent="0.3">
      <c r="A196" s="229" t="s">
        <v>1292</v>
      </c>
      <c r="B196" s="231" t="s">
        <v>1039</v>
      </c>
      <c r="C196" s="236" t="s">
        <v>99</v>
      </c>
      <c r="D196" s="225"/>
      <c r="E196" s="238" t="s">
        <v>1343</v>
      </c>
    </row>
    <row r="197" spans="1:5" x14ac:dyDescent="0.3">
      <c r="A197" s="229" t="s">
        <v>1293</v>
      </c>
      <c r="B197" s="231" t="s">
        <v>1294</v>
      </c>
      <c r="C197" s="232" t="s">
        <v>91</v>
      </c>
      <c r="D197" s="225"/>
      <c r="E197" s="225" t="s">
        <v>1350</v>
      </c>
    </row>
    <row r="198" spans="1:5" ht="30.15" x14ac:dyDescent="0.3">
      <c r="A198" s="229" t="s">
        <v>1295</v>
      </c>
      <c r="B198" s="231" t="s">
        <v>1051</v>
      </c>
      <c r="C198" s="236" t="s">
        <v>99</v>
      </c>
      <c r="D198" s="225"/>
      <c r="E198" s="238" t="s">
        <v>1344</v>
      </c>
    </row>
    <row r="199" spans="1:5" x14ac:dyDescent="0.3">
      <c r="A199" s="229" t="s">
        <v>1296</v>
      </c>
      <c r="B199" s="231" t="s">
        <v>1057</v>
      </c>
      <c r="C199" s="232" t="s">
        <v>91</v>
      </c>
      <c r="D199" s="225"/>
      <c r="E199" s="225"/>
    </row>
    <row r="200" spans="1:5" x14ac:dyDescent="0.3">
      <c r="A200" s="229" t="s">
        <v>1297</v>
      </c>
      <c r="B200" s="231" t="s">
        <v>1067</v>
      </c>
      <c r="C200" s="232" t="s">
        <v>91</v>
      </c>
      <c r="D200" s="225"/>
      <c r="E200" s="225"/>
    </row>
    <row r="201" spans="1:5" x14ac:dyDescent="0.3">
      <c r="A201" s="229" t="s">
        <v>1298</v>
      </c>
      <c r="B201" s="231" t="s">
        <v>1299</v>
      </c>
      <c r="C201" s="232" t="s">
        <v>91</v>
      </c>
      <c r="D201" s="225"/>
      <c r="E201" s="225"/>
    </row>
    <row r="202" spans="1:5" x14ac:dyDescent="0.3">
      <c r="A202" s="229" t="s">
        <v>1300</v>
      </c>
      <c r="B202" s="231" t="s">
        <v>1071</v>
      </c>
      <c r="C202" s="232" t="s">
        <v>91</v>
      </c>
      <c r="D202" s="225"/>
      <c r="E202" s="225"/>
    </row>
    <row r="203" spans="1:5" x14ac:dyDescent="0.3">
      <c r="A203" s="229" t="s">
        <v>1301</v>
      </c>
      <c r="B203" s="231" t="s">
        <v>1171</v>
      </c>
      <c r="C203" s="232" t="s">
        <v>91</v>
      </c>
      <c r="D203" s="225"/>
      <c r="E203" s="225"/>
    </row>
    <row r="204" spans="1:5" x14ac:dyDescent="0.3">
      <c r="A204" s="229" t="s">
        <v>1302</v>
      </c>
      <c r="B204" s="231" t="s">
        <v>1303</v>
      </c>
      <c r="C204" s="232" t="s">
        <v>91</v>
      </c>
      <c r="D204" s="225"/>
      <c r="E204" s="225"/>
    </row>
    <row r="205" spans="1:5" x14ac:dyDescent="0.3">
      <c r="A205" s="229" t="s">
        <v>1304</v>
      </c>
      <c r="B205" s="231" t="s">
        <v>1305</v>
      </c>
      <c r="C205" s="232" t="s">
        <v>91</v>
      </c>
      <c r="D205" s="225"/>
      <c r="E205" s="225"/>
    </row>
    <row r="206" spans="1:5" x14ac:dyDescent="0.3">
      <c r="A206" s="229" t="s">
        <v>1306</v>
      </c>
      <c r="B206" s="231" t="s">
        <v>1091</v>
      </c>
      <c r="C206" s="232" t="s">
        <v>91</v>
      </c>
      <c r="D206" s="225"/>
      <c r="E206" s="225"/>
    </row>
    <row r="207" spans="1:5" ht="30.15" x14ac:dyDescent="0.3">
      <c r="A207" s="229" t="s">
        <v>1307</v>
      </c>
      <c r="B207" s="231" t="s">
        <v>1093</v>
      </c>
      <c r="C207" s="234" t="s">
        <v>124</v>
      </c>
      <c r="D207" s="225"/>
      <c r="E207" s="225"/>
    </row>
    <row r="208" spans="1:5" x14ac:dyDescent="0.3">
      <c r="A208" s="229" t="s">
        <v>1308</v>
      </c>
      <c r="B208" s="231" t="s">
        <v>1101</v>
      </c>
      <c r="C208" s="232" t="s">
        <v>91</v>
      </c>
      <c r="D208" s="225"/>
      <c r="E208" s="225"/>
    </row>
    <row r="209" spans="1:5" x14ac:dyDescent="0.3">
      <c r="A209" s="229" t="s">
        <v>1309</v>
      </c>
      <c r="B209" s="231" t="s">
        <v>1310</v>
      </c>
      <c r="C209" s="232" t="s">
        <v>91</v>
      </c>
      <c r="D209" s="225"/>
      <c r="E209" s="225"/>
    </row>
    <row r="210" spans="1:5" x14ac:dyDescent="0.3">
      <c r="A210" s="229" t="s">
        <v>1311</v>
      </c>
      <c r="B210" s="230" t="s">
        <v>1312</v>
      </c>
      <c r="C210" s="227"/>
      <c r="D210" s="227"/>
      <c r="E210" s="227"/>
    </row>
    <row r="211" spans="1:5" x14ac:dyDescent="0.3">
      <c r="A211" s="229"/>
      <c r="B211" s="230" t="s">
        <v>1313</v>
      </c>
      <c r="C211" s="227"/>
      <c r="D211" s="227"/>
      <c r="E211" s="227"/>
    </row>
    <row r="212" spans="1:5" x14ac:dyDescent="0.3">
      <c r="A212" s="229" t="s">
        <v>1314</v>
      </c>
      <c r="B212" s="231" t="s">
        <v>1315</v>
      </c>
      <c r="C212" s="232" t="s">
        <v>91</v>
      </c>
      <c r="D212" s="225"/>
      <c r="E212" s="225"/>
    </row>
    <row r="213" spans="1:5" x14ac:dyDescent="0.3">
      <c r="A213" s="229" t="s">
        <v>1316</v>
      </c>
      <c r="B213" s="231" t="s">
        <v>981</v>
      </c>
      <c r="C213" s="232" t="s">
        <v>91</v>
      </c>
      <c r="D213" s="225"/>
      <c r="E213" s="225"/>
    </row>
    <row r="214" spans="1:5" x14ac:dyDescent="0.3">
      <c r="A214" s="229" t="s">
        <v>1317</v>
      </c>
      <c r="B214" s="231" t="s">
        <v>983</v>
      </c>
      <c r="C214" s="232" t="s">
        <v>91</v>
      </c>
      <c r="D214" s="225"/>
      <c r="E214" s="225"/>
    </row>
    <row r="215" spans="1:5" x14ac:dyDescent="0.3">
      <c r="A215" s="229" t="s">
        <v>1318</v>
      </c>
      <c r="B215" s="231" t="s">
        <v>1253</v>
      </c>
      <c r="C215" s="232" t="s">
        <v>91</v>
      </c>
      <c r="D215" s="225"/>
      <c r="E215" s="225"/>
    </row>
    <row r="216" spans="1:5" x14ac:dyDescent="0.3">
      <c r="A216" s="229" t="s">
        <v>1319</v>
      </c>
      <c r="B216" s="231" t="s">
        <v>1320</v>
      </c>
      <c r="C216" s="232" t="s">
        <v>91</v>
      </c>
      <c r="D216" s="225"/>
      <c r="E216" s="225"/>
    </row>
    <row r="217" spans="1:5" x14ac:dyDescent="0.3">
      <c r="A217" s="229" t="s">
        <v>1321</v>
      </c>
      <c r="B217" s="231" t="s">
        <v>1322</v>
      </c>
      <c r="C217" s="232" t="s">
        <v>91</v>
      </c>
      <c r="D217" s="225"/>
      <c r="E217" s="22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2.1 Объем проекта и работ</vt:lpstr>
      <vt:lpstr>2.2 Функ. требования</vt:lpstr>
      <vt:lpstr>2.3 Сайзинг</vt:lpstr>
      <vt:lpstr>2.4 Требования к работам (ПНР)</vt:lpstr>
      <vt:lpstr>2.5 Требования к интеграциям</vt:lpstr>
      <vt:lpstr>2.6 Требования к ТП</vt:lpstr>
      <vt:lpstr>2.7 Требования к Поставщику</vt:lpstr>
      <vt:lpstr>2.8 СПРАВОЧНО_Конфигурации HW</vt:lpstr>
      <vt:lpstr>2.9 Соответствие ГОСТ Р 56938</vt:lpstr>
    </vt:vector>
  </TitlesOfParts>
  <Company>ПАО "МегаФон"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Svishchev (ITi)</dc:creator>
  <dc:description/>
  <cp:lastModifiedBy>ashustov</cp:lastModifiedBy>
  <cp:revision>28</cp:revision>
  <dcterms:created xsi:type="dcterms:W3CDTF">2023-10-27T10:43:51Z</dcterms:created>
  <dcterms:modified xsi:type="dcterms:W3CDTF">2026-03-06T11:25:13Z</dcterms:modified>
  <dc:language>ru-RU</dc:language>
</cp:coreProperties>
</file>