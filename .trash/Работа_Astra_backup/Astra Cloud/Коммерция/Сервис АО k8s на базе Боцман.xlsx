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<sst xmlns="http://schemas.openxmlformats.org/spreadsheetml/2006/main" count="36" uniqueCount="35">
  <si>
    <t>кол-во VM</t>
  </si>
  <si>
    <t>РРЦ</t>
  </si>
  <si>
    <t>Типовые конфигурации Master Nod</t>
  </si>
  <si>
    <t>Конфигурация 2</t>
  </si>
  <si>
    <t>vCPU</t>
  </si>
  <si>
    <t>RAM</t>
  </si>
  <si>
    <t>DISK</t>
  </si>
  <si>
    <t>Стоимость,руб. (iaas) без ндс</t>
  </si>
  <si>
    <t>Стоимость,руб. (k8s)</t>
  </si>
  <si>
    <t>Стоимость,руб. (k8s)С НДС</t>
  </si>
  <si>
    <t>Кол-во VM</t>
  </si>
  <si>
    <t>Конфигурация 1</t>
  </si>
  <si>
    <t>Стоимость с учетом маржи АО (1 VM)</t>
  </si>
  <si>
    <t>Скидка в партнера</t>
  </si>
  <si>
    <t>Конфигурация 3</t>
  </si>
  <si>
    <t>RevShare Правообладателя</t>
  </si>
  <si>
    <t>Конфигурация 4</t>
  </si>
  <si>
    <t>RevShare ALSE</t>
  </si>
  <si>
    <t>Цена за 1 ед., руб.</t>
  </si>
  <si>
    <t>Продажа в заказчика</t>
  </si>
  <si>
    <t>Сумма выплат в месяц</t>
  </si>
  <si>
    <t>Цена за 1 ед., руб. для k8s с учетом НДС</t>
  </si>
  <si>
    <t>минус скидка в партнера</t>
  </si>
  <si>
    <t>1 год</t>
  </si>
  <si>
    <t>3 года</t>
  </si>
  <si>
    <t>минус RevShare Правообладателя</t>
  </si>
  <si>
    <t>минус RevShare ALSE</t>
  </si>
  <si>
    <t>Сумма, оставшаяся у АО (всего)</t>
  </si>
  <si>
    <t>Сумма, оставшаяся у АО (на 1 VM)</t>
  </si>
  <si>
    <t>% отклонения от целевой маржи</t>
  </si>
  <si>
    <t>Managed Kubernetes. Zonal Master - small</t>
  </si>
  <si>
    <t>Intel Ice Lake. 100% vCPU</t>
  </si>
  <si>
    <t>8 164,80 ₽</t>
  </si>
  <si>
    <t>Intel Ice Lake. RAM</t>
  </si>
  <si>
    <t>Стандартное сетевое хранилище (HDD)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</si>
</sst>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18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Play"/>
    </font>
    <font>
      <b/>
      <color theme="1"/>
      <name val="Play"/>
    </font>
    <font>
      <color theme="1"/>
      <name val="Play"/>
    </font>
    <font>
      <color rgb="FF000000"/>
      <name val="Arial"/>
    </font>
    <font>
      <b/>
      <color rgb="FF000000"/>
      <name val="Play"/>
    </font>
    <font>
      <color rgb="FF000000"/>
      <name val="Play"/>
    </font>
    <font>
      <color rgb="FF434343"/>
      <name val="Play"/>
    </font>
    <font>
      <color rgb="FF434343"/>
      <name val="Arial"/>
    </font>
    <font>
      <sz val="11.0"/>
      <color rgb="FFCCCCCC"/>
      <name val="Play"/>
    </font>
    <font>
      <color rgb="FFCCCCCC"/>
      <name val="Play"/>
    </font>
    <font>
      <color rgb="FFFF0000"/>
      <name val="Play"/>
    </font>
    <font>
      <sz val="11.0"/>
      <color theme="1"/>
      <name val="Play"/>
    </font>
    <font>
      <b/>
      <color rgb="FFFFFFFF"/>
      <name val="Play"/>
    </font>
    <font>
      <color rgb="FFFFFFFF"/>
      <name val="Play"/>
    </font>
    <font>
      <sz val="11.0"/>
      <color rgb="FF000000"/>
      <name val="YS Text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shrinkToFit="0" vertical="bottom" wrapText="1"/>
    </xf>
    <xf borderId="0" fillId="2" fontId="2" numFmtId="0" xfId="0" applyAlignment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3" numFmtId="164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4" numFmtId="9" xfId="0" applyAlignment="1" applyFont="1" applyNumberFormat="1">
      <alignment horizontal="right" vertical="bottom"/>
    </xf>
    <xf borderId="0" fillId="0" fontId="1" numFmtId="9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3" fontId="6" numFmtId="0" xfId="0" applyAlignment="1" applyFill="1" applyFont="1">
      <alignment horizontal="center" readingOrder="0" vertical="bottom"/>
    </xf>
    <xf borderId="0" fillId="0" fontId="7" numFmtId="0" xfId="0" applyAlignment="1" applyFont="1">
      <alignment vertical="bottom"/>
    </xf>
    <xf borderId="0" fillId="3" fontId="8" numFmtId="2" xfId="0" applyAlignment="1" applyFont="1" applyNumberFormat="1">
      <alignment horizontal="center" vertical="bottom"/>
    </xf>
    <xf borderId="0" fillId="3" fontId="9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3" fontId="8" numFmtId="9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0" numFmtId="0" xfId="0" applyAlignment="1" applyFont="1">
      <alignment horizontal="center" shrinkToFit="0" vertical="bottom" wrapText="1"/>
    </xf>
    <xf borderId="0" fillId="0" fontId="11" numFmtId="0" xfId="0" applyAlignment="1" applyFont="1">
      <alignment horizontal="center" vertical="bottom"/>
    </xf>
    <xf borderId="0" fillId="0" fontId="11" numFmtId="164" xfId="0" applyAlignment="1" applyFont="1" applyNumberFormat="1">
      <alignment horizontal="center" vertical="bottom"/>
    </xf>
    <xf borderId="0" fillId="0" fontId="11" numFmtId="3" xfId="0" applyAlignment="1" applyFont="1" applyNumberFormat="1">
      <alignment horizontal="center" shrinkToFit="0" vertical="bottom" wrapText="1"/>
    </xf>
    <xf borderId="0" fillId="0" fontId="12" numFmtId="0" xfId="0" applyAlignment="1" applyFont="1">
      <alignment vertical="bottom"/>
    </xf>
    <xf borderId="0" fillId="3" fontId="12" numFmtId="4" xfId="0" applyAlignment="1" applyFont="1" applyNumberFormat="1">
      <alignment horizontal="center" vertical="bottom"/>
    </xf>
    <xf borderId="0" fillId="3" fontId="1" numFmtId="0" xfId="0" applyAlignment="1" applyFont="1">
      <alignment vertical="bottom"/>
    </xf>
    <xf borderId="0" fillId="0" fontId="13" numFmtId="0" xfId="0" applyAlignment="1" applyFont="1">
      <alignment horizontal="center" shrinkToFit="0" vertical="bottom" wrapText="1"/>
    </xf>
    <xf borderId="0" fillId="0" fontId="4" numFmtId="164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center" readingOrder="0" shrinkToFit="0" vertical="bottom" wrapText="1"/>
    </xf>
    <xf borderId="0" fillId="0" fontId="4" numFmtId="0" xfId="0" applyAlignment="1" applyFont="1">
      <alignment vertical="bottom"/>
    </xf>
    <xf borderId="0" fillId="3" fontId="4" numFmtId="9" xfId="0" applyAlignment="1" applyFont="1" applyNumberFormat="1">
      <alignment horizontal="center" readingOrder="0" vertical="bottom"/>
    </xf>
    <xf borderId="0" fillId="3" fontId="4" numFmtId="9" xfId="0" applyAlignment="1" applyFont="1" applyNumberFormat="1">
      <alignment horizontal="center" vertical="bottom"/>
    </xf>
    <xf borderId="0" fillId="3" fontId="1" numFmtId="4" xfId="0" applyAlignment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0" fillId="3" fontId="4" numFmtId="164" xfId="0" applyAlignment="1" applyFont="1" applyNumberFormat="1">
      <alignment horizontal="center" vertical="bottom"/>
    </xf>
    <xf borderId="0" fillId="3" fontId="3" numFmtId="0" xfId="0" applyAlignment="1" applyFont="1">
      <alignment horizontal="center" readingOrder="0" vertical="bottom"/>
    </xf>
    <xf borderId="0" fillId="0" fontId="3" numFmtId="0" xfId="0" applyAlignment="1" applyFont="1">
      <alignment shrinkToFit="0" vertical="bottom" wrapText="1"/>
    </xf>
    <xf borderId="0" fillId="0" fontId="11" numFmtId="164" xfId="0" applyAlignment="1" applyFont="1" applyNumberFormat="1">
      <alignment horizontal="right" vertical="bottom"/>
    </xf>
    <xf borderId="0" fillId="3" fontId="12" numFmtId="164" xfId="0" applyAlignment="1" applyFont="1" applyNumberFormat="1">
      <alignment horizontal="center" vertical="bottom"/>
    </xf>
    <xf borderId="0" fillId="3" fontId="4" numFmtId="10" xfId="0" applyAlignment="1" applyFont="1" applyNumberFormat="1">
      <alignment horizontal="center" vertical="bottom"/>
    </xf>
    <xf borderId="0" fillId="0" fontId="14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4" fontId="16" numFmtId="0" xfId="0" applyAlignment="1" applyFill="1" applyFont="1">
      <alignment vertical="bottom"/>
    </xf>
    <xf borderId="0" fillId="4" fontId="17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88"/>
    <col customWidth="1" min="9" max="9" width="22.13"/>
    <col customWidth="1" min="11" max="11" width="19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 t="s">
        <v>0</v>
      </c>
      <c r="K1" s="3">
        <v>3.0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1"/>
      <c r="E2" s="1"/>
      <c r="F2" s="1"/>
      <c r="G2" s="1"/>
      <c r="H2" s="1"/>
      <c r="I2" s="1"/>
      <c r="J2" s="4" t="s">
        <v>1</v>
      </c>
      <c r="K2" s="5">
        <f>F7</f>
        <v>6191.256831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6" t="s">
        <v>2</v>
      </c>
      <c r="B3" s="1"/>
      <c r="C3" s="1"/>
      <c r="D3" s="1"/>
      <c r="E3" s="1"/>
      <c r="F3" s="7">
        <v>0.4</v>
      </c>
      <c r="G3" s="8"/>
      <c r="H3" s="1"/>
      <c r="I3" s="9"/>
      <c r="J3" s="10" t="s">
        <v>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1"/>
      <c r="E4" s="1"/>
      <c r="F4" s="1"/>
      <c r="G4" s="1"/>
      <c r="H4" s="1"/>
      <c r="I4" s="11"/>
      <c r="J4" s="12"/>
      <c r="K4" s="1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4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1"/>
      <c r="J5" s="15"/>
      <c r="K5" s="1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6" t="s">
        <v>11</v>
      </c>
      <c r="B6" s="17">
        <v>2.0</v>
      </c>
      <c r="C6" s="18">
        <v>4.0</v>
      </c>
      <c r="D6" s="18">
        <v>50.0</v>
      </c>
      <c r="E6" s="19">
        <f>((B6*B11)+(C6*C11)+(D6*D11))/1.22</f>
        <v>2062.295082</v>
      </c>
      <c r="F6" s="19">
        <f>E6/(1-F3)</f>
        <v>3437.15847</v>
      </c>
      <c r="G6" s="19">
        <f t="shared" ref="G6:G9" si="1">F6*1.22</f>
        <v>4193.333333</v>
      </c>
      <c r="H6" s="20">
        <f>K1</f>
        <v>3</v>
      </c>
      <c r="I6" s="21" t="s">
        <v>12</v>
      </c>
      <c r="J6" s="22">
        <f>F7</f>
        <v>6191.256831</v>
      </c>
      <c r="K6" s="2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6" t="s">
        <v>3</v>
      </c>
      <c r="B7" s="24">
        <v>4.0</v>
      </c>
      <c r="C7" s="16">
        <v>8.0</v>
      </c>
      <c r="D7" s="16">
        <v>50.0</v>
      </c>
      <c r="E7" s="25">
        <f>((B7*B11)+(C7*C11)+(D7*D11))/1.22</f>
        <v>3714.754098</v>
      </c>
      <c r="F7" s="25">
        <f>E7/(1-F3)</f>
        <v>6191.256831</v>
      </c>
      <c r="G7" s="25">
        <f t="shared" si="1"/>
        <v>7553.333333</v>
      </c>
      <c r="H7" s="26">
        <v>1.0</v>
      </c>
      <c r="I7" s="27" t="s">
        <v>13</v>
      </c>
      <c r="J7" s="28">
        <v>0.3</v>
      </c>
      <c r="K7" s="2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6" t="s">
        <v>14</v>
      </c>
      <c r="B8" s="24">
        <v>8.0</v>
      </c>
      <c r="C8" s="16">
        <v>16.0</v>
      </c>
      <c r="D8" s="16">
        <v>50.0</v>
      </c>
      <c r="E8" s="25">
        <f>((B8*B11)+(C8*C11)+(D8*D11))/1.22</f>
        <v>7019.672131</v>
      </c>
      <c r="F8" s="25">
        <f>E8/(1-F3)</f>
        <v>11699.45355</v>
      </c>
      <c r="G8" s="25">
        <f t="shared" si="1"/>
        <v>14273.33333</v>
      </c>
      <c r="H8" s="26">
        <v>1.0</v>
      </c>
      <c r="I8" s="27" t="s">
        <v>15</v>
      </c>
      <c r="J8" s="29">
        <v>0.2</v>
      </c>
      <c r="K8" s="2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6" t="s">
        <v>16</v>
      </c>
      <c r="B9" s="24">
        <v>16.0</v>
      </c>
      <c r="C9" s="16">
        <v>32.0</v>
      </c>
      <c r="D9" s="16">
        <v>50.0</v>
      </c>
      <c r="E9" s="25">
        <f>((B9*B11)+(C9*C11)+(D9*D11))/1.22</f>
        <v>13629.5082</v>
      </c>
      <c r="F9" s="25">
        <f>E9/(1-F3)</f>
        <v>22715.84699</v>
      </c>
      <c r="G9" s="25">
        <f t="shared" si="1"/>
        <v>27713.33333</v>
      </c>
      <c r="H9" s="26">
        <v>1.0</v>
      </c>
      <c r="I9" s="27" t="s">
        <v>17</v>
      </c>
      <c r="J9" s="29">
        <v>0.04</v>
      </c>
      <c r="K9" s="2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30"/>
      <c r="K10" s="2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6" t="s">
        <v>18</v>
      </c>
      <c r="B11" s="31">
        <v>392.0</v>
      </c>
      <c r="C11" s="31">
        <v>308.0</v>
      </c>
      <c r="D11" s="25">
        <v>10.0</v>
      </c>
      <c r="E11" s="1"/>
      <c r="F11" s="1"/>
      <c r="G11" s="1"/>
      <c r="H11" s="1"/>
      <c r="I11" s="27" t="s">
        <v>19</v>
      </c>
      <c r="J11" s="32">
        <f>K2*K1</f>
        <v>18573.77049</v>
      </c>
      <c r="K11" s="33" t="s">
        <v>20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34" t="s">
        <v>21</v>
      </c>
      <c r="B12" s="31">
        <f>B11/(1-F3)</f>
        <v>653.3333333</v>
      </c>
      <c r="C12" s="31">
        <f>C11/(1-F3)</f>
        <v>513.3333333</v>
      </c>
      <c r="D12" s="25">
        <f>D11/(1-F3)</f>
        <v>16.66666667</v>
      </c>
      <c r="E12" s="35">
        <f>B7*B12+C7*C12+D7*D12</f>
        <v>7553.333333</v>
      </c>
      <c r="F12" s="1"/>
      <c r="G12" s="1"/>
      <c r="H12" s="1"/>
      <c r="I12" s="27" t="s">
        <v>22</v>
      </c>
      <c r="J12" s="32">
        <f>J11*(1-J7)</f>
        <v>13001.63934</v>
      </c>
      <c r="K12" s="32">
        <f t="shared" ref="K12:K13" si="2">J11*J7</f>
        <v>5572.131148</v>
      </c>
      <c r="L12" s="16" t="s">
        <v>23</v>
      </c>
      <c r="M12" s="16" t="s">
        <v>24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1"/>
      <c r="E13" s="1"/>
      <c r="F13" s="1"/>
      <c r="G13" s="1"/>
      <c r="H13" s="1"/>
      <c r="I13" s="27" t="s">
        <v>25</v>
      </c>
      <c r="J13" s="32">
        <f t="shared" ref="J13:J14" si="3">J12-K13</f>
        <v>10401.31148</v>
      </c>
      <c r="K13" s="32">
        <f t="shared" si="2"/>
        <v>2600.327869</v>
      </c>
      <c r="L13" s="25">
        <f>K13*12</f>
        <v>31203.93443</v>
      </c>
      <c r="M13" s="25">
        <f>L13*3</f>
        <v>93611.80328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1"/>
      <c r="E14" s="1"/>
      <c r="F14" s="1"/>
      <c r="G14" s="1"/>
      <c r="H14" s="1"/>
      <c r="I14" s="27" t="s">
        <v>26</v>
      </c>
      <c r="J14" s="32">
        <f t="shared" si="3"/>
        <v>9881.245902</v>
      </c>
      <c r="K14" s="32">
        <f>J12*J9</f>
        <v>520.0655738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23"/>
      <c r="K15" s="2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1"/>
      <c r="E16" s="1"/>
      <c r="F16" s="1"/>
      <c r="G16" s="1"/>
      <c r="H16" s="1"/>
      <c r="I16" s="27" t="s">
        <v>27</v>
      </c>
      <c r="J16" s="32">
        <f>J11-K12-K13-K14</f>
        <v>9881.245902</v>
      </c>
      <c r="K16" s="2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1"/>
      <c r="E17" s="1"/>
      <c r="F17" s="1"/>
      <c r="G17" s="1"/>
      <c r="H17" s="1"/>
      <c r="I17" s="21" t="s">
        <v>28</v>
      </c>
      <c r="J17" s="36">
        <f>J16/K1</f>
        <v>3293.748634</v>
      </c>
      <c r="K17" s="2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"/>
      <c r="E18" s="1"/>
      <c r="F18" s="1"/>
      <c r="G18" s="1"/>
      <c r="H18" s="1"/>
      <c r="I18" s="27" t="s">
        <v>29</v>
      </c>
      <c r="J18" s="37">
        <f>(J17-J6)/J6</f>
        <v>-0.468</v>
      </c>
      <c r="K18" s="2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G22" s="1"/>
      <c r="H22" s="1"/>
      <c r="I22" s="38"/>
      <c r="J22" s="3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"/>
      <c r="H23" s="1"/>
      <c r="I23" s="38"/>
      <c r="J23" s="3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1"/>
      <c r="H24" s="1"/>
      <c r="I24" s="38"/>
      <c r="J24" s="3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1"/>
      <c r="H26" s="1"/>
      <c r="I26" s="40"/>
      <c r="J26" s="3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1"/>
      <c r="I60" s="41" t="s">
        <v>30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1"/>
      <c r="I61" s="42">
        <v>6842.88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41" t="s">
        <v>31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43">
        <v>4.0</v>
      </c>
      <c r="I63" s="41" t="s">
        <v>32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1"/>
      <c r="I64" s="41" t="s">
        <v>33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43">
        <v>8.0</v>
      </c>
      <c r="I65" s="42">
        <v>2177.28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1"/>
      <c r="I66" s="41" t="s">
        <v>34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43">
        <v>100.0</v>
      </c>
      <c r="I67" s="42">
        <v>315.36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1">
    <mergeCell ref="J3:K3"/>
  </mergeCells>
  <drawing r:id="rId1"/>
</worksheet>
</file>