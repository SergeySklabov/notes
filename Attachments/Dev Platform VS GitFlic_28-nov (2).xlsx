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trlProps/ctrlProp1.xml" ContentType="application/vnd.ms-excel.controlproperties+xml"/>
  <Override PartName="/xl/customProperty3.bin" ContentType="application/vnd.openxmlformats-officedocument.spreadsheetml.customProperty"/>
  <Override PartName="/xl/comments1.xml" ContentType="application/vnd.openxmlformats-officedocument.spreadsheetml.comments+xml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/>
  <mc:AlternateContent xmlns:mc="http://schemas.openxmlformats.org/markup-compatibility/2006">
    <mc:Choice Requires="x15">
      <x15ac:absPath xmlns:x15ac="http://schemas.microsoft.com/office/spreadsheetml/2010/11/ac" url="K:\2023 reporting\Valuation\Ad Hoc\2023.10.31 Dev Platform VS GitFlic\"/>
    </mc:Choice>
  </mc:AlternateContent>
  <xr:revisionPtr revIDLastSave="0" documentId="13_ncr:1_{5D1F53D6-99AD-4C01-A01C-62DE622BCE81}" xr6:coauthVersionLast="36" xr6:coauthVersionMax="36" xr10:uidLastSave="{00000000-0000-0000-0000-000000000000}"/>
  <bookViews>
    <workbookView xWindow="0" yWindow="0" windowWidth="23040" windowHeight="9060" xr2:uid="{B880B13D-2E55-40A4-96C9-ECE78A1A6F92}"/>
  </bookViews>
  <sheets>
    <sheet name="Dashboard" sheetId="7" r:id="rId1"/>
    <sheet name="Calc" sheetId="4" r:id="rId2"/>
    <sheet name="Inputs" sheetId="1" r:id="rId3"/>
    <sheet name="Dev_Platform_Hosted_Git" sheetId="11" r:id="rId4"/>
    <sheet name="Лицензии GitFlic" sheetId="9" r:id="rId5"/>
    <sheet name="SAP" sheetId="6" state="hidden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" i="4" l="1"/>
  <c r="E73" i="4" l="1"/>
  <c r="F73" i="4"/>
  <c r="G73" i="4"/>
  <c r="H73" i="4"/>
  <c r="I73" i="4"/>
  <c r="J73" i="4"/>
  <c r="K73" i="4"/>
  <c r="D73" i="4"/>
  <c r="I28" i="4"/>
  <c r="D68" i="4" l="1"/>
  <c r="E18" i="4"/>
  <c r="E115" i="4" l="1"/>
  <c r="D117" i="4"/>
  <c r="D69" i="4"/>
  <c r="D24" i="4"/>
  <c r="D40" i="11"/>
  <c r="E40" i="11" s="1"/>
  <c r="D29" i="11"/>
  <c r="E29" i="11" s="1"/>
  <c r="D16" i="11"/>
  <c r="E16" i="11" s="1"/>
  <c r="Q36" i="11"/>
  <c r="Q38" i="11" s="1"/>
  <c r="P36" i="11"/>
  <c r="P38" i="11" s="1"/>
  <c r="O36" i="11"/>
  <c r="O38" i="11" s="1"/>
  <c r="N36" i="11"/>
  <c r="N38" i="11" s="1"/>
  <c r="M36" i="11"/>
  <c r="M38" i="11" s="1"/>
  <c r="L36" i="11"/>
  <c r="L38" i="11" s="1"/>
  <c r="K36" i="11"/>
  <c r="K38" i="11" s="1"/>
  <c r="J36" i="11"/>
  <c r="J38" i="11" s="1"/>
  <c r="I36" i="11"/>
  <c r="I38" i="11" s="1"/>
  <c r="H36" i="11"/>
  <c r="H38" i="11" s="1"/>
  <c r="G36" i="11"/>
  <c r="G38" i="11" s="1"/>
  <c r="F36" i="11"/>
  <c r="F38" i="11" s="1"/>
  <c r="E36" i="11"/>
  <c r="E38" i="11" s="1"/>
  <c r="D36" i="11"/>
  <c r="D38" i="11" s="1"/>
  <c r="Q25" i="11"/>
  <c r="Q27" i="11" s="1"/>
  <c r="P25" i="11"/>
  <c r="P27" i="11" s="1"/>
  <c r="O25" i="11"/>
  <c r="O27" i="11" s="1"/>
  <c r="N25" i="11"/>
  <c r="N27" i="11" s="1"/>
  <c r="M25" i="11"/>
  <c r="M27" i="11" s="1"/>
  <c r="L25" i="11"/>
  <c r="L27" i="11" s="1"/>
  <c r="K25" i="11"/>
  <c r="K27" i="11" s="1"/>
  <c r="J25" i="11"/>
  <c r="J27" i="11" s="1"/>
  <c r="I25" i="11"/>
  <c r="I27" i="11" s="1"/>
  <c r="H25" i="11"/>
  <c r="H27" i="11" s="1"/>
  <c r="G25" i="11"/>
  <c r="G27" i="11" s="1"/>
  <c r="F25" i="11"/>
  <c r="F27" i="11" s="1"/>
  <c r="E25" i="11"/>
  <c r="E27" i="11" s="1"/>
  <c r="D25" i="11"/>
  <c r="D27" i="11" s="1"/>
  <c r="D97" i="4" s="1"/>
  <c r="Q15" i="11"/>
  <c r="Q19" i="11" s="1"/>
  <c r="P15" i="11"/>
  <c r="P19" i="11" s="1"/>
  <c r="O15" i="11"/>
  <c r="O19" i="11" s="1"/>
  <c r="N15" i="11"/>
  <c r="N19" i="11" s="1"/>
  <c r="M15" i="11"/>
  <c r="M19" i="11" s="1"/>
  <c r="L15" i="11"/>
  <c r="L19" i="11" s="1"/>
  <c r="K15" i="11"/>
  <c r="K19" i="11" s="1"/>
  <c r="J15" i="11"/>
  <c r="J19" i="11" s="1"/>
  <c r="I15" i="11"/>
  <c r="I19" i="11" s="1"/>
  <c r="H15" i="11"/>
  <c r="H19" i="11" s="1"/>
  <c r="G15" i="11"/>
  <c r="G19" i="11" s="1"/>
  <c r="F15" i="11"/>
  <c r="F19" i="11" s="1"/>
  <c r="E15" i="11"/>
  <c r="E19" i="11" s="1"/>
  <c r="D15" i="11"/>
  <c r="D19" i="11" s="1"/>
  <c r="H97" i="4" l="1"/>
  <c r="F117" i="4"/>
  <c r="G97" i="4"/>
  <c r="G117" i="4"/>
  <c r="D96" i="4"/>
  <c r="H117" i="4"/>
  <c r="H96" i="4"/>
  <c r="E117" i="4"/>
  <c r="G96" i="4"/>
  <c r="E96" i="4"/>
  <c r="F96" i="4"/>
  <c r="D106" i="4"/>
  <c r="E97" i="4"/>
  <c r="F97" i="4"/>
  <c r="F40" i="11"/>
  <c r="E41" i="11"/>
  <c r="D41" i="11"/>
  <c r="R19" i="11"/>
  <c r="C19" i="11" s="1"/>
  <c r="R27" i="11"/>
  <c r="T27" i="11" s="1"/>
  <c r="C28" i="11" s="1"/>
  <c r="I97" i="4" s="1"/>
  <c r="F29" i="11"/>
  <c r="E30" i="11"/>
  <c r="D30" i="11"/>
  <c r="F16" i="11"/>
  <c r="E17" i="11"/>
  <c r="D17" i="11"/>
  <c r="C38" i="11"/>
  <c r="C39" i="11" s="1"/>
  <c r="H18" i="4"/>
  <c r="G18" i="4"/>
  <c r="F18" i="4"/>
  <c r="K144" i="4"/>
  <c r="K141" i="4"/>
  <c r="C27" i="11" l="1"/>
  <c r="G40" i="11"/>
  <c r="F41" i="11"/>
  <c r="G29" i="11"/>
  <c r="F30" i="11"/>
  <c r="F17" i="11"/>
  <c r="G16" i="11"/>
  <c r="H40" i="11" l="1"/>
  <c r="G41" i="11"/>
  <c r="G30" i="11"/>
  <c r="H29" i="11"/>
  <c r="G17" i="11"/>
  <c r="H16" i="11"/>
  <c r="H122" i="4"/>
  <c r="G122" i="4"/>
  <c r="F122" i="4"/>
  <c r="E122" i="4"/>
  <c r="F128" i="4"/>
  <c r="G128" i="4"/>
  <c r="H128" i="4"/>
  <c r="E128" i="4"/>
  <c r="E46" i="4"/>
  <c r="F46" i="4"/>
  <c r="G46" i="4"/>
  <c r="H46" i="4"/>
  <c r="I46" i="4"/>
  <c r="J46" i="4"/>
  <c r="K46" i="4"/>
  <c r="D45" i="4"/>
  <c r="E79" i="4"/>
  <c r="F79" i="4"/>
  <c r="G79" i="4"/>
  <c r="H79" i="4"/>
  <c r="I79" i="4"/>
  <c r="J79" i="4"/>
  <c r="K79" i="4"/>
  <c r="D79" i="4"/>
  <c r="E30" i="4"/>
  <c r="E75" i="4" s="1"/>
  <c r="F30" i="4"/>
  <c r="G30" i="4"/>
  <c r="H30" i="4"/>
  <c r="H75" i="4" s="1"/>
  <c r="I30" i="4"/>
  <c r="I75" i="4" s="1"/>
  <c r="J30" i="4"/>
  <c r="J75" i="4" s="1"/>
  <c r="K30" i="4"/>
  <c r="K75" i="4" s="1"/>
  <c r="D30" i="4"/>
  <c r="D75" i="4" s="1"/>
  <c r="I70" i="4"/>
  <c r="J70" i="4"/>
  <c r="K70" i="4"/>
  <c r="J63" i="4"/>
  <c r="K63" i="4"/>
  <c r="F62" i="4"/>
  <c r="F91" i="4" s="1"/>
  <c r="G62" i="4"/>
  <c r="G85" i="4" s="1"/>
  <c r="H62" i="4"/>
  <c r="H85" i="4" s="1"/>
  <c r="I62" i="4"/>
  <c r="I85" i="4" s="1"/>
  <c r="J62" i="4"/>
  <c r="J85" i="4" s="1"/>
  <c r="K62" i="4"/>
  <c r="K85" i="4" s="1"/>
  <c r="E62" i="4"/>
  <c r="E91" i="4" s="1"/>
  <c r="E107" i="4"/>
  <c r="E111" i="4" s="1"/>
  <c r="E116" i="4" s="1"/>
  <c r="F107" i="4"/>
  <c r="F111" i="4" s="1"/>
  <c r="F116" i="4" s="1"/>
  <c r="G107" i="4"/>
  <c r="G111" i="4" s="1"/>
  <c r="G116" i="4" s="1"/>
  <c r="H107" i="4"/>
  <c r="H111" i="4" s="1"/>
  <c r="H116" i="4" s="1"/>
  <c r="I107" i="4"/>
  <c r="I111" i="4" s="1"/>
  <c r="I116" i="4" s="1"/>
  <c r="J107" i="4"/>
  <c r="J111" i="4" s="1"/>
  <c r="J116" i="4" s="1"/>
  <c r="K107" i="4"/>
  <c r="K111" i="4" s="1"/>
  <c r="K116" i="4" s="1"/>
  <c r="D107" i="4"/>
  <c r="E40" i="4"/>
  <c r="F40" i="4"/>
  <c r="G40" i="4"/>
  <c r="H40" i="4"/>
  <c r="I40" i="4"/>
  <c r="J40" i="4"/>
  <c r="K40" i="4"/>
  <c r="D40" i="4"/>
  <c r="E25" i="4"/>
  <c r="E70" i="4" s="1"/>
  <c r="F25" i="4"/>
  <c r="F70" i="4" s="1"/>
  <c r="G25" i="4"/>
  <c r="G70" i="4" s="1"/>
  <c r="H25" i="4"/>
  <c r="H70" i="4" s="1"/>
  <c r="D70" i="4"/>
  <c r="D90" i="4" s="1"/>
  <c r="E74" i="4"/>
  <c r="F74" i="4" s="1"/>
  <c r="G74" i="4" s="1"/>
  <c r="H74" i="4" s="1"/>
  <c r="E29" i="4"/>
  <c r="F29" i="4" s="1"/>
  <c r="G29" i="4" s="1"/>
  <c r="H29" i="4" s="1"/>
  <c r="F28" i="4"/>
  <c r="G28" i="4" s="1"/>
  <c r="H28" i="4" s="1"/>
  <c r="H101" i="4" s="1"/>
  <c r="H41" i="11" l="1"/>
  <c r="I40" i="11"/>
  <c r="H30" i="11"/>
  <c r="I29" i="11"/>
  <c r="H17" i="11"/>
  <c r="I16" i="11"/>
  <c r="H54" i="4"/>
  <c r="F85" i="4"/>
  <c r="E85" i="4"/>
  <c r="K91" i="4"/>
  <c r="J91" i="4"/>
  <c r="I91" i="4"/>
  <c r="H91" i="4"/>
  <c r="G101" i="4"/>
  <c r="G75" i="4"/>
  <c r="G54" i="4" s="1"/>
  <c r="G91" i="4"/>
  <c r="F101" i="4"/>
  <c r="F75" i="4"/>
  <c r="F54" i="4" s="1"/>
  <c r="I63" i="4"/>
  <c r="H63" i="4"/>
  <c r="G63" i="4"/>
  <c r="F63" i="4"/>
  <c r="E63" i="4"/>
  <c r="D63" i="4"/>
  <c r="D64" i="4" s="1"/>
  <c r="H9" i="4"/>
  <c r="F9" i="4"/>
  <c r="G9" i="4"/>
  <c r="D19" i="4"/>
  <c r="I74" i="4"/>
  <c r="J74" i="4" s="1"/>
  <c r="K74" i="4" s="1"/>
  <c r="C19" i="9"/>
  <c r="I41" i="11" l="1"/>
  <c r="J40" i="11"/>
  <c r="I30" i="11"/>
  <c r="J29" i="11"/>
  <c r="J16" i="11"/>
  <c r="I17" i="11"/>
  <c r="E64" i="4"/>
  <c r="F64" i="4" s="1"/>
  <c r="E19" i="4"/>
  <c r="D39" i="4"/>
  <c r="D62" i="4"/>
  <c r="H12" i="9"/>
  <c r="G12" i="9"/>
  <c r="K40" i="11" l="1"/>
  <c r="J41" i="11"/>
  <c r="K29" i="11"/>
  <c r="J30" i="11"/>
  <c r="K16" i="11"/>
  <c r="J17" i="11"/>
  <c r="E84" i="4"/>
  <c r="D85" i="4"/>
  <c r="G64" i="4"/>
  <c r="F84" i="4"/>
  <c r="F19" i="4"/>
  <c r="E39" i="4"/>
  <c r="D105" i="4"/>
  <c r="L40" i="11" l="1"/>
  <c r="K41" i="11"/>
  <c r="L29" i="11"/>
  <c r="K30" i="11"/>
  <c r="L16" i="11"/>
  <c r="K17" i="11"/>
  <c r="D89" i="4"/>
  <c r="D57" i="4" s="1"/>
  <c r="D44" i="4"/>
  <c r="D12" i="4" s="1"/>
  <c r="H64" i="4"/>
  <c r="G84" i="4"/>
  <c r="G19" i="4"/>
  <c r="F39" i="4"/>
  <c r="B19" i="7"/>
  <c r="E69" i="4"/>
  <c r="E68" i="4"/>
  <c r="F68" i="4" s="1"/>
  <c r="G68" i="4" s="1"/>
  <c r="H68" i="4" s="1"/>
  <c r="I68" i="4" s="1"/>
  <c r="J68" i="4" s="1"/>
  <c r="K68" i="4" s="1"/>
  <c r="E23" i="4"/>
  <c r="E24" i="4" l="1"/>
  <c r="I24" i="4" s="1"/>
  <c r="J24" i="4" s="1"/>
  <c r="K24" i="4" s="1"/>
  <c r="M40" i="11"/>
  <c r="L41" i="11"/>
  <c r="M29" i="11"/>
  <c r="L30" i="11"/>
  <c r="M16" i="11"/>
  <c r="L17" i="11"/>
  <c r="F23" i="4"/>
  <c r="I64" i="4"/>
  <c r="H84" i="4"/>
  <c r="E44" i="4"/>
  <c r="E89" i="4"/>
  <c r="H19" i="4"/>
  <c r="G39" i="4"/>
  <c r="I69" i="4"/>
  <c r="J69" i="4" s="1"/>
  <c r="K69" i="4" s="1"/>
  <c r="K53" i="4" s="1"/>
  <c r="F69" i="4"/>
  <c r="D53" i="4"/>
  <c r="E53" i="4"/>
  <c r="D8" i="4"/>
  <c r="D55" i="4"/>
  <c r="E80" i="4"/>
  <c r="E78" i="4"/>
  <c r="D10" i="4"/>
  <c r="E35" i="4"/>
  <c r="F35" i="4" s="1"/>
  <c r="E33" i="4"/>
  <c r="D99" i="4"/>
  <c r="E86" i="4"/>
  <c r="D84" i="4"/>
  <c r="E65" i="4"/>
  <c r="F65" i="4" s="1"/>
  <c r="G65" i="4" s="1"/>
  <c r="H65" i="4" s="1"/>
  <c r="I65" i="4" s="1"/>
  <c r="J65" i="4" s="1"/>
  <c r="K65" i="4" s="1"/>
  <c r="E54" i="4"/>
  <c r="D54" i="4"/>
  <c r="E41" i="4"/>
  <c r="F41" i="4" s="1"/>
  <c r="G41" i="4" s="1"/>
  <c r="H41" i="4" s="1"/>
  <c r="I41" i="4" s="1"/>
  <c r="J41" i="4" s="1"/>
  <c r="K41" i="4" s="1"/>
  <c r="E38" i="4"/>
  <c r="F38" i="4" s="1"/>
  <c r="G38" i="4" s="1"/>
  <c r="H38" i="4" s="1"/>
  <c r="I38" i="4" s="1"/>
  <c r="J38" i="4" s="1"/>
  <c r="K38" i="4" s="1"/>
  <c r="E101" i="4"/>
  <c r="D101" i="4"/>
  <c r="D9" i="4"/>
  <c r="E9" i="4"/>
  <c r="E8" i="4" l="1"/>
  <c r="F24" i="4"/>
  <c r="G24" i="4" s="1"/>
  <c r="N40" i="11"/>
  <c r="M41" i="11"/>
  <c r="N29" i="11"/>
  <c r="M30" i="11"/>
  <c r="N16" i="11"/>
  <c r="M17" i="11"/>
  <c r="F80" i="4"/>
  <c r="E90" i="4"/>
  <c r="E57" i="4" s="1"/>
  <c r="F86" i="4"/>
  <c r="G86" i="4" s="1"/>
  <c r="H86" i="4" s="1"/>
  <c r="I86" i="4" s="1"/>
  <c r="J86" i="4" s="1"/>
  <c r="K86" i="4" s="1"/>
  <c r="E45" i="4"/>
  <c r="E12" i="4" s="1"/>
  <c r="G23" i="4"/>
  <c r="F45" i="4"/>
  <c r="F89" i="4"/>
  <c r="G69" i="4"/>
  <c r="F53" i="4"/>
  <c r="F44" i="4"/>
  <c r="J64" i="4"/>
  <c r="I84" i="4"/>
  <c r="I33" i="4"/>
  <c r="J33" i="4" s="1"/>
  <c r="K33" i="4" s="1"/>
  <c r="F33" i="4"/>
  <c r="G33" i="4" s="1"/>
  <c r="H33" i="4" s="1"/>
  <c r="G35" i="4"/>
  <c r="G11" i="4"/>
  <c r="F115" i="4"/>
  <c r="G115" i="4" s="1"/>
  <c r="H115" i="4" s="1"/>
  <c r="I115" i="4" s="1"/>
  <c r="J115" i="4" s="1"/>
  <c r="K115" i="4" s="1"/>
  <c r="I78" i="4"/>
  <c r="J78" i="4" s="1"/>
  <c r="K78" i="4" s="1"/>
  <c r="F78" i="4"/>
  <c r="G78" i="4" s="1"/>
  <c r="H78" i="4" s="1"/>
  <c r="F11" i="4"/>
  <c r="J53" i="4"/>
  <c r="I19" i="4"/>
  <c r="H39" i="4"/>
  <c r="H11" i="4" s="1"/>
  <c r="I53" i="4"/>
  <c r="E55" i="4"/>
  <c r="E10" i="4"/>
  <c r="D11" i="4"/>
  <c r="I54" i="4"/>
  <c r="J54" i="4"/>
  <c r="F8" i="4" l="1"/>
  <c r="F12" i="4"/>
  <c r="O40" i="11"/>
  <c r="N41" i="11"/>
  <c r="O29" i="11"/>
  <c r="N30" i="11"/>
  <c r="N17" i="11"/>
  <c r="O16" i="11"/>
  <c r="K54" i="4"/>
  <c r="F10" i="4"/>
  <c r="H23" i="4"/>
  <c r="G45" i="4"/>
  <c r="G80" i="4"/>
  <c r="F55" i="4"/>
  <c r="F90" i="4"/>
  <c r="F57" i="4" s="1"/>
  <c r="G44" i="4"/>
  <c r="K64" i="4"/>
  <c r="K84" i="4" s="1"/>
  <c r="J84" i="4"/>
  <c r="H69" i="4"/>
  <c r="H53" i="4" s="1"/>
  <c r="G53" i="4"/>
  <c r="G89" i="4"/>
  <c r="H35" i="4"/>
  <c r="G10" i="4"/>
  <c r="J19" i="4"/>
  <c r="I39" i="4"/>
  <c r="H24" i="4"/>
  <c r="G8" i="4"/>
  <c r="D38" i="7" l="1"/>
  <c r="O41" i="11"/>
  <c r="P40" i="11"/>
  <c r="O30" i="11"/>
  <c r="P29" i="11"/>
  <c r="O17" i="11"/>
  <c r="P16" i="11"/>
  <c r="G12" i="4"/>
  <c r="H80" i="4"/>
  <c r="G55" i="4"/>
  <c r="G90" i="4"/>
  <c r="G57" i="4" s="1"/>
  <c r="I23" i="4"/>
  <c r="H45" i="4"/>
  <c r="H8" i="4"/>
  <c r="H89" i="4"/>
  <c r="H44" i="4"/>
  <c r="I35" i="4"/>
  <c r="H10" i="4"/>
  <c r="K19" i="4"/>
  <c r="K39" i="4" s="1"/>
  <c r="J39" i="4"/>
  <c r="P41" i="11" l="1"/>
  <c r="Q40" i="11"/>
  <c r="Q41" i="11" s="1"/>
  <c r="P30" i="11"/>
  <c r="Q29" i="11"/>
  <c r="Q30" i="11" s="1"/>
  <c r="P17" i="11"/>
  <c r="Q16" i="11"/>
  <c r="Q17" i="11" s="1"/>
  <c r="H12" i="4"/>
  <c r="I80" i="4"/>
  <c r="H55" i="4"/>
  <c r="H90" i="4"/>
  <c r="H57" i="4" s="1"/>
  <c r="J23" i="4"/>
  <c r="I45" i="4"/>
  <c r="I8" i="4"/>
  <c r="I44" i="4"/>
  <c r="I89" i="4"/>
  <c r="J35" i="4"/>
  <c r="I10" i="4"/>
  <c r="I12" i="4" l="1"/>
  <c r="J80" i="4"/>
  <c r="I90" i="4"/>
  <c r="I57" i="4" s="1"/>
  <c r="I55" i="4"/>
  <c r="K23" i="4"/>
  <c r="J8" i="4"/>
  <c r="J89" i="4"/>
  <c r="J44" i="4"/>
  <c r="K35" i="4"/>
  <c r="K10" i="4" s="1"/>
  <c r="J10" i="4"/>
  <c r="C39" i="7" l="1"/>
  <c r="K80" i="4"/>
  <c r="J90" i="4"/>
  <c r="J57" i="4" s="1"/>
  <c r="J55" i="4"/>
  <c r="K8" i="4"/>
  <c r="C38" i="7" s="1"/>
  <c r="K89" i="4"/>
  <c r="K44" i="4"/>
  <c r="K90" i="4" l="1"/>
  <c r="K57" i="4" s="1"/>
  <c r="D41" i="7" s="1"/>
  <c r="K55" i="4"/>
  <c r="D39" i="7" s="1"/>
  <c r="D100" i="4" l="1"/>
  <c r="D98" i="4"/>
  <c r="I29" i="4"/>
  <c r="I101" i="4" s="1"/>
  <c r="J45" i="4"/>
  <c r="J12" i="4" s="1"/>
  <c r="E37" i="7" l="1"/>
  <c r="E100" i="4"/>
  <c r="E38" i="7"/>
  <c r="K28" i="4"/>
  <c r="K45" i="4" s="1"/>
  <c r="K12" i="4" s="1"/>
  <c r="I9" i="4"/>
  <c r="J29" i="4"/>
  <c r="J9" i="4" s="1"/>
  <c r="G58" i="6"/>
  <c r="F100" i="4" l="1"/>
  <c r="J101" i="4"/>
  <c r="K29" i="4"/>
  <c r="K101" i="4" s="1"/>
  <c r="E110" i="4"/>
  <c r="K122" i="4"/>
  <c r="G100" i="4" l="1"/>
  <c r="I110" i="4"/>
  <c r="J110" i="4" s="1"/>
  <c r="K110" i="4" s="1"/>
  <c r="F110" i="4"/>
  <c r="G110" i="4" s="1"/>
  <c r="H110" i="4" s="1"/>
  <c r="K9" i="4"/>
  <c r="C41" i="7" s="1"/>
  <c r="I117" i="4" l="1"/>
  <c r="H100" i="4"/>
  <c r="J122" i="4"/>
  <c r="I122" i="4"/>
  <c r="D122" i="4"/>
  <c r="J117" i="4" l="1"/>
  <c r="I100" i="4"/>
  <c r="G59" i="6"/>
  <c r="E105" i="4" s="1"/>
  <c r="B12" i="6"/>
  <c r="E129" i="4"/>
  <c r="F129" i="4" s="1"/>
  <c r="G129" i="4" l="1"/>
  <c r="F130" i="4"/>
  <c r="K117" i="4"/>
  <c r="K100" i="4" s="1"/>
  <c r="J100" i="4"/>
  <c r="F105" i="4"/>
  <c r="G105" i="4" s="1"/>
  <c r="D102" i="4"/>
  <c r="C31" i="7" s="1"/>
  <c r="H129" i="4" l="1"/>
  <c r="G130" i="4"/>
  <c r="E40" i="7"/>
  <c r="H105" i="4"/>
  <c r="I105" i="4" s="1"/>
  <c r="E130" i="4"/>
  <c r="D130" i="4"/>
  <c r="D131" i="4" s="1"/>
  <c r="E131" i="4" l="1"/>
  <c r="I129" i="4"/>
  <c r="H130" i="4"/>
  <c r="H131" i="4" s="1"/>
  <c r="G131" i="4"/>
  <c r="F131" i="4"/>
  <c r="J105" i="4"/>
  <c r="E112" i="4"/>
  <c r="E106" i="4" s="1"/>
  <c r="E20" i="4"/>
  <c r="F20" i="4" s="1"/>
  <c r="G20" i="4" s="1"/>
  <c r="H20" i="4" s="1"/>
  <c r="I20" i="4" s="1"/>
  <c r="J20" i="4" s="1"/>
  <c r="K20" i="4" s="1"/>
  <c r="J129" i="4" l="1"/>
  <c r="I130" i="4"/>
  <c r="I131" i="4" s="1"/>
  <c r="K105" i="4"/>
  <c r="E98" i="4"/>
  <c r="F112" i="4"/>
  <c r="E99" i="4"/>
  <c r="E11" i="4"/>
  <c r="D16" i="4"/>
  <c r="D83" i="4" s="1"/>
  <c r="K129" i="4" l="1"/>
  <c r="K130" i="4" s="1"/>
  <c r="J130" i="4"/>
  <c r="J131" i="4" s="1"/>
  <c r="G112" i="4"/>
  <c r="F99" i="4"/>
  <c r="E83" i="4"/>
  <c r="D56" i="4"/>
  <c r="F106" i="4"/>
  <c r="F98" i="4" s="1"/>
  <c r="E102" i="4"/>
  <c r="D61" i="4"/>
  <c r="E61" i="4" s="1"/>
  <c r="B22" i="9"/>
  <c r="I11" i="4"/>
  <c r="D7" i="4"/>
  <c r="E16" i="4"/>
  <c r="K131" i="4" l="1"/>
  <c r="D13" i="4"/>
  <c r="C29" i="7" s="1"/>
  <c r="H112" i="4"/>
  <c r="G99" i="4"/>
  <c r="F61" i="4"/>
  <c r="E52" i="4"/>
  <c r="F83" i="4"/>
  <c r="E56" i="4"/>
  <c r="G106" i="4"/>
  <c r="G98" i="4" s="1"/>
  <c r="F102" i="4"/>
  <c r="F125" i="4" s="1"/>
  <c r="D52" i="4"/>
  <c r="D58" i="4" s="1"/>
  <c r="E7" i="4"/>
  <c r="F16" i="4"/>
  <c r="C22" i="9"/>
  <c r="J11" i="4"/>
  <c r="C5" i="1"/>
  <c r="E13" i="4" l="1"/>
  <c r="E58" i="4"/>
  <c r="I112" i="4"/>
  <c r="I99" i="4" s="1"/>
  <c r="H99" i="4"/>
  <c r="D124" i="4"/>
  <c r="C30" i="7"/>
  <c r="G83" i="4"/>
  <c r="F56" i="4"/>
  <c r="G61" i="4"/>
  <c r="F52" i="4"/>
  <c r="H106" i="4"/>
  <c r="G102" i="4"/>
  <c r="G125" i="4" s="1"/>
  <c r="G16" i="4"/>
  <c r="F7" i="4"/>
  <c r="F13" i="4" s="1"/>
  <c r="F124" i="4" s="1"/>
  <c r="F126" i="4" s="1"/>
  <c r="F132" i="4" s="1"/>
  <c r="K11" i="4"/>
  <c r="C40" i="7" s="1"/>
  <c r="F58" i="4" l="1"/>
  <c r="J112" i="4"/>
  <c r="I106" i="4"/>
  <c r="H98" i="4"/>
  <c r="H102" i="4" s="1"/>
  <c r="H83" i="4"/>
  <c r="G56" i="4"/>
  <c r="E124" i="4"/>
  <c r="H61" i="4"/>
  <c r="G52" i="4"/>
  <c r="H16" i="4"/>
  <c r="G7" i="4"/>
  <c r="D125" i="4"/>
  <c r="D126" i="4" s="1"/>
  <c r="G13" i="4" l="1"/>
  <c r="G124" i="4" s="1"/>
  <c r="G126" i="4" s="1"/>
  <c r="G132" i="4" s="1"/>
  <c r="D31" i="7"/>
  <c r="H125" i="4"/>
  <c r="G58" i="4"/>
  <c r="I98" i="4"/>
  <c r="I102" i="4" s="1"/>
  <c r="K112" i="4"/>
  <c r="J99" i="4"/>
  <c r="J106" i="4"/>
  <c r="J98" i="4" s="1"/>
  <c r="J102" i="4" s="1"/>
  <c r="I83" i="4"/>
  <c r="H56" i="4"/>
  <c r="I61" i="4"/>
  <c r="H52" i="4"/>
  <c r="I16" i="4"/>
  <c r="H7" i="4"/>
  <c r="D132" i="4"/>
  <c r="D143" i="4" s="1"/>
  <c r="D144" i="4" s="1"/>
  <c r="D140" i="4"/>
  <c r="E125" i="4"/>
  <c r="E126" i="4" s="1"/>
  <c r="D141" i="4" l="1"/>
  <c r="E140" i="4"/>
  <c r="F140" i="4" s="1"/>
  <c r="H13" i="4"/>
  <c r="H124" i="4" s="1"/>
  <c r="H126" i="4" s="1"/>
  <c r="H132" i="4" s="1"/>
  <c r="H58" i="4"/>
  <c r="D30" i="7" s="1"/>
  <c r="E31" i="7"/>
  <c r="I125" i="4"/>
  <c r="C16" i="7"/>
  <c r="F31" i="7"/>
  <c r="J125" i="4"/>
  <c r="K106" i="4"/>
  <c r="K98" i="4" s="1"/>
  <c r="K99" i="4"/>
  <c r="E39" i="7" s="1"/>
  <c r="J61" i="4"/>
  <c r="I52" i="4"/>
  <c r="J83" i="4"/>
  <c r="I56" i="4"/>
  <c r="J16" i="4"/>
  <c r="D22" i="9"/>
  <c r="I7" i="4"/>
  <c r="E132" i="4"/>
  <c r="E143" i="4" s="1"/>
  <c r="F143" i="4" s="1"/>
  <c r="K102" i="4" l="1"/>
  <c r="E41" i="7"/>
  <c r="E42" i="7" s="1"/>
  <c r="I13" i="4"/>
  <c r="E29" i="7" s="1"/>
  <c r="G143" i="4"/>
  <c r="E144" i="4"/>
  <c r="G140" i="4"/>
  <c r="E141" i="4"/>
  <c r="D29" i="7"/>
  <c r="I58" i="4"/>
  <c r="G31" i="7"/>
  <c r="H31" i="7" s="1"/>
  <c r="K125" i="4"/>
  <c r="D16" i="7"/>
  <c r="L102" i="4"/>
  <c r="K83" i="4"/>
  <c r="K56" i="4" s="1"/>
  <c r="J56" i="4"/>
  <c r="K61" i="4"/>
  <c r="K52" i="4" s="1"/>
  <c r="J52" i="4"/>
  <c r="K16" i="4"/>
  <c r="E22" i="9"/>
  <c r="J7" i="4"/>
  <c r="J13" i="4" s="1"/>
  <c r="C14" i="7" l="1"/>
  <c r="D40" i="7"/>
  <c r="D36" i="7"/>
  <c r="E43" i="7"/>
  <c r="H140" i="4"/>
  <c r="F141" i="4"/>
  <c r="H143" i="4"/>
  <c r="F144" i="4"/>
  <c r="K58" i="4"/>
  <c r="G30" i="7" s="1"/>
  <c r="J58" i="4"/>
  <c r="F30" i="7" s="1"/>
  <c r="E30" i="7"/>
  <c r="I124" i="4"/>
  <c r="I126" i="4" s="1"/>
  <c r="C15" i="7"/>
  <c r="J124" i="4"/>
  <c r="J126" i="4" s="1"/>
  <c r="J132" i="4" s="1"/>
  <c r="F29" i="7"/>
  <c r="F22" i="9"/>
  <c r="K7" i="4"/>
  <c r="D42" i="7" l="1"/>
  <c r="K13" i="4"/>
  <c r="K124" i="4" s="1"/>
  <c r="K126" i="4" s="1"/>
  <c r="K132" i="4" s="1"/>
  <c r="C36" i="7"/>
  <c r="C42" i="7" s="1"/>
  <c r="H30" i="7"/>
  <c r="L58" i="4"/>
  <c r="G144" i="4"/>
  <c r="I140" i="4"/>
  <c r="J140" i="4" s="1"/>
  <c r="G141" i="4"/>
  <c r="I132" i="4"/>
  <c r="I143" i="4" s="1"/>
  <c r="J143" i="4" s="1"/>
  <c r="D15" i="7"/>
  <c r="D43" i="7" l="1"/>
  <c r="H141" i="4"/>
  <c r="I141" i="4" s="1"/>
  <c r="K140" i="4"/>
  <c r="H144" i="4"/>
  <c r="K143" i="4"/>
  <c r="L13" i="4"/>
  <c r="G29" i="7"/>
  <c r="H29" i="7" s="1"/>
  <c r="C43" i="7" s="1"/>
  <c r="D14" i="7"/>
  <c r="D135" i="4"/>
  <c r="D21" i="7" s="1"/>
  <c r="D134" i="4"/>
  <c r="D20" i="7" s="1"/>
  <c r="J141" i="4" l="1"/>
  <c r="D136" i="4" s="1"/>
  <c r="D22" i="7" s="1"/>
  <c r="I144" i="4"/>
  <c r="J144" i="4" s="1"/>
  <c r="D137" i="4" s="1"/>
  <c r="D23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Samoylova Irina</author>
  </authors>
  <commentList>
    <comment ref="C4" authorId="0" shapeId="0" xr:uid="{3267F39D-D508-4A2F-9AEE-C1F0D68CAE5C}">
      <text>
        <r>
          <rPr>
            <b/>
            <sz val="9"/>
            <color indexed="81"/>
            <rFont val="Tahoma"/>
            <family val="2"/>
            <charset val="204"/>
          </rPr>
          <t>Samoylova Irina:</t>
        </r>
        <r>
          <rPr>
            <sz val="9"/>
            <color indexed="81"/>
            <rFont val="Tahoma"/>
            <family val="2"/>
            <charset val="204"/>
          </rPr>
          <t xml:space="preserve">
Стоимость лицензии GitFlic изменилась:
Лицензия без поддержки - 3000 р/ мес/ 1 ч
Лицензия с обновлениями и базовой поддержкой - 3600 р
Лицензия с обновлениями и привилегированной поддержкой - 9000 р.</t>
        </r>
      </text>
    </comment>
  </commentList>
</comments>
</file>

<file path=xl/sharedStrings.xml><?xml version="1.0" encoding="utf-8"?>
<sst xmlns="http://schemas.openxmlformats.org/spreadsheetml/2006/main" count="500" uniqueCount="291">
  <si>
    <t>Инвестиционная оценка разработки собственного аналога Gitlab Premium</t>
  </si>
  <si>
    <t>Покупка лицензии</t>
  </si>
  <si>
    <t>Собственная разработка</t>
  </si>
  <si>
    <t>GitFlic</t>
  </si>
  <si>
    <t>VK Tech Dev Platform</t>
  </si>
  <si>
    <t>Затраты VK на лицензии на 1 пользователя в месяц, тыс. руб.</t>
  </si>
  <si>
    <t>Затраты VK на лицензии на 5133 пользователей в год, тыс. руб.</t>
  </si>
  <si>
    <t>Инвестиции VK на разработку, тыс. руб.</t>
  </si>
  <si>
    <t>Затраты VK на внедрение, тыс. руб</t>
  </si>
  <si>
    <t>Стоимость для VK владения решением в год, тыс. руб.</t>
  </si>
  <si>
    <t>Доходы VK от продажи лицензии на 1 пользователя в месяц, тыс. руб</t>
  </si>
  <si>
    <t>Ожидаем информацию, но отдельно от Dev Platform не продается</t>
  </si>
  <si>
    <t>Прогноз продаж лицензий в год, тыс. руб (справочно)</t>
  </si>
  <si>
    <t>Releases</t>
  </si>
  <si>
    <t>Release 5</t>
  </si>
  <si>
    <t>Release 6</t>
  </si>
  <si>
    <t>Release 7</t>
  </si>
  <si>
    <t>- Push Rules</t>
  </si>
  <si>
    <t>- Restrict push and merge access to certain users</t>
  </si>
  <si>
    <t>- Jira Development Panel Integration</t>
  </si>
  <si>
    <t>- Merge Trains</t>
  </si>
  <si>
    <t>- Code Coverage
- Verified Committer</t>
  </si>
  <si>
    <t>- Advanced Search
- Contributor Analytics</t>
  </si>
  <si>
    <t>Готовность фичей для БЮ</t>
  </si>
  <si>
    <t>- Департамент консолидированных цифровых решений для бизнеса</t>
  </si>
  <si>
    <t>- Mail.ru
- Департамент рекламных технологий</t>
  </si>
  <si>
    <t>- Блок ИБ
- Технический департамент</t>
  </si>
  <si>
    <t>- БЮ по медиастратегии и развитию сервисов
- Юла
- Департамент аналитики и больших данных
- БЮ Карты
- БЮ Технологий ИИ</t>
  </si>
  <si>
    <t>- VK tech</t>
  </si>
  <si>
    <t>- RuStore</t>
  </si>
  <si>
    <t>- VK Play
- ВКонтакте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</si>
  <si>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</si>
  <si>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</si>
  <si>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</si>
  <si>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</si>
  <si>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</si>
  <si>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</si>
  <si>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</si>
  <si>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</si>
  <si>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</si>
  <si>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</si>
  <si>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</si>
  <si>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</si>
  <si>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Delivery Manager</t>
  </si>
  <si>
    <t>Architect</t>
  </si>
  <si>
    <t>Frontend Engineer</t>
  </si>
  <si>
    <t>Backend Enginer</t>
  </si>
  <si>
    <t>QA Engineer</t>
  </si>
  <si>
    <t>System Analyst</t>
  </si>
  <si>
    <t>DevOPS Engineer</t>
  </si>
  <si>
    <t>Desiger</t>
  </si>
  <si>
    <t>Tech Writer</t>
  </si>
  <si>
    <t>FTE</t>
  </si>
  <si>
    <t>FTE cost, 000</t>
  </si>
  <si>
    <t>ФОТ</t>
  </si>
  <si>
    <t>Внедрение</t>
  </si>
  <si>
    <t>Project Manager</t>
  </si>
  <si>
    <t>Dev OPS</t>
  </si>
  <si>
    <t>Support Dev</t>
  </si>
  <si>
    <t xml:space="preserve">Release 1 </t>
  </si>
  <si>
    <t xml:space="preserve">Release 2 </t>
  </si>
  <si>
    <t xml:space="preserve">Release 3 </t>
  </si>
  <si>
    <t xml:space="preserve">Release 4 </t>
  </si>
  <si>
    <t>- Remote repository pull mirroring
- Code owners
- Merge request approval rules
- Code Quality Reports
- Merge rules
- Multiple approvers in code review
- Merge request approval settings
- Protected Environments
- Merged results pipelines
- Запрет мержа без получения апрува всех ревьюверов
-  Web IDE</t>
  </si>
  <si>
    <t>Сценарий 1. Покупка лицензии GitFlic</t>
  </si>
  <si>
    <t>Показатель</t>
  </si>
  <si>
    <t>ед. изм.</t>
  </si>
  <si>
    <t>Покупка лицензий</t>
  </si>
  <si>
    <t>Кол-во месяцев</t>
  </si>
  <si>
    <t>тыс. руб.</t>
  </si>
  <si>
    <t>Инвестиции на разработку</t>
  </si>
  <si>
    <t>Затраты на внедрение</t>
  </si>
  <si>
    <t>Итого расходы</t>
  </si>
  <si>
    <t>мес.</t>
  </si>
  <si>
    <t>ед.</t>
  </si>
  <si>
    <t>%</t>
  </si>
  <si>
    <t>Сценарий 2. Разработка собственного решения Dev Platform</t>
  </si>
  <si>
    <t>VK Tech чтобы закрыть наши планы в Q4 2024 необходимо инвестировать в ФОТ.</t>
  </si>
  <si>
    <t>Оба варианта находятся в доработке.</t>
  </si>
  <si>
    <t>Gitflick закроет наши потребности а Q4 2024 при выполнении заявленных планов доработки.</t>
  </si>
  <si>
    <t>чел.</t>
  </si>
  <si>
    <t>тыс. руб./месяц</t>
  </si>
  <si>
    <t>Скидка</t>
  </si>
  <si>
    <t>Ставка дисконтирования</t>
  </si>
  <si>
    <t>х</t>
  </si>
  <si>
    <t>Расчет стоимости лицензий</t>
  </si>
  <si>
    <t>З/п 1 сотрудника в месяц</t>
  </si>
  <si>
    <t>Расчет окупаемости проекта</t>
  </si>
  <si>
    <t>Денежный поток</t>
  </si>
  <si>
    <t>NPV</t>
  </si>
  <si>
    <t>IRR</t>
  </si>
  <si>
    <t>Срок окупаемости</t>
  </si>
  <si>
    <t>Период</t>
  </si>
  <si>
    <t>Дисконтированные денежные потоки</t>
  </si>
  <si>
    <t>лет</t>
  </si>
  <si>
    <t>Budget 2024 v.2</t>
  </si>
  <si>
    <t>Amount</t>
  </si>
  <si>
    <t>MRCS VK Cloud Solutions</t>
  </si>
  <si>
    <t/>
  </si>
  <si>
    <t>Year</t>
  </si>
  <si>
    <t>FOT PL</t>
  </si>
  <si>
    <t>FOT CAPEX</t>
  </si>
  <si>
    <t>Total FOT</t>
  </si>
  <si>
    <t>Outsource PL</t>
  </si>
  <si>
    <t>Total Outsource</t>
  </si>
  <si>
    <t>Total FOT+Outsource</t>
  </si>
  <si>
    <t>Headcount OPEX</t>
  </si>
  <si>
    <t>Headcount ALL</t>
  </si>
  <si>
    <t>FOT monthly per employee</t>
  </si>
  <si>
    <t>All Turnovers</t>
  </si>
  <si>
    <t>Before Allocation</t>
  </si>
  <si>
    <t>Other_revenue</t>
  </si>
  <si>
    <t>B2B Services</t>
  </si>
  <si>
    <t>License fee revenue</t>
  </si>
  <si>
    <t>B2B Subscription Revenue</t>
  </si>
  <si>
    <t>B2B Subscription Revenue - Cons Sales</t>
  </si>
  <si>
    <t>Other revenue</t>
  </si>
  <si>
    <t>Revenues</t>
  </si>
  <si>
    <t>Salary + Vacation reserve</t>
  </si>
  <si>
    <t>Social tax</t>
  </si>
  <si>
    <t>Operating bonus</t>
  </si>
  <si>
    <t>Annual bonus</t>
  </si>
  <si>
    <t>Other personnel expenses</t>
  </si>
  <si>
    <t>Medical insurance</t>
  </si>
  <si>
    <t>Meals</t>
  </si>
  <si>
    <t>Reimbursements</t>
  </si>
  <si>
    <t>Personnel expenses</t>
  </si>
  <si>
    <t>Outsource</t>
  </si>
  <si>
    <t>Other partners fees</t>
  </si>
  <si>
    <t>Partners fees &amp; Royalties</t>
  </si>
  <si>
    <t>SMS notification</t>
  </si>
  <si>
    <t>Advertising - online</t>
  </si>
  <si>
    <t>Marketing partnership and sponsorship</t>
  </si>
  <si>
    <t>Marketing Events</t>
  </si>
  <si>
    <t>Souvenirs</t>
  </si>
  <si>
    <t>Marketing-research</t>
  </si>
  <si>
    <t>Marketing outsource</t>
  </si>
  <si>
    <t>Advertising - online - Marketing intercompany coupons</t>
  </si>
  <si>
    <t>Advertising - offline - non TV</t>
  </si>
  <si>
    <t>Creative development &amp; production</t>
  </si>
  <si>
    <t>Advertising - online bloggers</t>
  </si>
  <si>
    <t>Marketing expenses</t>
  </si>
  <si>
    <t>Hosting</t>
  </si>
  <si>
    <t>Rent of channels</t>
  </si>
  <si>
    <t>Server hosting expenses</t>
  </si>
  <si>
    <t>Recruiting services</t>
  </si>
  <si>
    <t>Training</t>
  </si>
  <si>
    <t>Information security</t>
  </si>
  <si>
    <t>Professional services</t>
  </si>
  <si>
    <t>VAT</t>
  </si>
  <si>
    <t>VAT &amp; Other taxes</t>
  </si>
  <si>
    <t>Events</t>
  </si>
  <si>
    <t>Trips</t>
  </si>
  <si>
    <t>Other IT service (software)</t>
  </si>
  <si>
    <t>IT events for programmers</t>
  </si>
  <si>
    <t>Other operating (income)/expenses, exc. amort. and depr.</t>
  </si>
  <si>
    <t>Costs</t>
  </si>
  <si>
    <t>EBITDA</t>
  </si>
  <si>
    <t>Depreciation</t>
  </si>
  <si>
    <t>Amortization_amortization</t>
  </si>
  <si>
    <t>Amortization</t>
  </si>
  <si>
    <t>Profit/Loss before income tax</t>
  </si>
  <si>
    <t>Income tax expense</t>
  </si>
  <si>
    <t>Net Profit/Loss</t>
  </si>
  <si>
    <t>Net Profit/Loss attributable to equity holders of the parent</t>
  </si>
  <si>
    <t>Накладные и прочие расходы</t>
  </si>
  <si>
    <t>Расходы на 1 штатного сотрудника в год</t>
  </si>
  <si>
    <t>ставок</t>
  </si>
  <si>
    <t>Накладные расходы</t>
  </si>
  <si>
    <t>Фактор дисконтирования</t>
  </si>
  <si>
    <t>1/(1+%)</t>
  </si>
  <si>
    <t>Накопленный ДП</t>
  </si>
  <si>
    <t>Накопленный ДДП</t>
  </si>
  <si>
    <t>Дисконтированный срок окупаемости</t>
  </si>
  <si>
    <t>Дисконт. срок окупаемости</t>
  </si>
  <si>
    <t>Накладные расходы на 1 сотр.</t>
  </si>
  <si>
    <t>Суть проекта:</t>
  </si>
  <si>
    <t>Собственная разработка VK Tech Dev Platform</t>
  </si>
  <si>
    <t>Рассматриваются 2 возможные опции замены/импортозамещения Gitlab Premium:</t>
  </si>
  <si>
    <t>GitFlick закроет потребности ВК в Q4 2024 при выполнении заявленных планов доработки.</t>
  </si>
  <si>
    <t>VK Tech необходимо инвестировать в ФОТ, чтобы покрыть потребности ВК к Q4 2024.</t>
  </si>
  <si>
    <t>1 год эксплуатации</t>
  </si>
  <si>
    <t>3 года эксплуатации</t>
  </si>
  <si>
    <t>Покупка лицензии GitFlic или собственная разработка в рамках VK Tech Dev Platform</t>
  </si>
  <si>
    <t>Экономия затрат (GitFlic)</t>
  </si>
  <si>
    <t>Расходы на создание и поддержание собств. платформы</t>
  </si>
  <si>
    <t>https://docs.google.com/spreadsheets/d/1scDRa_J-A9aYaQ8FAMvMXZFliANVjIY1AZQ8vsE5h1Y/edit#gid=0</t>
  </si>
  <si>
    <t>https://docs.google.com/spreadsheets/d/18zoRAiluOu8OSHcklXl1pKDKYutyzjw8/edit#gid=1032846955</t>
  </si>
  <si>
    <t>Источники информации:</t>
  </si>
  <si>
    <t>данные по величине накладных расходов в расчете на 1 сотрудника по MRCS VK Cloud Solutions (куда входит МВЗ Dev Platform), бюджет на 2024 г., данные SAP</t>
  </si>
  <si>
    <t>комментарий команды ВК: в случае приобретения лицензии GitFlic, можем рассчитывать на скидку 20% на весь срок использования</t>
  </si>
  <si>
    <t>NPV @20%</t>
  </si>
  <si>
    <t>Совокупные затраты, тыс. руб.:</t>
  </si>
  <si>
    <t>Расчет расходов</t>
  </si>
  <si>
    <t>По информации от VK Tech, после завершения разработки в 2024, команда переводится на другие проекты, для оперирования необходима только техническая поддержка.</t>
  </si>
  <si>
    <t>Расчет ФОТ сис. админов</t>
  </si>
  <si>
    <t>Заработная плата в месяц</t>
  </si>
  <si>
    <t>Стоимость 1 лицензии на 1 чел. в месяц (с базовой поддержкой)</t>
  </si>
  <si>
    <t>тыс. руб./чел./мес.</t>
  </si>
  <si>
    <t>Jan-Dec 2024</t>
  </si>
  <si>
    <t>2024 год</t>
  </si>
  <si>
    <t>2025 год</t>
  </si>
  <si>
    <t>Поддержка/багфикс</t>
  </si>
  <si>
    <t>Багфикс</t>
  </si>
  <si>
    <t>Затраты на тех. поддержку L1-L2</t>
  </si>
  <si>
    <t>Стоимость поддержки на 1 лицензию в месяц</t>
  </si>
  <si>
    <t>базовая техподдержка L3 gitflic - 500 рублей в месяц за одну лицензию</t>
  </si>
  <si>
    <t>стоимость внедрения и миграции GitFlic - включена в стоимость привилегированной техподдержки</t>
  </si>
  <si>
    <t>ФОТ (SAP)</t>
  </si>
  <si>
    <t>ФОТ сис. админов (эксплуатация)</t>
  </si>
  <si>
    <t>Затраты на тех. поддержку L3 (VK tech)</t>
  </si>
  <si>
    <t>Привилегированная техподдержка L3 (Gitflic)</t>
  </si>
  <si>
    <t>техподдержка уровней L1 и L2 - 2 FTE начиная с 1 месяца внедрения</t>
  </si>
  <si>
    <t>Сценарий 1.1. Покупка лицензии GitFlic с привилегированной поддержкой</t>
  </si>
  <si>
    <t>Базовая техподдержка GitFlic</t>
  </si>
  <si>
    <t>Привилегированная техподдержка Gitflic</t>
  </si>
  <si>
    <t>Сценарии</t>
  </si>
  <si>
    <t>Затраты на внедрение (команда со стороны VK)</t>
  </si>
  <si>
    <t>Затраты на тех. поддержку L3 (VK Tech)</t>
  </si>
  <si>
    <t>Базовая техподдержка L3 (Gitflic)</t>
  </si>
  <si>
    <t>поддержка L1-L3 начиная с начала внедрения</t>
  </si>
  <si>
    <t>Ед. изм.</t>
  </si>
  <si>
    <t>В рамках покупки лицензии GitFlic доступно 2 опции: базовая поддержка L3 (Сценарий 1) или привилегированная поддержка L3 (Сценарий 1.1).</t>
  </si>
  <si>
    <t>Покупка лицензии GitFlic (базовая поддержка L3)</t>
  </si>
  <si>
    <t>Покупка лицензии GitFlic (привилегированная поддержка L3)</t>
  </si>
  <si>
    <t>Сценарий:</t>
  </si>
  <si>
    <t>тыс. руб./месяц/1 лиц.</t>
  </si>
  <si>
    <t>Базовая тех. поддержка L3 (Gitflic)</t>
  </si>
  <si>
    <t>Привилегированная тех. поддержка L3 (Gitflic)</t>
  </si>
  <si>
    <t>техподдержка L3 VK tech dev platform - расходы на нее должны начаться с началом внедрения</t>
  </si>
  <si>
    <t>Конец Q4 2023 (169 лицензий)</t>
  </si>
  <si>
    <t>Конец Q1 2024 (1317 лицензий)</t>
  </si>
  <si>
    <t>Конец Q2 2024 (0 лицензий)</t>
  </si>
  <si>
    <t>Конец Q3 2024 (~1392 лицензии)</t>
  </si>
  <si>
    <t>Конец Q4 2024  ~1900 лицензий</t>
  </si>
  <si>
    <t>Multiple approvers in code review</t>
  </si>
  <si>
    <t>Verified Committer</t>
  </si>
  <si>
    <t>Code Quality Reports - Технический департамент (409 лицензий)</t>
  </si>
  <si>
    <t>Contributor Analytics - Вконтакте (1850 лицензий)</t>
  </si>
  <si>
    <t>Push rules</t>
  </si>
  <si>
    <t>Audit Events</t>
  </si>
  <si>
    <t>Protected Environments</t>
  </si>
  <si>
    <t>Merge Trains (RuStore 218 лицензий, VK Tech 765 лицензий)</t>
  </si>
  <si>
    <t>Advanced Search - ВКонтакте (1850 лицензий)</t>
  </si>
  <si>
    <t>Merge request approval settings</t>
  </si>
  <si>
    <t>Merged results pipelines</t>
  </si>
  <si>
    <t>Secret Detection</t>
  </si>
  <si>
    <t>Remote repository pull mirroring</t>
  </si>
  <si>
    <t>Jira Development Panel Integration (по запросу)</t>
  </si>
  <si>
    <t>Code Coverage</t>
  </si>
  <si>
    <t>Code owners</t>
  </si>
  <si>
    <t>Merge rules (по запросу)</t>
  </si>
  <si>
    <t>Test Coverage Visualization</t>
  </si>
  <si>
    <t>Merge request approval rules</t>
  </si>
  <si>
    <t>Vulnerability Management</t>
  </si>
  <si>
    <t>Restrict push and merge access to certain users</t>
  </si>
  <si>
    <t>Advanced LDAP/SAML support, Group Sync</t>
  </si>
  <si>
    <t>Запрет мержа без апрува всех ревьюверов</t>
  </si>
  <si>
    <r>
      <t>Container Scanning</t>
    </r>
    <r>
      <rPr>
        <b/>
        <sz val="10"/>
        <color rgb="FFEE5C44"/>
        <rFont val="SF Pro Text Light"/>
        <family val="2"/>
        <charset val="204"/>
        <scheme val="minor"/>
      </rPr>
      <t>*</t>
    </r>
  </si>
  <si>
    <r>
      <t>Time Tracking</t>
    </r>
    <r>
      <rPr>
        <b/>
        <sz val="10"/>
        <color rgb="FFEE5C44"/>
        <rFont val="SF Pro Text Light"/>
        <family val="2"/>
        <charset val="204"/>
        <scheme val="minor"/>
      </rPr>
      <t>*</t>
    </r>
    <r>
      <rPr>
        <sz val="10"/>
        <color theme="1"/>
        <rFont val="SF Pro Text Light"/>
        <family val="2"/>
        <charset val="204"/>
        <scheme val="minor"/>
      </rPr>
      <t xml:space="preserve"> - VK Play (&gt; 50 чел)</t>
    </r>
  </si>
  <si>
    <t>2025 и далее</t>
  </si>
  <si>
    <t>Кол-во лицензий</t>
  </si>
  <si>
    <t>Кол-во месяцев пользования</t>
  </si>
  <si>
    <t>Средневзвешенное кол-во  месяцев</t>
  </si>
  <si>
    <t>Лицензия с обновлениями и базовой поддержкой - 3600 р
Лицензия с обновлениями и привилегированной поддержкой - 9000 р.</t>
  </si>
  <si>
    <t>Кол-во лицензий на конец года</t>
  </si>
  <si>
    <t>3 постоянных FTE на весь срок внедрения (1,5 года)</t>
  </si>
  <si>
    <t>1Q 2024</t>
  </si>
  <si>
    <t>2Q 2024</t>
  </si>
  <si>
    <t>3Q 2024</t>
  </si>
  <si>
    <t>4Q 2024</t>
  </si>
  <si>
    <t>тыс. руб./мес./чел.</t>
  </si>
  <si>
    <t>Кол-во лицензий, купленных в текущем периоде</t>
  </si>
  <si>
    <t>Кол-во лицензий на конец года накоп. итогом</t>
  </si>
  <si>
    <t>FTE разработки, внедрения, тех. поддержки</t>
  </si>
  <si>
    <t>Итого</t>
  </si>
  <si>
    <t>Лицензии</t>
  </si>
  <si>
    <t>Разработка</t>
  </si>
  <si>
    <t>Поддержка L1-2</t>
  </si>
  <si>
    <t>Поддержка L3</t>
  </si>
  <si>
    <t>Прочее</t>
  </si>
  <si>
    <t>Gitflic - прив.</t>
  </si>
  <si>
    <t>DevPlatform</t>
  </si>
  <si>
    <t>Gitflic баз.</t>
  </si>
  <si>
    <t>Итого:</t>
  </si>
  <si>
    <t>Разбивка расходов (суммарно 2023-2027 гг.) по категориям</t>
  </si>
  <si>
    <t>привилегированная техподдержка L3 gitflic - (9000-3600) рублей в месяц за одну лицензию + скидка 20%</t>
  </si>
  <si>
    <t>добавляем одного человека к команде внедрения GitFlic на стороне VK. 5 вместо 4х
для DevPlatform оставляем 4</t>
  </si>
  <si>
    <t>3 постоянных FTE на весь срок внедрения. последнюю партию начинаем внедрять в Q1 2025.</t>
  </si>
  <si>
    <t xml:space="preserve"> в 2024 (год внедрения) эксплуатация 2 FTE (400 тыс. на 1 FTE) ежемесячно для обоих решений. В 2025 внедрение идет только в 1Q (2FTE). Далее - 0.5 FTE.</t>
  </si>
  <si>
    <t>Внедрение (команда VK)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</si>
</sst>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#,##0;\(#,##0\);\-"/>
    <numFmt numFmtId="166" formatCode="#\ ##0;\(#\ ##0\);\ "/>
    <numFmt numFmtId="167" formatCode="0.0%"/>
    <numFmt numFmtId="168" formatCode="#,##0.0;\(#,##0.0\);\-"/>
    <numFmt numFmtId="169" formatCode="###,000"/>
  </numFmts>
  <fonts count="52">
    <font>
      <sz val="11"/>
      <color theme="1"/>
      <name val="SF Pro Text Light"/>
      <family val="2"/>
      <charset val="204"/>
      <scheme val="minor"/>
    </font>
    <font>
      <sz val="11"/>
      <color theme="1"/>
      <name val="SF Pro Text Light"/>
      <family val="2"/>
      <charset val="204"/>
      <scheme val="minor"/>
    </font>
    <font>
      <sz val="11"/>
      <color rgb="FFFF0000"/>
      <name val="SF Pro Text Light"/>
      <family val="2"/>
      <charset val="204"/>
      <scheme val="minor"/>
    </font>
    <font>
      <sz val="10"/>
      <color theme="1"/>
      <name val="Arial"/>
      <family val="2"/>
      <charset val="204"/>
    </font>
    <font>
      <b/>
      <sz val="9"/>
      <color rgb="FF1F1F1F"/>
      <name val="Google Sans"/>
    </font>
    <font>
      <sz val="12"/>
      <color theme="1"/>
      <name val="SF Pro Text Light"/>
      <family val="2"/>
      <charset val="204"/>
      <scheme val="minor"/>
    </font>
    <font>
      <b/>
      <sz val="12"/>
      <color theme="1"/>
      <name val="SF Pro Text Light"/>
      <family val="2"/>
      <charset val="204"/>
      <scheme val="minor"/>
    </font>
    <font>
      <b/>
      <sz val="12"/>
      <color rgb="FF0070C0"/>
      <name val="SF Pro Text Light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color theme="0" tint="-0.499984740745262"/>
      <name val="Arial"/>
      <family val="2"/>
      <charset val="204"/>
    </font>
    <font>
      <sz val="10"/>
      <color rgb="FF0070C0"/>
      <name val="Arial"/>
      <family val="2"/>
      <charset val="204"/>
    </font>
    <font>
      <b/>
      <sz val="10"/>
      <color theme="0" tint="-0.499984740745262"/>
      <name val="Arial"/>
      <family val="2"/>
      <charset val="204"/>
    </font>
    <font>
      <sz val="10"/>
      <color theme="4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0"/>
      <color rgb="FF0066FF"/>
      <name val="Arial"/>
      <family val="2"/>
      <charset val="204"/>
    </font>
    <font>
      <sz val="10"/>
      <name val="Arial"/>
      <family val="2"/>
      <charset val="204"/>
    </font>
    <font>
      <b/>
      <sz val="8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sz val="10"/>
      <color theme="0" tint="-4.9989318521683403E-2"/>
      <name val="Arial"/>
      <family val="2"/>
      <charset val="204"/>
    </font>
    <font>
      <b/>
      <sz val="8"/>
      <color rgb="FF1F497D"/>
      <name val="Verdana"/>
      <family val="2"/>
      <charset val="204"/>
    </font>
    <font>
      <sz val="8"/>
      <color rgb="FF1F497D"/>
      <name val="Verdana"/>
      <family val="2"/>
      <charset val="204"/>
    </font>
    <font>
      <sz val="8"/>
      <color rgb="FF000000"/>
      <name val="Verdana"/>
      <family val="2"/>
      <charset val="204"/>
    </font>
    <font>
      <b/>
      <sz val="8"/>
      <color rgb="FF00CC00"/>
      <name val="Verdana"/>
      <family val="2"/>
      <charset val="204"/>
    </font>
    <font>
      <b/>
      <sz val="8"/>
      <color rgb="FF33CC33"/>
      <name val="Verdana"/>
      <family val="2"/>
      <charset val="204"/>
    </font>
    <font>
      <b/>
      <sz val="8"/>
      <color rgb="FFFF9900"/>
      <name val="Verdana"/>
      <family val="2"/>
      <charset val="204"/>
    </font>
    <font>
      <b/>
      <sz val="8"/>
      <color rgb="FFFF0000"/>
      <name val="Verdana"/>
      <family val="2"/>
      <charset val="204"/>
    </font>
    <font>
      <sz val="8"/>
      <color rgb="FF000000"/>
      <name val="Arial"/>
      <family val="2"/>
      <charset val="204"/>
    </font>
    <font>
      <i/>
      <sz val="8"/>
      <color rgb="FF000000"/>
      <name val="Verdana"/>
      <family val="2"/>
      <charset val="204"/>
    </font>
    <font>
      <b/>
      <i/>
      <sz val="8"/>
      <color rgb="FF000000"/>
      <name val="Verdana"/>
      <family val="2"/>
      <charset val="204"/>
    </font>
    <font>
      <b/>
      <i/>
      <sz val="8"/>
      <color rgb="FF1F497D"/>
      <name val="Verdana"/>
      <family val="2"/>
      <charset val="204"/>
    </font>
    <font>
      <i/>
      <sz val="8"/>
      <color rgb="FF1F497D"/>
      <name val="Verdana"/>
      <family val="2"/>
      <charset val="204"/>
    </font>
    <font>
      <sz val="10"/>
      <color theme="1"/>
      <name val="SF Pro Text"/>
      <charset val="204"/>
    </font>
    <font>
      <b/>
      <sz val="10"/>
      <color theme="1"/>
      <name val="SF Pro Text"/>
      <charset val="204"/>
    </font>
    <font>
      <sz val="10"/>
      <color rgb="FF0066FF"/>
      <name val="SF Pro Text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2"/>
      <color theme="1"/>
      <name val="SF Pro Text Light"/>
      <scheme val="minor"/>
    </font>
    <font>
      <sz val="10"/>
      <color rgb="FF0066FF"/>
      <name val="Arial"/>
      <family val="2"/>
      <charset val="204"/>
    </font>
    <font>
      <b/>
      <sz val="12"/>
      <color theme="1"/>
      <name val="SF Pro Text Light"/>
      <charset val="204"/>
      <scheme val="minor"/>
    </font>
    <font>
      <sz val="12"/>
      <color theme="3" tint="0.59999389629810485"/>
      <name val="SF Pro Text Light"/>
      <scheme val="minor"/>
    </font>
    <font>
      <b/>
      <sz val="12"/>
      <color theme="3" tint="0.59999389629810485"/>
      <name val="SF Pro Text Light"/>
      <scheme val="minor"/>
    </font>
    <font>
      <sz val="10"/>
      <color theme="0" tint="-0.34998626667073579"/>
      <name val="Arial"/>
      <family val="2"/>
      <charset val="204"/>
    </font>
    <font>
      <b/>
      <sz val="10"/>
      <color rgb="FF0066FF"/>
      <name val="SF Pro Text"/>
      <charset val="204"/>
    </font>
    <font>
      <b/>
      <sz val="10"/>
      <color theme="0" tint="-0.34998626667073579"/>
      <name val="Arial"/>
      <family val="2"/>
      <charset val="204"/>
    </font>
    <font>
      <b/>
      <sz val="10"/>
      <color theme="1"/>
      <name val="SF Pro Text Light"/>
      <family val="2"/>
      <charset val="204"/>
      <scheme val="minor"/>
    </font>
    <font>
      <sz val="10"/>
      <color theme="1"/>
      <name val="SF Pro Text Light"/>
      <family val="2"/>
      <charset val="204"/>
      <scheme val="minor"/>
    </font>
    <font>
      <b/>
      <sz val="10"/>
      <color rgb="FFEE5C44"/>
      <name val="SF Pro Text Light"/>
      <family val="2"/>
      <charset val="204"/>
      <scheme val="minor"/>
    </font>
    <font>
      <b/>
      <sz val="10"/>
      <color theme="1"/>
      <name val="SF Pro Text Light"/>
      <charset val="204"/>
      <scheme val="minor"/>
    </font>
    <font>
      <sz val="10"/>
      <color theme="0" tint="-0.249977111117893"/>
      <name val="SF Pro Text Light"/>
      <family val="2"/>
      <charset val="204"/>
      <scheme val="minor"/>
    </font>
    <font>
      <sz val="10"/>
      <color theme="0" tint="-0.14999847407452621"/>
      <name val="Arial"/>
      <family val="2"/>
      <charset val="204"/>
    </font>
    <font>
      <sz val="10"/>
      <color theme="0" tint="-0.249977111117893"/>
      <name val="SF Pro Text"/>
      <charset val="20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CCFBFF"/>
        <bgColor indexed="64"/>
      </patternFill>
    </fill>
    <fill>
      <patternFill patternType="solid">
        <fgColor rgb="FFF2F2F2"/>
        <bgColor indexed="64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48"/>
      </left>
      <right style="double">
        <color indexed="48"/>
      </right>
      <top style="thin">
        <color indexed="46"/>
      </top>
      <bottom style="thin">
        <color indexed="46"/>
      </bottom>
      <diagonal/>
    </border>
    <border>
      <left style="thin">
        <color indexed="46"/>
      </left>
      <right style="thin">
        <color indexed="46"/>
      </right>
      <top style="thin">
        <color indexed="46"/>
      </top>
      <bottom style="thin">
        <color indexed="46"/>
      </bottom>
      <diagonal/>
    </border>
    <border>
      <left style="double">
        <color indexed="48"/>
      </left>
      <right style="double">
        <color indexed="48"/>
      </right>
      <top style="thin">
        <color indexed="46"/>
      </top>
      <bottom style="thin">
        <color indexed="48"/>
      </bottom>
      <diagonal/>
    </border>
    <border>
      <left style="double">
        <color indexed="48"/>
      </left>
      <right style="double">
        <color indexed="48"/>
      </right>
      <top style="double">
        <color indexed="48"/>
      </top>
      <bottom style="double">
        <color indexed="48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thin">
        <color theme="1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16" fillId="0" borderId="0"/>
    <xf numFmtId="0" fontId="20" fillId="14" borderId="21" applyNumberFormat="0" applyAlignment="0" applyProtection="0">
      <alignment horizontal="left" vertical="center" indent="1"/>
    </xf>
    <xf numFmtId="169" fontId="21" fillId="0" borderId="22" applyNumberFormat="0" applyProtection="0">
      <alignment horizontal="right" vertical="center"/>
    </xf>
    <xf numFmtId="169" fontId="20" fillId="0" borderId="23" applyNumberFormat="0" applyProtection="0">
      <alignment horizontal="right" vertical="center"/>
    </xf>
    <xf numFmtId="0" fontId="22" fillId="15" borderId="23" applyNumberFormat="0" applyAlignment="0" applyProtection="0">
      <alignment horizontal="left" vertical="center" indent="1"/>
    </xf>
    <xf numFmtId="0" fontId="22" fillId="16" borderId="23" applyNumberFormat="0" applyAlignment="0" applyProtection="0">
      <alignment horizontal="left" vertical="center" indent="1"/>
    </xf>
    <xf numFmtId="169" fontId="21" fillId="17" borderId="22" applyNumberFormat="0" applyBorder="0" applyProtection="0">
      <alignment horizontal="right" vertical="center"/>
    </xf>
    <xf numFmtId="0" fontId="22" fillId="15" borderId="23" applyNumberFormat="0" applyAlignment="0" applyProtection="0">
      <alignment horizontal="left" vertical="center" indent="1"/>
    </xf>
    <xf numFmtId="169" fontId="20" fillId="16" borderId="23" applyNumberFormat="0" applyProtection="0">
      <alignment horizontal="right" vertical="center"/>
    </xf>
    <xf numFmtId="169" fontId="20" fillId="17" borderId="23" applyNumberFormat="0" applyBorder="0" applyProtection="0">
      <alignment horizontal="right" vertical="center"/>
    </xf>
    <xf numFmtId="169" fontId="23" fillId="18" borderId="24" applyNumberFormat="0" applyBorder="0" applyAlignment="0" applyProtection="0">
      <alignment horizontal="right" vertical="center" indent="1"/>
    </xf>
    <xf numFmtId="169" fontId="24" fillId="19" borderId="24" applyNumberFormat="0" applyBorder="0" applyAlignment="0" applyProtection="0">
      <alignment horizontal="right" vertical="center" indent="1"/>
    </xf>
    <xf numFmtId="169" fontId="24" fillId="20" borderId="24" applyNumberFormat="0" applyBorder="0" applyAlignment="0" applyProtection="0">
      <alignment horizontal="right" vertical="center" indent="1"/>
    </xf>
    <xf numFmtId="169" fontId="25" fillId="21" borderId="24" applyNumberFormat="0" applyBorder="0" applyAlignment="0" applyProtection="0">
      <alignment horizontal="right" vertical="center" indent="1"/>
    </xf>
    <xf numFmtId="169" fontId="25" fillId="22" borderId="24" applyNumberFormat="0" applyBorder="0" applyAlignment="0" applyProtection="0">
      <alignment horizontal="right" vertical="center" indent="1"/>
    </xf>
    <xf numFmtId="169" fontId="25" fillId="23" borderId="24" applyNumberFormat="0" applyBorder="0" applyAlignment="0" applyProtection="0">
      <alignment horizontal="right" vertical="center" indent="1"/>
    </xf>
    <xf numFmtId="169" fontId="26" fillId="24" borderId="24" applyNumberFormat="0" applyBorder="0" applyAlignment="0" applyProtection="0">
      <alignment horizontal="right" vertical="center" indent="1"/>
    </xf>
    <xf numFmtId="169" fontId="26" fillId="25" borderId="24" applyNumberFormat="0" applyBorder="0" applyAlignment="0" applyProtection="0">
      <alignment horizontal="right" vertical="center" indent="1"/>
    </xf>
    <xf numFmtId="169" fontId="26" fillId="26" borderId="24" applyNumberFormat="0" applyBorder="0" applyAlignment="0" applyProtection="0">
      <alignment horizontal="right" vertical="center" indent="1"/>
    </xf>
    <xf numFmtId="0" fontId="27" fillId="0" borderId="21" applyNumberFormat="0" applyFont="0" applyFill="0" applyAlignment="0" applyProtection="0"/>
    <xf numFmtId="169" fontId="21" fillId="27" borderId="21" applyNumberFormat="0" applyAlignment="0" applyProtection="0">
      <alignment horizontal="left" vertical="center" indent="1"/>
    </xf>
    <xf numFmtId="0" fontId="20" fillId="14" borderId="23" applyNumberFormat="0" applyAlignment="0" applyProtection="0">
      <alignment horizontal="left" vertical="center" indent="1"/>
    </xf>
    <xf numFmtId="0" fontId="22" fillId="28" borderId="21" applyNumberFormat="0" applyAlignment="0" applyProtection="0">
      <alignment horizontal="left" vertical="center" indent="1"/>
    </xf>
    <xf numFmtId="0" fontId="22" fillId="29" borderId="21" applyNumberFormat="0" applyAlignment="0" applyProtection="0">
      <alignment horizontal="left" vertical="center" indent="1"/>
    </xf>
    <xf numFmtId="0" fontId="22" fillId="30" borderId="21" applyNumberFormat="0" applyAlignment="0" applyProtection="0">
      <alignment horizontal="left" vertical="center" indent="1"/>
    </xf>
    <xf numFmtId="0" fontId="22" fillId="17" borderId="21" applyNumberFormat="0" applyAlignment="0" applyProtection="0">
      <alignment horizontal="left" vertical="center" indent="1"/>
    </xf>
    <xf numFmtId="0" fontId="22" fillId="16" borderId="23" applyNumberFormat="0" applyAlignment="0" applyProtection="0">
      <alignment horizontal="left" vertical="center" indent="1"/>
    </xf>
    <xf numFmtId="0" fontId="28" fillId="0" borderId="25" applyNumberFormat="0" applyFill="0" applyBorder="0" applyAlignment="0" applyProtection="0"/>
    <xf numFmtId="0" fontId="29" fillId="0" borderId="25" applyNumberFormat="0" applyBorder="0" applyAlignment="0" applyProtection="0"/>
    <xf numFmtId="0" fontId="28" fillId="15" borderId="23" applyNumberFormat="0" applyAlignment="0" applyProtection="0">
      <alignment horizontal="left" vertical="center" indent="1"/>
    </xf>
    <xf numFmtId="0" fontId="28" fillId="15" borderId="23" applyNumberFormat="0" applyAlignment="0" applyProtection="0">
      <alignment horizontal="left" vertical="center" indent="1"/>
    </xf>
    <xf numFmtId="0" fontId="28" fillId="16" borderId="23" applyNumberFormat="0" applyAlignment="0" applyProtection="0">
      <alignment horizontal="left" vertical="center" indent="1"/>
    </xf>
    <xf numFmtId="169" fontId="30" fillId="16" borderId="23" applyNumberFormat="0" applyProtection="0">
      <alignment horizontal="right" vertical="center"/>
    </xf>
    <xf numFmtId="169" fontId="31" fillId="17" borderId="22" applyNumberFormat="0" applyBorder="0" applyProtection="0">
      <alignment horizontal="right" vertical="center"/>
    </xf>
    <xf numFmtId="169" fontId="30" fillId="17" borderId="23" applyNumberFormat="0" applyBorder="0" applyProtection="0">
      <alignment horizontal="right" vertical="center"/>
    </xf>
    <xf numFmtId="169" fontId="21" fillId="0" borderId="22" applyNumberFormat="0" applyFill="0" applyBorder="0" applyAlignment="0" applyProtection="0">
      <alignment horizontal="right" vertical="center"/>
    </xf>
    <xf numFmtId="169" fontId="21" fillId="0" borderId="22" applyNumberFormat="0" applyFill="0" applyBorder="0" applyAlignment="0" applyProtection="0">
      <alignment horizontal="right" vertical="center"/>
    </xf>
    <xf numFmtId="0" fontId="5" fillId="0" borderId="0"/>
    <xf numFmtId="0" fontId="5" fillId="0" borderId="0"/>
  </cellStyleXfs>
  <cellXfs count="181">
    <xf numFmtId="0" fontId="0" fillId="0" borderId="0" xfId="0"/>
    <xf numFmtId="0" fontId="3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wrapText="1"/>
    </xf>
    <xf numFmtId="0" fontId="3" fillId="0" borderId="0" xfId="0" applyFont="1"/>
    <xf numFmtId="0" fontId="3" fillId="0" borderId="3" xfId="0" applyFont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0" fillId="0" borderId="0" xfId="0" applyAlignment="1"/>
    <xf numFmtId="0" fontId="2" fillId="0" borderId="0" xfId="0" applyFont="1" applyAlignment="1">
      <alignment horizontal="right"/>
    </xf>
    <xf numFmtId="0" fontId="8" fillId="4" borderId="0" xfId="0" applyFont="1" applyFill="1"/>
    <xf numFmtId="0" fontId="8" fillId="0" borderId="0" xfId="0" applyFont="1"/>
    <xf numFmtId="3" fontId="3" fillId="0" borderId="4" xfId="0" applyNumberFormat="1" applyFont="1" applyBorder="1" applyAlignment="1">
      <alignment horizontal="right" wrapText="1"/>
    </xf>
    <xf numFmtId="3" fontId="3" fillId="0" borderId="0" xfId="0" applyNumberFormat="1" applyFont="1"/>
    <xf numFmtId="164" fontId="3" fillId="0" borderId="0" xfId="0" applyNumberFormat="1" applyFont="1"/>
    <xf numFmtId="3" fontId="3" fillId="0" borderId="4" xfId="0" applyNumberFormat="1" applyFont="1" applyFill="1" applyBorder="1" applyAlignment="1">
      <alignment horizontal="right" wrapText="1"/>
    </xf>
    <xf numFmtId="0" fontId="7" fillId="0" borderId="0" xfId="2" applyFont="1" applyFill="1" applyAlignment="1">
      <alignment horizontal="right" vertical="top" wrapText="1"/>
    </xf>
    <xf numFmtId="3" fontId="3" fillId="0" borderId="0" xfId="0" applyNumberFormat="1" applyFont="1" applyFill="1"/>
    <xf numFmtId="0" fontId="9" fillId="0" borderId="0" xfId="0" applyFont="1"/>
    <xf numFmtId="0" fontId="10" fillId="0" borderId="0" xfId="0" applyFont="1"/>
    <xf numFmtId="164" fontId="10" fillId="0" borderId="0" xfId="0" applyNumberFormat="1" applyFont="1"/>
    <xf numFmtId="3" fontId="10" fillId="0" borderId="0" xfId="0" applyNumberFormat="1" applyFont="1"/>
    <xf numFmtId="9" fontId="10" fillId="0" borderId="0" xfId="1" applyFont="1"/>
    <xf numFmtId="3" fontId="8" fillId="0" borderId="5" xfId="0" applyNumberFormat="1" applyFont="1" applyBorder="1"/>
    <xf numFmtId="0" fontId="8" fillId="0" borderId="6" xfId="0" applyFont="1" applyBorder="1"/>
    <xf numFmtId="3" fontId="8" fillId="0" borderId="6" xfId="0" applyNumberFormat="1" applyFont="1" applyFill="1" applyBorder="1"/>
    <xf numFmtId="0" fontId="10" fillId="0" borderId="0" xfId="0" applyFont="1" applyAlignment="1">
      <alignment horizontal="left" indent="1"/>
    </xf>
    <xf numFmtId="9" fontId="13" fillId="0" borderId="0" xfId="1" applyFont="1"/>
    <xf numFmtId="0" fontId="13" fillId="0" borderId="0" xfId="0" applyFont="1"/>
    <xf numFmtId="3" fontId="13" fillId="0" borderId="0" xfId="0" applyNumberFormat="1" applyFont="1"/>
    <xf numFmtId="0" fontId="8" fillId="0" borderId="7" xfId="0" applyFont="1" applyBorder="1"/>
    <xf numFmtId="1" fontId="10" fillId="0" borderId="0" xfId="0" applyNumberFormat="1" applyFont="1"/>
    <xf numFmtId="0" fontId="3" fillId="5" borderId="0" xfId="0" applyFont="1" applyFill="1"/>
    <xf numFmtId="0" fontId="14" fillId="5" borderId="0" xfId="0" applyFont="1" applyFill="1"/>
    <xf numFmtId="165" fontId="3" fillId="0" borderId="0" xfId="0" applyNumberFormat="1" applyFont="1"/>
    <xf numFmtId="165" fontId="8" fillId="0" borderId="6" xfId="0" applyNumberFormat="1" applyFont="1" applyBorder="1"/>
    <xf numFmtId="9" fontId="3" fillId="0" borderId="0" xfId="0" applyNumberFormat="1" applyFont="1"/>
    <xf numFmtId="164" fontId="13" fillId="0" borderId="0" xfId="0" applyNumberFormat="1" applyFont="1"/>
    <xf numFmtId="0" fontId="15" fillId="0" borderId="9" xfId="0" applyFont="1" applyBorder="1"/>
    <xf numFmtId="0" fontId="15" fillId="0" borderId="10" xfId="0" applyFont="1" applyBorder="1"/>
    <xf numFmtId="165" fontId="15" fillId="0" borderId="11" xfId="0" applyNumberFormat="1" applyFont="1" applyBorder="1"/>
    <xf numFmtId="0" fontId="15" fillId="0" borderId="12" xfId="0" applyFont="1" applyBorder="1"/>
    <xf numFmtId="0" fontId="15" fillId="0" borderId="0" xfId="0" applyFont="1" applyBorder="1"/>
    <xf numFmtId="0" fontId="15" fillId="0" borderId="14" xfId="0" applyFont="1" applyBorder="1"/>
    <xf numFmtId="0" fontId="15" fillId="0" borderId="15" xfId="0" applyFont="1" applyBorder="1"/>
    <xf numFmtId="9" fontId="3" fillId="6" borderId="8" xfId="1" applyFont="1" applyFill="1" applyBorder="1"/>
    <xf numFmtId="0" fontId="17" fillId="7" borderId="0" xfId="3" applyFont="1" applyFill="1" applyBorder="1" applyAlignment="1" applyProtection="1">
      <protection locked="0"/>
    </xf>
    <xf numFmtId="0" fontId="16" fillId="0" borderId="0" xfId="3"/>
    <xf numFmtId="0" fontId="18" fillId="8" borderId="0" xfId="3" applyFont="1" applyFill="1" applyBorder="1" applyAlignment="1" applyProtection="1">
      <protection locked="0"/>
    </xf>
    <xf numFmtId="0" fontId="17" fillId="9" borderId="17" xfId="3" applyFont="1" applyFill="1" applyBorder="1" applyAlignment="1" applyProtection="1">
      <alignment horizontal="center" vertical="center"/>
      <protection locked="0"/>
    </xf>
    <xf numFmtId="0" fontId="18" fillId="9" borderId="18" xfId="3" applyFont="1" applyFill="1" applyBorder="1" applyAlignment="1" applyProtection="1">
      <alignment horizontal="left" vertical="center" indent="2"/>
      <protection locked="0"/>
    </xf>
    <xf numFmtId="166" fontId="18" fillId="7" borderId="17" xfId="3" applyNumberFormat="1" applyFont="1" applyFill="1" applyBorder="1" applyAlignment="1" applyProtection="1">
      <alignment horizontal="right" vertical="center"/>
    </xf>
    <xf numFmtId="0" fontId="17" fillId="9" borderId="18" xfId="3" applyFont="1" applyFill="1" applyBorder="1" applyAlignment="1" applyProtection="1">
      <alignment horizontal="left" vertical="center" indent="2"/>
      <protection locked="0"/>
    </xf>
    <xf numFmtId="166" fontId="18" fillId="7" borderId="19" xfId="3" applyNumberFormat="1" applyFont="1" applyFill="1" applyBorder="1" applyAlignment="1" applyProtection="1">
      <alignment horizontal="right" vertical="center"/>
    </xf>
    <xf numFmtId="0" fontId="17" fillId="9" borderId="18" xfId="3" applyFont="1" applyFill="1" applyBorder="1" applyAlignment="1" applyProtection="1">
      <alignment horizontal="left" vertical="center" indent="1"/>
      <protection locked="0"/>
    </xf>
    <xf numFmtId="3" fontId="16" fillId="0" borderId="0" xfId="3" applyNumberFormat="1"/>
    <xf numFmtId="0" fontId="17" fillId="9" borderId="18" xfId="3" applyFont="1" applyFill="1" applyBorder="1" applyAlignment="1" applyProtection="1">
      <alignment horizontal="left" vertical="center"/>
      <protection locked="0"/>
    </xf>
    <xf numFmtId="166" fontId="18" fillId="7" borderId="20" xfId="3" applyNumberFormat="1" applyFont="1" applyFill="1" applyBorder="1" applyAlignment="1" applyProtection="1">
      <alignment horizontal="right" vertical="center"/>
    </xf>
    <xf numFmtId="168" fontId="15" fillId="0" borderId="16" xfId="0" applyNumberFormat="1" applyFont="1" applyFill="1" applyBorder="1"/>
    <xf numFmtId="168" fontId="15" fillId="0" borderId="13" xfId="0" applyNumberFormat="1" applyFont="1" applyFill="1" applyBorder="1"/>
    <xf numFmtId="165" fontId="10" fillId="0" borderId="0" xfId="0" applyNumberFormat="1" applyFont="1"/>
    <xf numFmtId="165" fontId="10" fillId="10" borderId="0" xfId="0" applyNumberFormat="1" applyFont="1" applyFill="1"/>
    <xf numFmtId="165" fontId="10" fillId="0" borderId="0" xfId="0" applyNumberFormat="1" applyFont="1" applyFill="1"/>
    <xf numFmtId="14" fontId="19" fillId="0" borderId="0" xfId="0" applyNumberFormat="1" applyFont="1"/>
    <xf numFmtId="0" fontId="3" fillId="11" borderId="0" xfId="0" applyFont="1" applyFill="1"/>
    <xf numFmtId="0" fontId="14" fillId="11" borderId="0" xfId="0" applyFont="1" applyFill="1"/>
    <xf numFmtId="3" fontId="16" fillId="0" borderId="0" xfId="3" applyNumberFormat="1" applyFill="1"/>
    <xf numFmtId="3" fontId="13" fillId="0" borderId="0" xfId="0" applyNumberFormat="1" applyFont="1" applyFill="1"/>
    <xf numFmtId="0" fontId="16" fillId="12" borderId="0" xfId="3" applyFill="1"/>
    <xf numFmtId="0" fontId="10" fillId="0" borderId="0" xfId="0" applyFont="1" applyFill="1"/>
    <xf numFmtId="0" fontId="3" fillId="0" borderId="7" xfId="0" applyFont="1" applyBorder="1"/>
    <xf numFmtId="3" fontId="8" fillId="0" borderId="5" xfId="0" applyNumberFormat="1" applyFont="1" applyFill="1" applyBorder="1"/>
    <xf numFmtId="0" fontId="16" fillId="31" borderId="0" xfId="3" applyFill="1"/>
    <xf numFmtId="0" fontId="32" fillId="0" borderId="0" xfId="0" applyFont="1"/>
    <xf numFmtId="0" fontId="33" fillId="0" borderId="0" xfId="0" applyFont="1"/>
    <xf numFmtId="0" fontId="32" fillId="0" borderId="0" xfId="0" applyFont="1" applyAlignment="1">
      <alignment wrapText="1"/>
    </xf>
    <xf numFmtId="0" fontId="33" fillId="0" borderId="0" xfId="0" applyFont="1" applyAlignment="1">
      <alignment vertical="top"/>
    </xf>
    <xf numFmtId="0" fontId="33" fillId="0" borderId="0" xfId="0" applyFont="1" applyAlignment="1">
      <alignment horizontal="right" wrapText="1"/>
    </xf>
    <xf numFmtId="3" fontId="32" fillId="0" borderId="0" xfId="0" applyNumberFormat="1" applyFont="1" applyFill="1" applyAlignment="1">
      <alignment horizontal="right"/>
    </xf>
    <xf numFmtId="164" fontId="10" fillId="0" borderId="0" xfId="0" applyNumberFormat="1" applyFont="1" applyFill="1"/>
    <xf numFmtId="0" fontId="13" fillId="0" borderId="0" xfId="0" applyFont="1" applyFill="1"/>
    <xf numFmtId="3" fontId="10" fillId="0" borderId="0" xfId="0" applyNumberFormat="1" applyFont="1" applyFill="1"/>
    <xf numFmtId="9" fontId="10" fillId="0" borderId="0" xfId="1" applyFont="1" applyFill="1"/>
    <xf numFmtId="168" fontId="10" fillId="0" borderId="0" xfId="0" applyNumberFormat="1" applyFont="1" applyFill="1"/>
    <xf numFmtId="0" fontId="10" fillId="11" borderId="0" xfId="0" applyFont="1" applyFill="1"/>
    <xf numFmtId="0" fontId="12" fillId="4" borderId="0" xfId="0" applyFont="1" applyFill="1"/>
    <xf numFmtId="0" fontId="10" fillId="5" borderId="0" xfId="0" applyFont="1" applyFill="1"/>
    <xf numFmtId="0" fontId="34" fillId="0" borderId="0" xfId="0" applyFont="1" applyBorder="1" applyAlignment="1">
      <alignment horizontal="right"/>
    </xf>
    <xf numFmtId="0" fontId="34" fillId="0" borderId="26" xfId="0" applyFont="1" applyBorder="1"/>
    <xf numFmtId="0" fontId="34" fillId="0" borderId="27" xfId="0" applyFont="1" applyBorder="1" applyAlignment="1">
      <alignment horizontal="right"/>
    </xf>
    <xf numFmtId="165" fontId="34" fillId="0" borderId="28" xfId="0" applyNumberFormat="1" applyFont="1" applyBorder="1" applyAlignment="1">
      <alignment horizontal="right"/>
    </xf>
    <xf numFmtId="0" fontId="34" fillId="0" borderId="29" xfId="0" applyFont="1" applyBorder="1"/>
    <xf numFmtId="167" fontId="34" fillId="0" borderId="30" xfId="0" applyNumberFormat="1" applyFont="1" applyFill="1" applyBorder="1" applyAlignment="1">
      <alignment horizontal="right"/>
    </xf>
    <xf numFmtId="168" fontId="34" fillId="0" borderId="30" xfId="0" applyNumberFormat="1" applyFont="1" applyFill="1" applyBorder="1" applyAlignment="1">
      <alignment horizontal="right"/>
    </xf>
    <xf numFmtId="0" fontId="34" fillId="0" borderId="31" xfId="0" applyFont="1" applyBorder="1"/>
    <xf numFmtId="0" fontId="34" fillId="0" borderId="32" xfId="0" applyFont="1" applyBorder="1" applyAlignment="1">
      <alignment horizontal="right"/>
    </xf>
    <xf numFmtId="168" fontId="34" fillId="0" borderId="33" xfId="0" applyNumberFormat="1" applyFont="1" applyFill="1" applyBorder="1" applyAlignment="1">
      <alignment horizontal="right"/>
    </xf>
    <xf numFmtId="0" fontId="3" fillId="0" borderId="4" xfId="0" applyFont="1" applyFill="1" applyBorder="1" applyAlignment="1">
      <alignment horizontal="right" wrapText="1"/>
    </xf>
    <xf numFmtId="164" fontId="11" fillId="0" borderId="0" xfId="0" applyNumberFormat="1" applyFont="1" applyFill="1"/>
    <xf numFmtId="1" fontId="10" fillId="0" borderId="0" xfId="0" applyNumberFormat="1" applyFont="1" applyFill="1"/>
    <xf numFmtId="0" fontId="8" fillId="0" borderId="7" xfId="0" applyFont="1" applyFill="1" applyBorder="1"/>
    <xf numFmtId="164" fontId="38" fillId="0" borderId="0" xfId="0" applyNumberFormat="1" applyFont="1"/>
    <xf numFmtId="1" fontId="38" fillId="0" borderId="0" xfId="0" applyNumberFormat="1" applyFont="1"/>
    <xf numFmtId="0" fontId="40" fillId="0" borderId="0" xfId="40" applyFont="1" applyAlignment="1">
      <alignment wrapText="1"/>
    </xf>
    <xf numFmtId="0" fontId="40" fillId="0" borderId="0" xfId="40" applyFont="1" applyAlignment="1"/>
    <xf numFmtId="1" fontId="41" fillId="13" borderId="0" xfId="2" applyNumberFormat="1" applyFont="1" applyFill="1"/>
    <xf numFmtId="1" fontId="41" fillId="0" borderId="0" xfId="2" applyNumberFormat="1" applyFont="1" applyFill="1"/>
    <xf numFmtId="3" fontId="41" fillId="0" borderId="0" xfId="2" applyNumberFormat="1" applyFont="1"/>
    <xf numFmtId="1" fontId="41" fillId="32" borderId="0" xfId="2" applyNumberFormat="1" applyFont="1" applyFill="1"/>
    <xf numFmtId="3" fontId="41" fillId="0" borderId="0" xfId="2" applyNumberFormat="1" applyFont="1" applyFill="1"/>
    <xf numFmtId="1" fontId="13" fillId="0" borderId="0" xfId="0" applyNumberFormat="1" applyFont="1" applyFill="1"/>
    <xf numFmtId="0" fontId="19" fillId="0" borderId="0" xfId="0" applyFont="1"/>
    <xf numFmtId="0" fontId="19" fillId="0" borderId="0" xfId="0" applyFont="1" applyAlignment="1">
      <alignment horizontal="left" indent="1"/>
    </xf>
    <xf numFmtId="3" fontId="38" fillId="0" borderId="0" xfId="0" applyNumberFormat="1" applyFont="1" applyFill="1"/>
    <xf numFmtId="0" fontId="12" fillId="0" borderId="34" xfId="0" applyFont="1" applyBorder="1"/>
    <xf numFmtId="0" fontId="3" fillId="0" borderId="34" xfId="0" applyFont="1" applyBorder="1"/>
    <xf numFmtId="0" fontId="42" fillId="0" borderId="0" xfId="0" applyFont="1"/>
    <xf numFmtId="9" fontId="15" fillId="0" borderId="13" xfId="1" applyFont="1" applyFill="1" applyBorder="1"/>
    <xf numFmtId="0" fontId="8" fillId="0" borderId="35" xfId="0" applyFont="1" applyBorder="1"/>
    <xf numFmtId="165" fontId="3" fillId="10" borderId="36" xfId="0" applyNumberFormat="1" applyFont="1" applyFill="1" applyBorder="1"/>
    <xf numFmtId="0" fontId="43" fillId="0" borderId="0" xfId="0" applyFont="1" applyAlignment="1">
      <alignment horizontal="left" vertical="center"/>
    </xf>
    <xf numFmtId="0" fontId="3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/>
    <xf numFmtId="0" fontId="42" fillId="0" borderId="0" xfId="0" applyFont="1" applyAlignment="1"/>
    <xf numFmtId="0" fontId="44" fillId="4" borderId="0" xfId="0" applyFont="1" applyFill="1"/>
    <xf numFmtId="0" fontId="45" fillId="0" borderId="0" xfId="0" applyFont="1" applyAlignment="1">
      <alignment horizontal="center" vertical="center"/>
    </xf>
    <xf numFmtId="0" fontId="46" fillId="0" borderId="0" xfId="0" applyFont="1"/>
    <xf numFmtId="0" fontId="46" fillId="0" borderId="37" xfId="0" applyFont="1" applyBorder="1" applyAlignment="1">
      <alignment horizontal="left" vertical="top" wrapText="1"/>
    </xf>
    <xf numFmtId="0" fontId="46" fillId="0" borderId="0" xfId="0" applyFont="1" applyAlignment="1">
      <alignment vertical="top"/>
    </xf>
    <xf numFmtId="0" fontId="48" fillId="0" borderId="0" xfId="0" applyFont="1"/>
    <xf numFmtId="3" fontId="48" fillId="0" borderId="38" xfId="0" applyNumberFormat="1" applyFont="1" applyBorder="1"/>
    <xf numFmtId="0" fontId="48" fillId="0" borderId="0" xfId="0" applyFont="1" applyFill="1"/>
    <xf numFmtId="0" fontId="38" fillId="0" borderId="0" xfId="0" applyFont="1" applyFill="1"/>
    <xf numFmtId="0" fontId="46" fillId="0" borderId="0" xfId="0" applyFont="1" applyFill="1"/>
    <xf numFmtId="2" fontId="46" fillId="0" borderId="0" xfId="0" applyNumberFormat="1" applyFont="1" applyFill="1"/>
    <xf numFmtId="0" fontId="49" fillId="0" borderId="0" xfId="0" applyFont="1"/>
    <xf numFmtId="0" fontId="49" fillId="0" borderId="0" xfId="0" applyFont="1" applyFill="1"/>
    <xf numFmtId="0" fontId="8" fillId="0" borderId="7" xfId="0" applyFont="1" applyBorder="1" applyAlignment="1">
      <alignment horizontal="right"/>
    </xf>
    <xf numFmtId="1" fontId="38" fillId="0" borderId="0" xfId="0" applyNumberFormat="1" applyFont="1" applyFill="1"/>
    <xf numFmtId="0" fontId="50" fillId="0" borderId="0" xfId="0" applyFont="1"/>
    <xf numFmtId="3" fontId="32" fillId="0" borderId="0" xfId="0" applyNumberFormat="1" applyFont="1"/>
    <xf numFmtId="165" fontId="3" fillId="0" borderId="0" xfId="0" applyNumberFormat="1" applyFont="1" applyFill="1"/>
    <xf numFmtId="2" fontId="3" fillId="0" borderId="0" xfId="0" applyNumberFormat="1" applyFont="1"/>
    <xf numFmtId="165" fontId="10" fillId="33" borderId="0" xfId="0" applyNumberFormat="1" applyFont="1" applyFill="1"/>
    <xf numFmtId="2" fontId="3" fillId="0" borderId="0" xfId="0" applyNumberFormat="1" applyFont="1" applyFill="1"/>
    <xf numFmtId="165" fontId="8" fillId="0" borderId="6" xfId="0" applyNumberFormat="1" applyFont="1" applyFill="1" applyBorder="1"/>
    <xf numFmtId="168" fontId="10" fillId="33" borderId="0" xfId="0" applyNumberFormat="1" applyFont="1" applyFill="1"/>
    <xf numFmtId="165" fontId="3" fillId="33" borderId="36" xfId="0" applyNumberFormat="1" applyFont="1" applyFill="1" applyBorder="1"/>
    <xf numFmtId="3" fontId="9" fillId="0" borderId="0" xfId="0" applyNumberFormat="1" applyFont="1"/>
    <xf numFmtId="3" fontId="33" fillId="0" borderId="37" xfId="0" applyNumberFormat="1" applyFont="1" applyBorder="1"/>
    <xf numFmtId="0" fontId="33" fillId="0" borderId="37" xfId="0" applyFont="1" applyBorder="1" applyAlignment="1">
      <alignment horizontal="right"/>
    </xf>
    <xf numFmtId="0" fontId="33" fillId="0" borderId="6" xfId="0" applyFont="1" applyBorder="1"/>
    <xf numFmtId="3" fontId="33" fillId="0" borderId="6" xfId="0" applyNumberFormat="1" applyFont="1" applyBorder="1"/>
    <xf numFmtId="0" fontId="32" fillId="0" borderId="7" xfId="0" applyFont="1" applyBorder="1"/>
    <xf numFmtId="0" fontId="33" fillId="0" borderId="7" xfId="0" applyFont="1" applyBorder="1"/>
    <xf numFmtId="0" fontId="33" fillId="0" borderId="7" xfId="0" applyFont="1" applyBorder="1" applyAlignment="1">
      <alignment horizontal="right"/>
    </xf>
    <xf numFmtId="0" fontId="33" fillId="0" borderId="39" xfId="0" applyFont="1" applyBorder="1"/>
    <xf numFmtId="3" fontId="51" fillId="0" borderId="0" xfId="0" applyNumberFormat="1" applyFont="1"/>
    <xf numFmtId="0" fontId="6" fillId="0" borderId="0" xfId="41" applyFont="1" applyAlignment="1">
      <alignment wrapText="1"/>
    </xf>
    <xf numFmtId="0" fontId="37" fillId="0" borderId="0" xfId="41" applyFont="1" applyAlignment="1"/>
    <xf numFmtId="0" fontId="5" fillId="0" borderId="0" xfId="41" applyFont="1" applyAlignment="1">
      <alignment vertical="top" wrapText="1"/>
    </xf>
    <xf numFmtId="0" fontId="5" fillId="0" borderId="0" xfId="41" applyFont="1" applyAlignment="1">
      <alignment vertical="top"/>
    </xf>
    <xf numFmtId="0" fontId="6" fillId="0" borderId="0" xfId="41" applyFont="1" applyAlignment="1">
      <alignment vertical="top" wrapText="1"/>
    </xf>
    <xf numFmtId="0" fontId="5" fillId="0" borderId="0" xfId="41" applyFont="1" applyAlignment="1">
      <alignment wrapText="1"/>
    </xf>
    <xf numFmtId="0" fontId="5" fillId="0" borderId="0" xfId="41" applyFont="1"/>
    <xf numFmtId="3" fontId="5" fillId="0" borderId="0" xfId="41" applyNumberFormat="1" applyFont="1" applyAlignment="1">
      <alignment wrapText="1"/>
    </xf>
    <xf numFmtId="3" fontId="6" fillId="3" borderId="0" xfId="41" applyNumberFormat="1" applyFont="1" applyFill="1"/>
    <xf numFmtId="3" fontId="5" fillId="0" borderId="0" xfId="41" applyNumberFormat="1" applyFont="1"/>
    <xf numFmtId="0" fontId="5" fillId="0" borderId="0" xfId="41" applyFont="1" applyAlignment="1"/>
    <xf numFmtId="0" fontId="39" fillId="0" borderId="0" xfId="41" applyFont="1" applyAlignment="1">
      <alignment wrapText="1"/>
    </xf>
    <xf numFmtId="0" fontId="39" fillId="0" borderId="0" xfId="41" applyFont="1" applyAlignment="1"/>
    <xf numFmtId="0" fontId="39" fillId="0" borderId="0" xfId="41" applyFont="1"/>
    <xf numFmtId="3" fontId="6" fillId="3" borderId="0" xfId="41" applyNumberFormat="1" applyFont="1" applyFill="1" applyAlignment="1">
      <alignment wrapText="1"/>
    </xf>
    <xf numFmtId="3" fontId="40" fillId="0" borderId="0" xfId="40" applyNumberFormat="1" applyFont="1" applyAlignment="1"/>
    <xf numFmtId="3" fontId="39" fillId="0" borderId="0" xfId="41" applyNumberFormat="1" applyFont="1" applyAlignment="1">
      <alignment wrapText="1"/>
    </xf>
    <xf numFmtId="0" fontId="39" fillId="0" borderId="0" xfId="41" applyFont="1" applyFill="1"/>
    <xf numFmtId="0" fontId="39" fillId="0" borderId="0" xfId="41" applyFont="1" applyFill="1" applyAlignment="1">
      <alignment wrapText="1"/>
    </xf>
    <xf numFmtId="3" fontId="48" fillId="0" borderId="0" xfId="0" applyNumberFormat="1" applyFont="1" applyFill="1"/>
    <xf numFmtId="1" fontId="11" fillId="0" borderId="0" xfId="0" applyNumberFormat="1" applyFont="1" applyFill="1"/>
    <xf numFmtId="3" fontId="32" fillId="0" borderId="0" xfId="0" applyNumberFormat="1" applyFont="1" applyFill="1"/>
  </cellXfs>
  <cellStyles count="42">
    <cellStyle name="SAPBorder" xfId="22" xr:uid="{D3E868DD-7D86-480C-AE84-C338337EFACC}"/>
    <cellStyle name="SAPDataCell" xfId="5" xr:uid="{58779FE9-1DC5-4A01-ABB7-019799DAB278}"/>
    <cellStyle name="SAPDataTotalCell" xfId="6" xr:uid="{894086E7-2F42-4A51-B8A0-21878414A72A}"/>
    <cellStyle name="SAPDimensionCell" xfId="4" xr:uid="{73CB3546-6A93-4276-98A0-6AD62C0486F8}"/>
    <cellStyle name="SAPEditableDataCell" xfId="7" xr:uid="{FD13E588-022E-4A11-BF9A-BA28647D380E}"/>
    <cellStyle name="SAPEditableDataTotalCell" xfId="10" xr:uid="{CCD71F26-22AF-446B-ABEA-EC37C5B84ECC}"/>
    <cellStyle name="SAPEmphasized" xfId="30" xr:uid="{ABD69FB7-2705-434A-8BB7-FB70A955CFC4}"/>
    <cellStyle name="SAPEmphasizedEditableDataCell" xfId="32" xr:uid="{9ADA9F56-DE88-4F31-A8D9-63020CCA2B10}"/>
    <cellStyle name="SAPEmphasizedEditableDataTotalCell" xfId="33" xr:uid="{ECFC66D1-46EE-4D43-B148-92DF1339A399}"/>
    <cellStyle name="SAPEmphasizedLockedDataCell" xfId="36" xr:uid="{71E82D3B-2694-4D9E-9992-B6F7B4C02C58}"/>
    <cellStyle name="SAPEmphasizedLockedDataTotalCell" xfId="37" xr:uid="{E1A153E2-DCFD-4127-98E8-025F54EE709B}"/>
    <cellStyle name="SAPEmphasizedReadonlyDataCell" xfId="34" xr:uid="{670F2D9C-8CD3-453E-87ED-19F2D5E1511F}"/>
    <cellStyle name="SAPEmphasizedReadonlyDataTotalCell" xfId="35" xr:uid="{F3E28FB6-D05D-4ABE-B15E-B4AFCA0A2CDA}"/>
    <cellStyle name="SAPEmphasizedTotal" xfId="31" xr:uid="{EA876C45-D584-4A7F-B3A7-625CFE6C486C}"/>
    <cellStyle name="SAPExceptionLevel1" xfId="13" xr:uid="{D807106A-1386-477C-9277-8AFECDE8B6B9}"/>
    <cellStyle name="SAPExceptionLevel2" xfId="14" xr:uid="{E8D63EC3-7ED8-44CC-9DAA-9EAF324CD6BC}"/>
    <cellStyle name="SAPExceptionLevel3" xfId="15" xr:uid="{6B2C4FAE-2F14-48B7-8D49-AF0809E3F184}"/>
    <cellStyle name="SAPExceptionLevel4" xfId="16" xr:uid="{70013C82-9D00-4299-B7F5-C7B837538688}"/>
    <cellStyle name="SAPExceptionLevel5" xfId="17" xr:uid="{78DF8B06-09AF-48FD-85B6-51B1FFDEF416}"/>
    <cellStyle name="SAPExceptionLevel6" xfId="18" xr:uid="{C2BA6B07-B1D9-4014-A285-F335C69D25BE}"/>
    <cellStyle name="SAPExceptionLevel7" xfId="19" xr:uid="{8D0DAACB-7F0D-4897-A555-F7CC420D7637}"/>
    <cellStyle name="SAPExceptionLevel8" xfId="20" xr:uid="{471F3277-E7DA-44A8-B1A8-C79557558CAA}"/>
    <cellStyle name="SAPExceptionLevel9" xfId="21" xr:uid="{C109B446-8082-4F07-8FEA-C3BAA89D3273}"/>
    <cellStyle name="SAPFormula" xfId="39" xr:uid="{9FC25AE7-8550-4680-9C45-B5CA5FB4967D}"/>
    <cellStyle name="SAPHierarchyCell0" xfId="25" xr:uid="{EE88B154-82C1-418E-995D-A9FCD30B529A}"/>
    <cellStyle name="SAPHierarchyCell1" xfId="26" xr:uid="{625726AA-4267-4F0C-8EB5-ED9169F1630E}"/>
    <cellStyle name="SAPHierarchyCell2" xfId="27" xr:uid="{7FF0ACBE-9F65-423C-BA5A-4CF65FB008C7}"/>
    <cellStyle name="SAPHierarchyCell3" xfId="28" xr:uid="{3EE2D32F-2267-4EE6-BC05-68C5BC2E359E}"/>
    <cellStyle name="SAPHierarchyCell4" xfId="29" xr:uid="{8E5DDBEC-76E1-4890-9967-47A82115192F}"/>
    <cellStyle name="SAPLockedDataCell" xfId="9" xr:uid="{C7A4BAE1-A7E9-4AEC-8E5F-9367FE9D256B}"/>
    <cellStyle name="SAPLockedDataTotalCell" xfId="12" xr:uid="{E1C20C73-23A3-4B5C-B8D5-092C6CD4FC56}"/>
    <cellStyle name="SAPMemberCell" xfId="23" xr:uid="{1F260767-8BFF-4CCE-8E7D-C369CD234978}"/>
    <cellStyle name="SAPMemberTotalCell" xfId="24" xr:uid="{13C59F36-2F2F-442F-8D65-40D9F8D391E4}"/>
    <cellStyle name="SAPMessageText" xfId="38" xr:uid="{11413C2E-A325-4C9C-84B4-462E9EC7284A}"/>
    <cellStyle name="SAPReadonlyDataCell" xfId="8" xr:uid="{51D262B3-70C1-479F-B08C-B20D8F95B038}"/>
    <cellStyle name="SAPReadonlyDataTotalCell" xfId="11" xr:uid="{CBB2EBE9-0D43-4543-9580-D82A0A1E3239}"/>
    <cellStyle name="Обычный" xfId="0" builtinId="0"/>
    <cellStyle name="Обычный 2" xfId="2" xr:uid="{406F7731-4E77-4290-8461-D957CC947BEA}"/>
    <cellStyle name="Обычный 3" xfId="3" xr:uid="{FB90DB1C-EB08-45B9-92A2-0FFF9B6FCE41}"/>
    <cellStyle name="Обычный 4" xfId="40" xr:uid="{0CE44B38-F56D-47B7-9520-F0856A2F4297}"/>
    <cellStyle name="Обычный 5" xfId="41" xr:uid="{83182ED0-C7C0-48AA-BF07-9135E5EFEF11}"/>
    <cellStyle name="Процентный" xfId="1" builtinId="5"/>
  </cellStyles>
  <dxfs count="0"/>
  <tableStyles count="0" defaultTableStyle="TableStyleMedium2" defaultPivotStyle="PivotStyleLight16"/>
  <colors>
    <mruColors>
      <color rgb="FF0066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Сопоставление расходов по сценариям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Dashboard!$B$29</c:f>
              <c:strCache>
                <c:ptCount val="1"/>
                <c:pt idx="0">
                  <c:v>Покупка лицензии GitFlic (базовая поддержка L3)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Dashboard!$C$28:$G$28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Dashboard!$C$29:$G$29</c:f>
              <c:numCache>
                <c:formatCode>#,##0</c:formatCode>
                <c:ptCount val="5"/>
                <c:pt idx="0">
                  <c:v>0</c:v>
                </c:pt>
                <c:pt idx="1">
                  <c:v>108067.87341805137</c:v>
                </c:pt>
                <c:pt idx="2">
                  <c:v>224789.25916487447</c:v>
                </c:pt>
                <c:pt idx="3">
                  <c:v>215708.80102986848</c:v>
                </c:pt>
                <c:pt idx="4">
                  <c:v>217076.19313285535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B-46E5-805C-3A07BC753FD1}"/>
            </c:ext>
          </c:extLst>
        </c:ser>
        <c:ser>
          <c:idx val="1"/>
          <c:order val="1"/>
          <c:tx>
            <c:strRef>
              <c:f>Dashboard!$B$30</c:f>
              <c:strCache>
                <c:ptCount val="1"/>
                <c:pt idx="0">
                  <c:v>Покупка лицензии GitFlic (привилегированная поддержка L3)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Dashboard!$C$28:$G$28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Dashboard!$C$30:$G$30</c:f>
              <c:numCache>
                <c:formatCode>#,##0</c:formatCode>
                <c:ptCount val="5"/>
                <c:pt idx="0">
                  <c:v>0</c:v>
                </c:pt>
                <c:pt idx="1">
                  <c:v>178397.77710292887</c:v>
                </c:pt>
                <c:pt idx="2">
                  <c:v>465746.68921823974</c:v>
                </c:pt>
                <c:pt idx="3">
                  <c:v>455793.17367662292</c:v>
                </c:pt>
                <c:pt idx="4">
                  <c:v>457023.37104428513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5B-46E5-805C-3A07BC753FD1}"/>
            </c:ext>
          </c:extLst>
        </c:ser>
        <c:ser>
          <c:idx val="2"/>
          <c:order val="2"/>
          <c:tx>
            <c:strRef>
              <c:f>Dashboard!$B$31</c:f>
              <c:strCache>
                <c:ptCount val="1"/>
                <c:pt idx="0">
                  <c:v>Собственная разработка VK Tech Dev Platform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Dashboard!$C$28:$G$28</c:f>
              <c:numCache>
                <c:formatCode>General</c:formatCode>
                <c:ptCount val="5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</c:numCache>
            </c:numRef>
          </c:cat>
          <c:val>
            <c:numRef>
              <c:f>Dashboard!$C$31:$G$31</c:f>
              <c:numCache>
                <c:formatCode>#,##0</c:formatCode>
                <c:ptCount val="5"/>
                <c:pt idx="0">
                  <c:v>7000</c:v>
                </c:pt>
                <c:pt idx="1">
                  <c:v>143496.77027744567</c:v>
                </c:pt>
                <c:pt idx="2">
                  <c:v>51936.669839904353</c:v>
                </c:pt>
                <c:pt idx="3">
                  <c:v>42302.336823894788</c:v>
                </c:pt>
                <c:pt idx="4">
                  <c:v>46532.570506284268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5B-46E5-805C-3A07BC753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262703"/>
        <c:axId val="758119663"/>
      </c:barChart>
      <c:catAx>
        <c:axId val="75026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119663"/>
        <c:crosses val="autoZero"/>
        <c:auto val="1"/>
        <c:lblAlgn val="ctr"/>
        <c:lblOffset val="100"/>
        <c:noMultiLvlLbl val="0"/>
      </c:catAx>
      <c:valAx>
        <c:axId val="75811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6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2" dropStyle="combo" dx="26" fmlaLink="$M$124" fmlaRange="$B$154:$B$155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694267</xdr:colOff>
      <xdr:row>26</xdr:row>
      <xdr:rowOff>88900</xdr:rowOff>
    </xdr:from>
    <xdr:to>
      <xdr:col>14</xdr:col>
      <xdr:colOff>389467</xdr:colOff>
      <xdr:row>42</xdr:row>
      <xdr:rowOff>122767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144780</xdr:colOff>
          <xdr:row>122</xdr:row>
          <xdr:rowOff>144780</xdr:rowOff>
        </xdr:from>
        <xdr:to>
          <xdr:col>13</xdr:col>
          <xdr:colOff>419100</xdr:colOff>
          <xdr:row>124</xdr:row>
          <xdr:rowOff>22860</xdr:rowOff>
        </xdr:to>
        <xdr:sp macro="" textlink="">
          <xdr:nvSpPr>
            <xdr:cNvPr id="6149" name="Drop Down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1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VK_theme">
  <a:themeElements>
    <a:clrScheme name="VK 2021">
      <a:dk1>
        <a:srgbClr val="000000"/>
      </a:dk1>
      <a:lt1>
        <a:srgbClr val="FFFFFF"/>
      </a:lt1>
      <a:dk2>
        <a:srgbClr val="0077FF"/>
      </a:dk2>
      <a:lt2>
        <a:srgbClr val="FFFFFF"/>
      </a:lt2>
      <a:accent1>
        <a:srgbClr val="0077FF"/>
      </a:accent1>
      <a:accent2>
        <a:srgbClr val="8024C0"/>
      </a:accent2>
      <a:accent3>
        <a:srgbClr val="FF3885"/>
      </a:accent3>
      <a:accent4>
        <a:srgbClr val="00EAFF"/>
      </a:accent4>
      <a:accent5>
        <a:srgbClr val="BEB6AE"/>
      </a:accent5>
      <a:accent6>
        <a:srgbClr val="17D685"/>
      </a:accent6>
      <a:hlink>
        <a:srgbClr val="0077FF"/>
      </a:hlink>
      <a:folHlink>
        <a:srgbClr val="A538A5"/>
      </a:folHlink>
    </a:clrScheme>
    <a:fontScheme name="VK 2020">
      <a:majorFont>
        <a:latin typeface="VK Sans Display Medium" panose="020B0603020202020204"/>
        <a:ea typeface=""/>
        <a:cs typeface=""/>
        <a:font script="Jpan" typeface="HGｺﾞｼｯｸM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SF Pro Text Light" panose="020B0603020202020204"/>
        <a:ea typeface=""/>
        <a:cs typeface=""/>
        <a:font script="Jpan" typeface="HG丸ｺﾞｼｯｸM-PRO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wrap="none" lIns="36000" tIns="36000" rIns="36000" bIns="36000" rtlCol="0">
        <a:spAutoFit/>
      </a:bodyPr>
      <a:lstStyle>
        <a:defPPr algn="l">
          <a:lnSpc>
            <a:spcPct val="110000"/>
          </a:lnSpc>
          <a:spcAft>
            <a:spcPts val="600"/>
          </a:spcAft>
          <a:defRPr dirty="0" smtClean="0"/>
        </a:defPPr>
      </a:lstStyle>
    </a:txDef>
  </a:objectDefaults>
  <a:extraClrSchemeLst/>
  <a:custClrLst>
    <a:custClr name="VK1">
      <a:srgbClr val="397ECC"/>
    </a:custClr>
    <a:custClr name="VK2">
      <a:srgbClr val="EE5C44"/>
    </a:custClr>
    <a:custClr name="VK3">
      <a:srgbClr val="F8C246"/>
    </a:custClr>
    <a:custClr name="VK4">
      <a:srgbClr val="E6457A"/>
    </a:custClr>
    <a:custClr name="VK5">
      <a:srgbClr val="EB4250"/>
    </a:custClr>
    <a:custClr name="VK6">
      <a:srgbClr val="EE5959"/>
    </a:custClr>
    <a:custClr name="VK7">
      <a:srgbClr val="FAEBEB"/>
    </a:custClr>
    <a:custClr name="VK8">
      <a:srgbClr val="52B34B"/>
    </a:custClr>
    <a:custClr name="VK9">
      <a:srgbClr val="65DA65"/>
    </a:custClr>
    <a:custClr name="VK10">
      <a:srgbClr val="63B9BA"/>
    </a:custClr>
    <a:custClr name="VK11">
      <a:srgbClr val="7A3AC0"/>
    </a:custClr>
    <a:custClr name="VK12">
      <a:srgbClr val="A997F9"/>
    </a:custClr>
    <a:custClr name="VK13">
      <a:srgbClr val="F4E7C3"/>
    </a:custClr>
    <a:custClr name="VK14">
      <a:srgbClr val="A99670"/>
    </a:custClr>
  </a:custClrLst>
  <a:extLst>
    <a:ext uri="{05A4C25C-085E-4340-85A3-A5531E510DB2}">
      <thm15:themeFamily xmlns:thm15="http://schemas.microsoft.com/office/thememl/2012/main" name="VK Group" id="{13B0FC56-9B81-8A42-B79C-C3FE16D69B6F}" vid="{59E29AFC-3521-4A45-BAFF-BF4122D23A4C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EA26-830D-4DF4-A398-27F1CD9301B1}">
  <sheetPr>
    <tabColor rgb="FF0066FF"/>
  </sheetPr>
  <dimension ref="B2:H43"/>
  <sheetViews>
    <sheetView showGridLines="0" tabSelected="1" zoomScale="90" zoomScaleNormal="90" workbookViewId="0">
      <selection activeCell="D38" sqref="D38"/>
    </sheetView>
  </sheetViews>
  <sheetFormatPr defaultColWidth="8.9140625" defaultRowHeight="13.2"/>
  <cols>
    <col min="1" max="1" width="2.5" style="73" customWidth="1"/>
    <col min="2" max="2" width="48.6640625" style="73" customWidth="1"/>
    <col min="3" max="4" width="11.08203125" style="73" customWidth="1"/>
    <col min="5" max="5" width="10.4140625" style="73" customWidth="1"/>
    <col min="6" max="16384" width="8.9140625" style="73"/>
  </cols>
  <sheetData>
    <row r="2" spans="2:4">
      <c r="B2" s="74" t="s">
        <v>176</v>
      </c>
    </row>
    <row r="4" spans="2:4">
      <c r="B4" s="73" t="s">
        <v>178</v>
      </c>
    </row>
    <row r="5" spans="2:4">
      <c r="B5" s="73" t="s">
        <v>183</v>
      </c>
    </row>
    <row r="6" spans="2:4">
      <c r="B6" s="73" t="s">
        <v>222</v>
      </c>
    </row>
    <row r="7" spans="2:4" ht="9.4499999999999993" customHeight="1"/>
    <row r="8" spans="2:4">
      <c r="B8" s="75" t="s">
        <v>78</v>
      </c>
    </row>
    <row r="9" spans="2:4">
      <c r="B9" s="73" t="s">
        <v>179</v>
      </c>
    </row>
    <row r="10" spans="2:4">
      <c r="B10" s="73" t="s">
        <v>180</v>
      </c>
    </row>
    <row r="11" spans="2:4">
      <c r="B11" s="73" t="s">
        <v>194</v>
      </c>
    </row>
    <row r="12" spans="2:4" ht="23.4" customHeight="1"/>
    <row r="13" spans="2:4" ht="25.2" customHeight="1">
      <c r="B13" s="76" t="s">
        <v>192</v>
      </c>
      <c r="C13" s="77" t="s">
        <v>181</v>
      </c>
      <c r="D13" s="77" t="s">
        <v>182</v>
      </c>
    </row>
    <row r="14" spans="2:4">
      <c r="B14" s="73" t="s">
        <v>223</v>
      </c>
      <c r="C14" s="78">
        <f>SUM(Calc!D13:I13)</f>
        <v>332857.13258292584</v>
      </c>
      <c r="D14" s="78">
        <f>SUM(Calc!D13:K13)</f>
        <v>765642.12674564973</v>
      </c>
    </row>
    <row r="15" spans="2:4">
      <c r="B15" s="73" t="s">
        <v>224</v>
      </c>
      <c r="C15" s="78">
        <f>SUM(Calc!D58:I58)</f>
        <v>644144.46632116858</v>
      </c>
      <c r="D15" s="78">
        <f>SUM(Calc!D58:K58)</f>
        <v>1556961.0110420766</v>
      </c>
    </row>
    <row r="16" spans="2:4">
      <c r="B16" s="73" t="s">
        <v>177</v>
      </c>
      <c r="C16" s="78">
        <f>SUM(Calc!D102:I102)</f>
        <v>202433.44011735002</v>
      </c>
      <c r="D16" s="78">
        <f>SUM(Calc!D102:K102)</f>
        <v>291268.34744752909</v>
      </c>
    </row>
    <row r="17" spans="2:8">
      <c r="C17" s="78"/>
      <c r="D17" s="78"/>
    </row>
    <row r="18" spans="2:8" s="121" customFormat="1" ht="16.2" customHeight="1">
      <c r="B18" s="120" t="s">
        <v>225</v>
      </c>
    </row>
    <row r="19" spans="2:8" s="121" customFormat="1" ht="16.2" customHeight="1" thickBot="1">
      <c r="B19" s="122" t="str">
        <f>CHOOSE(Calc!$M$124,"базовая поддержка GitFlic","привелиг. поддержка GitFlic")</f>
        <v>базовая поддержка GitFlic</v>
      </c>
      <c r="D19" s="122"/>
    </row>
    <row r="20" spans="2:8">
      <c r="B20" s="88" t="s">
        <v>191</v>
      </c>
      <c r="C20" s="89" t="s">
        <v>84</v>
      </c>
      <c r="D20" s="90">
        <f>Calc!D134</f>
        <v>280249.68060793041</v>
      </c>
    </row>
    <row r="21" spans="2:8">
      <c r="B21" s="91" t="s">
        <v>90</v>
      </c>
      <c r="C21" s="87" t="s">
        <v>75</v>
      </c>
      <c r="D21" s="92">
        <f>Calc!D135</f>
        <v>2.6743605375289921</v>
      </c>
    </row>
    <row r="22" spans="2:8">
      <c r="B22" s="91" t="s">
        <v>91</v>
      </c>
      <c r="C22" s="87" t="s">
        <v>94</v>
      </c>
      <c r="D22" s="93">
        <f>Calc!D136</f>
        <v>1.2454628942793917</v>
      </c>
    </row>
    <row r="23" spans="2:8" ht="13.8" thickBot="1">
      <c r="B23" s="94" t="s">
        <v>174</v>
      </c>
      <c r="C23" s="95" t="s">
        <v>94</v>
      </c>
      <c r="D23" s="96">
        <f>Calc!D137</f>
        <v>1.3107386510866923</v>
      </c>
    </row>
    <row r="28" spans="2:8">
      <c r="B28" s="154"/>
      <c r="C28" s="155">
        <v>2023</v>
      </c>
      <c r="D28" s="155">
        <v>2024</v>
      </c>
      <c r="E28" s="155">
        <v>2025</v>
      </c>
      <c r="F28" s="155">
        <v>2026</v>
      </c>
      <c r="G28" s="157">
        <v>2027</v>
      </c>
      <c r="H28" s="151" t="s">
        <v>275</v>
      </c>
    </row>
    <row r="29" spans="2:8">
      <c r="B29" s="73" t="s">
        <v>223</v>
      </c>
      <c r="C29" s="141">
        <f>Calc!D13</f>
        <v>0</v>
      </c>
      <c r="D29" s="141">
        <f>SUM(Calc!E13:H13)</f>
        <v>108067.87341805137</v>
      </c>
      <c r="E29" s="141">
        <f>Calc!I13</f>
        <v>224789.25916487447</v>
      </c>
      <c r="F29" s="141">
        <f>Calc!J13</f>
        <v>215708.80102986848</v>
      </c>
      <c r="G29" s="141">
        <f>Calc!K13</f>
        <v>217076.19313285535</v>
      </c>
      <c r="H29" s="150">
        <f>SUM(C29:G29)</f>
        <v>765642.12674564973</v>
      </c>
    </row>
    <row r="30" spans="2:8">
      <c r="B30" s="73" t="s">
        <v>224</v>
      </c>
      <c r="C30" s="141">
        <f>Calc!D58</f>
        <v>0</v>
      </c>
      <c r="D30" s="141">
        <f>SUM(Calc!E58:H58)</f>
        <v>178397.77710292887</v>
      </c>
      <c r="E30" s="141">
        <f>Calc!I58</f>
        <v>465746.68921823974</v>
      </c>
      <c r="F30" s="141">
        <f>Calc!J58</f>
        <v>455793.17367662292</v>
      </c>
      <c r="G30" s="141">
        <f>Calc!K58</f>
        <v>457023.37104428513</v>
      </c>
      <c r="H30" s="150">
        <f>SUM(C30:G30)</f>
        <v>1556961.0110420766</v>
      </c>
    </row>
    <row r="31" spans="2:8">
      <c r="B31" s="73" t="s">
        <v>177</v>
      </c>
      <c r="C31" s="141">
        <f>Calc!D102</f>
        <v>7000</v>
      </c>
      <c r="D31" s="141">
        <f>SUM(Calc!E102:H102)</f>
        <v>143496.77027744567</v>
      </c>
      <c r="E31" s="141">
        <f>Calc!I102</f>
        <v>51936.669839904353</v>
      </c>
      <c r="F31" s="141">
        <f>Calc!J102</f>
        <v>42302.336823894788</v>
      </c>
      <c r="G31" s="141">
        <f>Calc!K102</f>
        <v>46532.570506284268</v>
      </c>
      <c r="H31" s="150">
        <f>SUM(C31:G31)</f>
        <v>291268.34744752909</v>
      </c>
    </row>
    <row r="35" spans="2:5">
      <c r="B35" s="155" t="s">
        <v>285</v>
      </c>
      <c r="C35" s="156" t="s">
        <v>283</v>
      </c>
      <c r="D35" s="156" t="s">
        <v>281</v>
      </c>
      <c r="E35" s="156" t="s">
        <v>282</v>
      </c>
    </row>
    <row r="36" spans="2:5">
      <c r="B36" s="73" t="s">
        <v>276</v>
      </c>
      <c r="C36" s="141">
        <f>SUM(Calc!D7:K7)</f>
        <v>584193.6</v>
      </c>
      <c r="D36" s="141">
        <f>SUM(Calc!D52:K52)</f>
        <v>584193.6</v>
      </c>
      <c r="E36" s="73">
        <v>0</v>
      </c>
    </row>
    <row r="37" spans="2:5">
      <c r="B37" s="73" t="s">
        <v>277</v>
      </c>
      <c r="C37" s="73">
        <v>0</v>
      </c>
      <c r="D37" s="73">
        <v>0</v>
      </c>
      <c r="E37" s="141">
        <f>SUM(Calc!D96:K96)</f>
        <v>86500</v>
      </c>
    </row>
    <row r="38" spans="2:5">
      <c r="B38" s="73" t="s">
        <v>290</v>
      </c>
      <c r="C38" s="180">
        <f>SUM(Calc!D8:K8)</f>
        <v>38250</v>
      </c>
      <c r="D38" s="141">
        <f>SUM(Calc!D53:K53)</f>
        <v>38250</v>
      </c>
      <c r="E38" s="141">
        <f>SUM(Calc!D97:K97)</f>
        <v>34500</v>
      </c>
    </row>
    <row r="39" spans="2:5">
      <c r="B39" s="73" t="s">
        <v>278</v>
      </c>
      <c r="C39" s="141">
        <f>SUM(Calc!D10:K10)</f>
        <v>33415.199999999997</v>
      </c>
      <c r="D39" s="141">
        <f>SUM(Calc!D55:K55)</f>
        <v>33415.199999999997</v>
      </c>
      <c r="E39" s="141">
        <f>SUM(Calc!D99:K99)</f>
        <v>33415.199999999997</v>
      </c>
    </row>
    <row r="40" spans="2:5">
      <c r="B40" s="73" t="s">
        <v>279</v>
      </c>
      <c r="C40" s="141">
        <f>SUM(Calc!D11:K11)</f>
        <v>81138</v>
      </c>
      <c r="D40" s="141">
        <f>SUM(Calc!D56:K56)</f>
        <v>876290.40000000014</v>
      </c>
      <c r="E40" s="141">
        <f>SUM(Calc!D100:K100)</f>
        <v>106384</v>
      </c>
    </row>
    <row r="41" spans="2:5">
      <c r="B41" s="73" t="s">
        <v>280</v>
      </c>
      <c r="C41" s="141">
        <f>SUM(Calc!D9:K9,Calc!D12:K12)</f>
        <v>28645.326745649643</v>
      </c>
      <c r="D41" s="141">
        <f>SUM(Calc!D54:K54,Calc!D57:K57)</f>
        <v>24811.811042076457</v>
      </c>
      <c r="E41" s="141">
        <f>SUM(Calc!D101:K101,Calc!D98:K98)</f>
        <v>30469.147447529052</v>
      </c>
    </row>
    <row r="42" spans="2:5">
      <c r="B42" s="152" t="s">
        <v>284</v>
      </c>
      <c r="C42" s="153">
        <f>SUM(C36:C41)</f>
        <v>765642.12674564961</v>
      </c>
      <c r="D42" s="153">
        <f t="shared" ref="D42:E42" si="0">SUM(D36:D41)</f>
        <v>1556961.0110420766</v>
      </c>
      <c r="E42" s="153">
        <f t="shared" si="0"/>
        <v>291268.34744752909</v>
      </c>
    </row>
    <row r="43" spans="2:5">
      <c r="C43" s="158">
        <f>C42-H29</f>
        <v>0</v>
      </c>
      <c r="D43" s="158">
        <f>D42-H30</f>
        <v>0</v>
      </c>
      <c r="E43" s="158">
        <f>E42-H31</f>
        <v>0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C979-88DB-40D7-9F94-B2F225309F21}">
  <sheetPr>
    <tabColor theme="4" tint="0.79998168889431442"/>
  </sheetPr>
  <dimension ref="B2:S155"/>
  <sheetViews>
    <sheetView showGridLines="0" zoomScale="80" zoomScaleNormal="80" workbookViewId="0">
      <selection activeCell="B2" sqref="B2"/>
    </sheetView>
  </sheetViews>
  <sheetFormatPr defaultColWidth="8.9140625" defaultRowHeight="13.2"/>
  <cols>
    <col min="1" max="1" width="3.83203125" style="3" customWidth="1"/>
    <col min="2" max="2" width="35.1640625" style="3" customWidth="1"/>
    <col min="3" max="3" width="14.1640625" style="3" customWidth="1"/>
    <col min="4" max="11" width="12.4140625" style="3" customWidth="1"/>
    <col min="12" max="12" width="14" style="3" customWidth="1"/>
    <col min="13" max="14" width="5" style="3" customWidth="1"/>
    <col min="15" max="15" width="8.9140625" style="19"/>
    <col min="16" max="16384" width="8.9140625" style="3"/>
  </cols>
  <sheetData>
    <row r="2" spans="2:18" s="64" customFormat="1">
      <c r="B2" s="65" t="s">
        <v>193</v>
      </c>
      <c r="O2" s="84"/>
    </row>
    <row r="3" spans="2:18" ht="15.6" customHeight="1"/>
    <row r="4" spans="2:18" s="10" customFormat="1">
      <c r="B4" s="10" t="s">
        <v>64</v>
      </c>
      <c r="O4" s="85"/>
    </row>
    <row r="6" spans="2:18">
      <c r="B6" s="30" t="s">
        <v>65</v>
      </c>
      <c r="C6" s="30" t="s">
        <v>66</v>
      </c>
      <c r="D6" s="30">
        <v>2023</v>
      </c>
      <c r="E6" s="138" t="s">
        <v>267</v>
      </c>
      <c r="F6" s="138" t="s">
        <v>268</v>
      </c>
      <c r="G6" s="138" t="s">
        <v>269</v>
      </c>
      <c r="H6" s="138" t="s">
        <v>270</v>
      </c>
      <c r="I6" s="30">
        <v>2025</v>
      </c>
      <c r="J6" s="30">
        <v>2026</v>
      </c>
      <c r="K6" s="30">
        <v>2027</v>
      </c>
      <c r="O6" s="30" t="s">
        <v>188</v>
      </c>
      <c r="P6" s="70"/>
      <c r="Q6" s="70"/>
      <c r="R6" s="70"/>
    </row>
    <row r="7" spans="2:18">
      <c r="B7" s="3" t="s">
        <v>67</v>
      </c>
      <c r="C7" s="3" t="s">
        <v>69</v>
      </c>
      <c r="D7" s="13">
        <f>D16*D17*D19*(1-D20)</f>
        <v>0</v>
      </c>
      <c r="E7" s="17">
        <f>E16*E17*E19*(1-E20)</f>
        <v>1460.16</v>
      </c>
      <c r="F7" s="17">
        <f>F16*F17*F19*(1-F20)</f>
        <v>12839.04</v>
      </c>
      <c r="G7" s="17">
        <f t="shared" ref="G7:H7" si="0">G16*G17*G19*(1-G20)</f>
        <v>12839.04</v>
      </c>
      <c r="H7" s="17">
        <f t="shared" si="0"/>
        <v>24865.920000000002</v>
      </c>
      <c r="I7" s="17">
        <f>I16*I17*I19*(1-I20)</f>
        <v>177396.48000000001</v>
      </c>
      <c r="J7" s="13">
        <f>J16*J17*J19*(1-J20)</f>
        <v>177396.48000000001</v>
      </c>
      <c r="K7" s="13">
        <f t="shared" ref="K7" si="1">K16*K17*K19*(1-K20)</f>
        <v>177396.48000000001</v>
      </c>
      <c r="L7" s="149"/>
      <c r="M7" s="18"/>
    </row>
    <row r="8" spans="2:18">
      <c r="B8" s="3" t="s">
        <v>217</v>
      </c>
      <c r="C8" s="3" t="s">
        <v>69</v>
      </c>
      <c r="D8" s="17">
        <f>D23*D24*D25</f>
        <v>0</v>
      </c>
      <c r="E8" s="17">
        <f>E23*E24*E25</f>
        <v>7500</v>
      </c>
      <c r="F8" s="17">
        <f t="shared" ref="F8:H8" si="2">F23*F24*F25</f>
        <v>7500</v>
      </c>
      <c r="G8" s="17">
        <f t="shared" si="2"/>
        <v>7500</v>
      </c>
      <c r="H8" s="17">
        <f t="shared" si="2"/>
        <v>7500</v>
      </c>
      <c r="I8" s="17">
        <f t="shared" ref="I8:K8" si="3">I23*I24*I25</f>
        <v>8250</v>
      </c>
      <c r="J8" s="17">
        <f t="shared" si="3"/>
        <v>0</v>
      </c>
      <c r="K8" s="17">
        <f t="shared" si="3"/>
        <v>0</v>
      </c>
      <c r="L8" s="18"/>
      <c r="O8" s="116"/>
    </row>
    <row r="9" spans="2:18">
      <c r="B9" s="3" t="s">
        <v>209</v>
      </c>
      <c r="C9" s="3" t="s">
        <v>69</v>
      </c>
      <c r="D9" s="17">
        <f>D30*D28*D29</f>
        <v>0</v>
      </c>
      <c r="E9" s="17">
        <f>E30*E28*E29</f>
        <v>2400</v>
      </c>
      <c r="F9" s="17">
        <f t="shared" ref="F9:H9" si="4">F30*F28*F29</f>
        <v>2400</v>
      </c>
      <c r="G9" s="17">
        <f t="shared" si="4"/>
        <v>2400</v>
      </c>
      <c r="H9" s="17">
        <f t="shared" si="4"/>
        <v>2400</v>
      </c>
      <c r="I9" s="17">
        <f t="shared" ref="I9:K9" si="5">I30*I28*I29</f>
        <v>4620.0000000000009</v>
      </c>
      <c r="J9" s="17">
        <f t="shared" si="5"/>
        <v>2904.0000000000009</v>
      </c>
      <c r="K9" s="17">
        <f t="shared" si="5"/>
        <v>3194.4000000000015</v>
      </c>
      <c r="O9" s="116"/>
    </row>
    <row r="10" spans="2:18">
      <c r="B10" s="3" t="s">
        <v>204</v>
      </c>
      <c r="C10" s="3" t="s">
        <v>69</v>
      </c>
      <c r="D10" s="13">
        <f>D35*D33*D34</f>
        <v>0</v>
      </c>
      <c r="E10" s="13">
        <f>E35*E33*E34</f>
        <v>1800</v>
      </c>
      <c r="F10" s="13">
        <f t="shared" ref="F10:H10" si="6">F35*F33*F34</f>
        <v>1800</v>
      </c>
      <c r="G10" s="13">
        <f t="shared" si="6"/>
        <v>1800</v>
      </c>
      <c r="H10" s="13">
        <f t="shared" si="6"/>
        <v>1800</v>
      </c>
      <c r="I10" s="13">
        <f t="shared" ref="I10:K10" si="7">I35*I33*I34</f>
        <v>7920</v>
      </c>
      <c r="J10" s="13">
        <f t="shared" si="7"/>
        <v>8712.0000000000018</v>
      </c>
      <c r="K10" s="13">
        <f t="shared" si="7"/>
        <v>9583.2000000000007</v>
      </c>
      <c r="L10" s="149"/>
      <c r="M10" s="18"/>
      <c r="O10" s="116"/>
    </row>
    <row r="11" spans="2:18">
      <c r="B11" s="3" t="s">
        <v>219</v>
      </c>
      <c r="C11" s="3" t="s">
        <v>69</v>
      </c>
      <c r="D11" s="17">
        <f>D38*D39*D40*(1-D41)</f>
        <v>0</v>
      </c>
      <c r="E11" s="17">
        <f t="shared" ref="E11:K11" si="8">E38*E39*E40*(1-E41)</f>
        <v>202.8</v>
      </c>
      <c r="F11" s="17">
        <f t="shared" ref="F11:H11" si="9">F38*F39*F40*(1-F41)</f>
        <v>1783.2</v>
      </c>
      <c r="G11" s="17">
        <f t="shared" si="9"/>
        <v>1783.2</v>
      </c>
      <c r="H11" s="17">
        <f t="shared" si="9"/>
        <v>3453.6000000000004</v>
      </c>
      <c r="I11" s="17">
        <f t="shared" si="8"/>
        <v>24638.400000000001</v>
      </c>
      <c r="J11" s="17">
        <f t="shared" si="8"/>
        <v>24638.400000000001</v>
      </c>
      <c r="K11" s="17">
        <f t="shared" si="8"/>
        <v>24638.400000000001</v>
      </c>
      <c r="L11" s="149"/>
      <c r="O11" s="116"/>
    </row>
    <row r="12" spans="2:18" ht="13.8" thickBot="1">
      <c r="B12" s="3" t="s">
        <v>168</v>
      </c>
      <c r="C12" s="3" t="s">
        <v>69</v>
      </c>
      <c r="D12" s="17">
        <f>D44*D45*D46</f>
        <v>0</v>
      </c>
      <c r="E12" s="17">
        <f t="shared" ref="E12:K12" si="10">E44*E45*E46</f>
        <v>510.22835451284595</v>
      </c>
      <c r="F12" s="17">
        <f t="shared" si="10"/>
        <v>510.22835451284595</v>
      </c>
      <c r="G12" s="17">
        <f t="shared" si="10"/>
        <v>510.22835451284595</v>
      </c>
      <c r="H12" s="17">
        <f t="shared" si="10"/>
        <v>510.22835451284595</v>
      </c>
      <c r="I12" s="17">
        <f t="shared" si="10"/>
        <v>1964.3791648744573</v>
      </c>
      <c r="J12" s="17">
        <f t="shared" si="10"/>
        <v>2057.9210298684793</v>
      </c>
      <c r="K12" s="17">
        <f t="shared" si="10"/>
        <v>2263.7131328553269</v>
      </c>
      <c r="L12" s="18"/>
      <c r="O12" s="116"/>
    </row>
    <row r="13" spans="2:18" s="11" customFormat="1" ht="13.8" thickBot="1">
      <c r="B13" s="24" t="s">
        <v>72</v>
      </c>
      <c r="C13" s="24" t="s">
        <v>69</v>
      </c>
      <c r="D13" s="25">
        <f t="shared" ref="D13:K13" si="11">SUM(D7:D12)</f>
        <v>0</v>
      </c>
      <c r="E13" s="25">
        <f t="shared" si="11"/>
        <v>13873.188354512846</v>
      </c>
      <c r="F13" s="25">
        <f t="shared" si="11"/>
        <v>26832.468354512846</v>
      </c>
      <c r="G13" s="25">
        <f t="shared" si="11"/>
        <v>26832.468354512846</v>
      </c>
      <c r="H13" s="25">
        <f t="shared" si="11"/>
        <v>40529.748354512842</v>
      </c>
      <c r="I13" s="25">
        <f t="shared" si="11"/>
        <v>224789.25916487447</v>
      </c>
      <c r="J13" s="25">
        <f t="shared" si="11"/>
        <v>215708.80102986848</v>
      </c>
      <c r="K13" s="25">
        <f t="shared" si="11"/>
        <v>217076.19313285535</v>
      </c>
      <c r="L13" s="23">
        <f>SUM(D13:K13)</f>
        <v>765642.12674564973</v>
      </c>
      <c r="O13" s="123"/>
    </row>
    <row r="14" spans="2:18">
      <c r="O14" s="116"/>
    </row>
    <row r="15" spans="2:18">
      <c r="B15" s="114" t="s">
        <v>85</v>
      </c>
      <c r="C15" s="115"/>
      <c r="D15" s="115"/>
      <c r="E15" s="115"/>
      <c r="F15" s="115"/>
      <c r="G15" s="115"/>
      <c r="H15" s="115"/>
      <c r="I15" s="115"/>
      <c r="J15" s="115"/>
      <c r="K15" s="115"/>
      <c r="O15" s="116"/>
    </row>
    <row r="16" spans="2:18">
      <c r="B16" s="26" t="s">
        <v>197</v>
      </c>
      <c r="C16" s="19" t="s">
        <v>198</v>
      </c>
      <c r="D16" s="98">
        <f>Inputs!C4</f>
        <v>3.6</v>
      </c>
      <c r="E16" s="79">
        <f>D16</f>
        <v>3.6</v>
      </c>
      <c r="F16" s="79">
        <f>E16</f>
        <v>3.6</v>
      </c>
      <c r="G16" s="79">
        <f t="shared" ref="G16:K16" si="12">F16</f>
        <v>3.6</v>
      </c>
      <c r="H16" s="79">
        <f t="shared" si="12"/>
        <v>3.6</v>
      </c>
      <c r="I16" s="79">
        <f t="shared" si="12"/>
        <v>3.6</v>
      </c>
      <c r="J16" s="79">
        <f t="shared" si="12"/>
        <v>3.6</v>
      </c>
      <c r="K16" s="79">
        <f t="shared" si="12"/>
        <v>3.6</v>
      </c>
      <c r="O16" s="124" t="s">
        <v>264</v>
      </c>
    </row>
    <row r="17" spans="2:15">
      <c r="B17" s="26" t="s">
        <v>68</v>
      </c>
      <c r="C17" s="19" t="s">
        <v>73</v>
      </c>
      <c r="D17" s="133">
        <v>0</v>
      </c>
      <c r="E17" s="139">
        <v>3</v>
      </c>
      <c r="F17" s="139">
        <v>3</v>
      </c>
      <c r="G17" s="139">
        <v>3</v>
      </c>
      <c r="H17" s="139">
        <v>3</v>
      </c>
      <c r="I17" s="139">
        <v>12</v>
      </c>
      <c r="J17" s="139">
        <v>12</v>
      </c>
      <c r="K17" s="133">
        <v>12</v>
      </c>
      <c r="L17" s="116"/>
      <c r="O17" s="18"/>
    </row>
    <row r="18" spans="2:15">
      <c r="B18" s="26" t="s">
        <v>272</v>
      </c>
      <c r="C18" s="19" t="s">
        <v>74</v>
      </c>
      <c r="D18" s="113">
        <v>0</v>
      </c>
      <c r="E18" s="81">
        <f>'Лицензии GitFlic'!B12</f>
        <v>169</v>
      </c>
      <c r="F18" s="81">
        <f>'Лицензии GitFlic'!C12</f>
        <v>1317</v>
      </c>
      <c r="G18" s="81">
        <f>'Лицензии GitFlic'!D12</f>
        <v>0</v>
      </c>
      <c r="H18" s="81">
        <f>'Лицензии GitFlic'!E12</f>
        <v>1392</v>
      </c>
      <c r="I18" s="81">
        <f>'Лицензии GitFlic'!F12+'Лицензии GitFlic'!G12</f>
        <v>2255</v>
      </c>
      <c r="J18" s="113">
        <v>0</v>
      </c>
      <c r="K18" s="113">
        <v>0</v>
      </c>
      <c r="L18" s="116"/>
      <c r="O18" s="18"/>
    </row>
    <row r="19" spans="2:15">
      <c r="B19" s="26" t="s">
        <v>273</v>
      </c>
      <c r="C19" s="19" t="s">
        <v>74</v>
      </c>
      <c r="D19" s="81">
        <f>D18</f>
        <v>0</v>
      </c>
      <c r="E19" s="81">
        <f>D19+E18</f>
        <v>169</v>
      </c>
      <c r="F19" s="81">
        <f t="shared" ref="F19:K19" si="13">E19+F18</f>
        <v>1486</v>
      </c>
      <c r="G19" s="81">
        <f t="shared" si="13"/>
        <v>1486</v>
      </c>
      <c r="H19" s="81">
        <f t="shared" si="13"/>
        <v>2878</v>
      </c>
      <c r="I19" s="81">
        <f t="shared" si="13"/>
        <v>5133</v>
      </c>
      <c r="J19" s="81">
        <f t="shared" si="13"/>
        <v>5133</v>
      </c>
      <c r="K19" s="81">
        <f t="shared" si="13"/>
        <v>5133</v>
      </c>
      <c r="L19" s="116"/>
      <c r="O19" s="116" t="s">
        <v>186</v>
      </c>
    </row>
    <row r="20" spans="2:15">
      <c r="B20" s="26" t="s">
        <v>82</v>
      </c>
      <c r="C20" s="19" t="s">
        <v>75</v>
      </c>
      <c r="D20" s="27">
        <v>0.2</v>
      </c>
      <c r="E20" s="82">
        <f>D20</f>
        <v>0.2</v>
      </c>
      <c r="F20" s="82">
        <f t="shared" ref="F20:I20" si="14">E20</f>
        <v>0.2</v>
      </c>
      <c r="G20" s="82">
        <f t="shared" si="14"/>
        <v>0.2</v>
      </c>
      <c r="H20" s="82">
        <f t="shared" si="14"/>
        <v>0.2</v>
      </c>
      <c r="I20" s="82">
        <f t="shared" si="14"/>
        <v>0.2</v>
      </c>
      <c r="J20" s="82">
        <f t="shared" ref="J20:K20" si="15">I20</f>
        <v>0.2</v>
      </c>
      <c r="K20" s="82">
        <f t="shared" si="15"/>
        <v>0.2</v>
      </c>
      <c r="L20" s="18"/>
      <c r="O20" s="116" t="s">
        <v>190</v>
      </c>
    </row>
    <row r="21" spans="2:15">
      <c r="B21" s="26"/>
      <c r="C21" s="19"/>
      <c r="D21" s="27"/>
      <c r="E21" s="22"/>
      <c r="F21" s="22"/>
      <c r="G21" s="22"/>
      <c r="H21" s="22"/>
      <c r="I21" s="82"/>
      <c r="J21" s="22"/>
      <c r="K21" s="22"/>
      <c r="L21" s="18"/>
      <c r="O21" s="116"/>
    </row>
    <row r="22" spans="2:15">
      <c r="B22" s="114" t="s">
        <v>217</v>
      </c>
      <c r="C22" s="115"/>
      <c r="D22" s="115"/>
      <c r="E22" s="115"/>
      <c r="F22" s="115"/>
      <c r="G22" s="115"/>
      <c r="H22" s="115"/>
      <c r="I22" s="115"/>
      <c r="J22" s="115"/>
      <c r="K22" s="115"/>
      <c r="L22" s="18"/>
      <c r="O22" s="116"/>
    </row>
    <row r="23" spans="2:15">
      <c r="B23" s="26" t="s">
        <v>52</v>
      </c>
      <c r="C23" s="19" t="s">
        <v>167</v>
      </c>
      <c r="D23" s="179">
        <v>5</v>
      </c>
      <c r="E23" s="31">
        <f>D23</f>
        <v>5</v>
      </c>
      <c r="F23" s="31">
        <f t="shared" ref="F23:K23" si="16">E23</f>
        <v>5</v>
      </c>
      <c r="G23" s="31">
        <f t="shared" si="16"/>
        <v>5</v>
      </c>
      <c r="H23" s="31">
        <f t="shared" si="16"/>
        <v>5</v>
      </c>
      <c r="I23" s="31">
        <f t="shared" si="16"/>
        <v>5</v>
      </c>
      <c r="J23" s="31">
        <f t="shared" si="16"/>
        <v>5</v>
      </c>
      <c r="K23" s="31">
        <f t="shared" si="16"/>
        <v>5</v>
      </c>
      <c r="L23" s="18"/>
      <c r="O23" s="124" t="s">
        <v>287</v>
      </c>
    </row>
    <row r="24" spans="2:15">
      <c r="B24" s="26" t="s">
        <v>196</v>
      </c>
      <c r="C24" s="19" t="s">
        <v>81</v>
      </c>
      <c r="D24" s="29">
        <f>Dev_Platform_Hosted_Git!B26</f>
        <v>500</v>
      </c>
      <c r="E24" s="102">
        <f>D24</f>
        <v>500</v>
      </c>
      <c r="F24" s="102">
        <f t="shared" ref="F24:H24" si="17">E24</f>
        <v>500</v>
      </c>
      <c r="G24" s="102">
        <f t="shared" si="17"/>
        <v>500</v>
      </c>
      <c r="H24" s="102">
        <f t="shared" si="17"/>
        <v>500</v>
      </c>
      <c r="I24" s="69">
        <f t="shared" ref="I24" si="18">E24*1.1</f>
        <v>550</v>
      </c>
      <c r="J24" s="99">
        <f t="shared" ref="J24" si="19">I24*1.1</f>
        <v>605</v>
      </c>
      <c r="K24" s="99">
        <f t="shared" ref="K24" si="20">J24*1.1</f>
        <v>665.5</v>
      </c>
      <c r="L24" s="18"/>
      <c r="O24" s="116"/>
    </row>
    <row r="25" spans="2:15">
      <c r="B25" s="26" t="s">
        <v>68</v>
      </c>
      <c r="C25" s="19" t="s">
        <v>73</v>
      </c>
      <c r="D25" s="69">
        <v>0</v>
      </c>
      <c r="E25" s="69">
        <f>E17</f>
        <v>3</v>
      </c>
      <c r="F25" s="69">
        <f>F17</f>
        <v>3</v>
      </c>
      <c r="G25" s="69">
        <f>G17</f>
        <v>3</v>
      </c>
      <c r="H25" s="69">
        <f>H17</f>
        <v>3</v>
      </c>
      <c r="I25" s="69">
        <v>3</v>
      </c>
      <c r="J25" s="69">
        <v>0</v>
      </c>
      <c r="K25" s="69">
        <v>0</v>
      </c>
      <c r="L25" s="18"/>
      <c r="O25" s="116" t="s">
        <v>288</v>
      </c>
    </row>
    <row r="26" spans="2:15">
      <c r="B26" s="26"/>
      <c r="C26" s="19"/>
      <c r="D26" s="21"/>
      <c r="E26" s="21"/>
      <c r="F26" s="21"/>
      <c r="G26" s="21"/>
      <c r="H26" s="21"/>
      <c r="I26" s="21"/>
      <c r="J26" s="21"/>
      <c r="K26" s="21"/>
      <c r="L26" s="18"/>
      <c r="O26" s="116"/>
    </row>
    <row r="27" spans="2:15">
      <c r="B27" s="114" t="s">
        <v>195</v>
      </c>
      <c r="C27" s="115"/>
      <c r="D27" s="115"/>
      <c r="E27" s="115"/>
      <c r="F27" s="115"/>
      <c r="G27" s="115"/>
      <c r="H27" s="115"/>
      <c r="I27" s="115"/>
      <c r="J27" s="115"/>
      <c r="K27" s="115"/>
      <c r="L27" s="18"/>
      <c r="O27" s="116"/>
    </row>
    <row r="28" spans="2:15">
      <c r="B28" s="26" t="s">
        <v>52</v>
      </c>
      <c r="C28" s="19" t="s">
        <v>167</v>
      </c>
      <c r="D28" s="101">
        <v>0</v>
      </c>
      <c r="E28" s="101">
        <v>2</v>
      </c>
      <c r="F28" s="79">
        <f>E28</f>
        <v>2</v>
      </c>
      <c r="G28" s="79">
        <f t="shared" ref="G28:H28" si="21">F28</f>
        <v>2</v>
      </c>
      <c r="H28" s="79">
        <f t="shared" si="21"/>
        <v>2</v>
      </c>
      <c r="I28" s="101">
        <f>2*I25/I17+0.5*(1-I25/I17)</f>
        <v>0.875</v>
      </c>
      <c r="J28" s="101">
        <v>0.5</v>
      </c>
      <c r="K28" s="69">
        <f t="shared" ref="K28" si="22">J28</f>
        <v>0.5</v>
      </c>
      <c r="L28" s="18"/>
      <c r="O28" s="116" t="s">
        <v>289</v>
      </c>
    </row>
    <row r="29" spans="2:15">
      <c r="B29" s="26" t="s">
        <v>196</v>
      </c>
      <c r="C29" s="19" t="s">
        <v>81</v>
      </c>
      <c r="D29" s="102">
        <v>400</v>
      </c>
      <c r="E29" s="69">
        <f>D29</f>
        <v>400</v>
      </c>
      <c r="F29" s="69">
        <f t="shared" ref="F29:H29" si="23">E29</f>
        <v>400</v>
      </c>
      <c r="G29" s="69">
        <f t="shared" si="23"/>
        <v>400</v>
      </c>
      <c r="H29" s="69">
        <f t="shared" si="23"/>
        <v>400</v>
      </c>
      <c r="I29" s="69">
        <f>E29*1.1</f>
        <v>440.00000000000006</v>
      </c>
      <c r="J29" s="99">
        <f t="shared" ref="J29:K29" si="24">I29*1.1</f>
        <v>484.00000000000011</v>
      </c>
      <c r="K29" s="99">
        <f t="shared" si="24"/>
        <v>532.4000000000002</v>
      </c>
      <c r="L29" s="18"/>
      <c r="O29" s="116"/>
    </row>
    <row r="30" spans="2:15">
      <c r="B30" s="26" t="s">
        <v>68</v>
      </c>
      <c r="C30" s="19" t="s">
        <v>73</v>
      </c>
      <c r="D30" s="69">
        <f t="shared" ref="D30:K30" si="25">D17</f>
        <v>0</v>
      </c>
      <c r="E30" s="69">
        <f t="shared" si="25"/>
        <v>3</v>
      </c>
      <c r="F30" s="69">
        <f t="shared" si="25"/>
        <v>3</v>
      </c>
      <c r="G30" s="69">
        <f t="shared" si="25"/>
        <v>3</v>
      </c>
      <c r="H30" s="69">
        <f t="shared" si="25"/>
        <v>3</v>
      </c>
      <c r="I30" s="69">
        <f t="shared" si="25"/>
        <v>12</v>
      </c>
      <c r="J30" s="69">
        <f t="shared" si="25"/>
        <v>12</v>
      </c>
      <c r="K30" s="69">
        <f t="shared" si="25"/>
        <v>12</v>
      </c>
      <c r="L30" s="18"/>
      <c r="O30" s="116" t="s">
        <v>220</v>
      </c>
    </row>
    <row r="31" spans="2:15">
      <c r="B31" s="26"/>
      <c r="C31" s="19"/>
      <c r="D31" s="28"/>
      <c r="E31" s="80"/>
      <c r="F31" s="80"/>
      <c r="G31" s="80"/>
      <c r="H31" s="80"/>
      <c r="I31" s="80"/>
      <c r="J31" s="28"/>
      <c r="K31" s="28"/>
      <c r="L31" s="18"/>
      <c r="O31" s="116"/>
    </row>
    <row r="32" spans="2:15">
      <c r="B32" s="114" t="s">
        <v>204</v>
      </c>
      <c r="C32" s="115"/>
      <c r="D32" s="115"/>
      <c r="E32" s="115"/>
      <c r="F32" s="115"/>
      <c r="G32" s="115"/>
      <c r="H32" s="115"/>
      <c r="I32" s="115"/>
      <c r="J32" s="115"/>
      <c r="K32" s="115"/>
      <c r="L32" s="18"/>
      <c r="O32" s="116"/>
    </row>
    <row r="33" spans="2:15">
      <c r="B33" s="26" t="s">
        <v>86</v>
      </c>
      <c r="C33" s="19" t="s">
        <v>81</v>
      </c>
      <c r="D33" s="80">
        <v>300</v>
      </c>
      <c r="E33" s="19">
        <f>D33</f>
        <v>300</v>
      </c>
      <c r="F33" s="19">
        <f t="shared" ref="F33:H33" si="26">E33</f>
        <v>300</v>
      </c>
      <c r="G33" s="19">
        <f t="shared" si="26"/>
        <v>300</v>
      </c>
      <c r="H33" s="19">
        <f t="shared" si="26"/>
        <v>300</v>
      </c>
      <c r="I33" s="19">
        <f>E33*1.1</f>
        <v>330</v>
      </c>
      <c r="J33" s="19">
        <f t="shared" ref="J33" si="27">I33*1.1</f>
        <v>363.00000000000006</v>
      </c>
      <c r="K33" s="31">
        <f t="shared" ref="K33" si="28">J33*1.1</f>
        <v>399.30000000000007</v>
      </c>
      <c r="L33" s="18"/>
      <c r="O33" s="116"/>
    </row>
    <row r="34" spans="2:15">
      <c r="B34" s="26" t="s">
        <v>68</v>
      </c>
      <c r="C34" s="19" t="s">
        <v>73</v>
      </c>
      <c r="D34" s="28">
        <v>0</v>
      </c>
      <c r="E34" s="69">
        <v>3</v>
      </c>
      <c r="F34" s="69">
        <v>3</v>
      </c>
      <c r="G34" s="69">
        <v>3</v>
      </c>
      <c r="H34" s="69">
        <v>3</v>
      </c>
      <c r="I34" s="69">
        <v>12</v>
      </c>
      <c r="J34" s="69">
        <v>12</v>
      </c>
      <c r="K34" s="69">
        <v>12</v>
      </c>
      <c r="L34" s="18"/>
      <c r="O34" s="116" t="s">
        <v>212</v>
      </c>
    </row>
    <row r="35" spans="2:15">
      <c r="B35" s="26" t="s">
        <v>52</v>
      </c>
      <c r="C35" s="19" t="s">
        <v>80</v>
      </c>
      <c r="D35" s="80">
        <v>2</v>
      </c>
      <c r="E35" s="69">
        <f>D35</f>
        <v>2</v>
      </c>
      <c r="F35" s="69">
        <f t="shared" ref="F35:K35" si="29">E35</f>
        <v>2</v>
      </c>
      <c r="G35" s="69">
        <f t="shared" si="29"/>
        <v>2</v>
      </c>
      <c r="H35" s="69">
        <f t="shared" si="29"/>
        <v>2</v>
      </c>
      <c r="I35" s="69">
        <f t="shared" si="29"/>
        <v>2</v>
      </c>
      <c r="J35" s="69">
        <f t="shared" si="29"/>
        <v>2</v>
      </c>
      <c r="K35" s="69">
        <f t="shared" si="29"/>
        <v>2</v>
      </c>
      <c r="L35" s="18"/>
      <c r="O35" s="116"/>
    </row>
    <row r="36" spans="2:15">
      <c r="B36" s="26"/>
      <c r="C36" s="19"/>
      <c r="D36" s="28"/>
      <c r="E36" s="80"/>
      <c r="F36" s="80"/>
      <c r="G36" s="80"/>
      <c r="H36" s="80"/>
      <c r="I36" s="80"/>
      <c r="J36" s="28"/>
      <c r="K36" s="28"/>
      <c r="L36" s="18"/>
      <c r="O36" s="116"/>
    </row>
    <row r="37" spans="2:15">
      <c r="B37" s="114" t="s">
        <v>227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8"/>
      <c r="O37" s="116"/>
    </row>
    <row r="38" spans="2:15">
      <c r="B38" s="26" t="s">
        <v>205</v>
      </c>
      <c r="C38" s="19" t="s">
        <v>226</v>
      </c>
      <c r="D38" s="28">
        <v>0.5</v>
      </c>
      <c r="E38" s="20">
        <f>D38</f>
        <v>0.5</v>
      </c>
      <c r="F38" s="20">
        <f t="shared" ref="F38:K38" si="30">E38</f>
        <v>0.5</v>
      </c>
      <c r="G38" s="20">
        <f t="shared" si="30"/>
        <v>0.5</v>
      </c>
      <c r="H38" s="20">
        <f t="shared" si="30"/>
        <v>0.5</v>
      </c>
      <c r="I38" s="20">
        <f t="shared" si="30"/>
        <v>0.5</v>
      </c>
      <c r="J38" s="20">
        <f t="shared" si="30"/>
        <v>0.5</v>
      </c>
      <c r="K38" s="20">
        <f t="shared" si="30"/>
        <v>0.5</v>
      </c>
      <c r="L38" s="18"/>
      <c r="O38" s="116" t="s">
        <v>206</v>
      </c>
    </row>
    <row r="39" spans="2:15">
      <c r="B39" s="26" t="s">
        <v>265</v>
      </c>
      <c r="C39" s="19" t="s">
        <v>74</v>
      </c>
      <c r="D39" s="81">
        <f t="shared" ref="D39:K39" si="31">D19</f>
        <v>0</v>
      </c>
      <c r="E39" s="81">
        <f t="shared" si="31"/>
        <v>169</v>
      </c>
      <c r="F39" s="81">
        <f t="shared" si="31"/>
        <v>1486</v>
      </c>
      <c r="G39" s="81">
        <f t="shared" si="31"/>
        <v>1486</v>
      </c>
      <c r="H39" s="81">
        <f t="shared" si="31"/>
        <v>2878</v>
      </c>
      <c r="I39" s="81">
        <f t="shared" si="31"/>
        <v>5133</v>
      </c>
      <c r="J39" s="81">
        <f t="shared" si="31"/>
        <v>5133</v>
      </c>
      <c r="K39" s="81">
        <f t="shared" si="31"/>
        <v>5133</v>
      </c>
      <c r="L39" s="18"/>
      <c r="O39" s="116"/>
    </row>
    <row r="40" spans="2:15">
      <c r="B40" s="26" t="s">
        <v>68</v>
      </c>
      <c r="C40" s="19" t="s">
        <v>73</v>
      </c>
      <c r="D40" s="113">
        <f t="shared" ref="D40:K40" si="32">D17</f>
        <v>0</v>
      </c>
      <c r="E40" s="113">
        <f t="shared" si="32"/>
        <v>3</v>
      </c>
      <c r="F40" s="113">
        <f t="shared" si="32"/>
        <v>3</v>
      </c>
      <c r="G40" s="113">
        <f t="shared" si="32"/>
        <v>3</v>
      </c>
      <c r="H40" s="113">
        <f t="shared" si="32"/>
        <v>3</v>
      </c>
      <c r="I40" s="113">
        <f t="shared" si="32"/>
        <v>12</v>
      </c>
      <c r="J40" s="113">
        <f t="shared" si="32"/>
        <v>12</v>
      </c>
      <c r="K40" s="113">
        <f t="shared" si="32"/>
        <v>12</v>
      </c>
      <c r="L40" s="18"/>
      <c r="O40" s="116"/>
    </row>
    <row r="41" spans="2:15">
      <c r="B41" s="26" t="s">
        <v>82</v>
      </c>
      <c r="C41" s="19" t="s">
        <v>75</v>
      </c>
      <c r="D41" s="27">
        <v>0.2</v>
      </c>
      <c r="E41" s="22">
        <f>D41</f>
        <v>0.2</v>
      </c>
      <c r="F41" s="22">
        <f t="shared" ref="F41:K41" si="33">E41</f>
        <v>0.2</v>
      </c>
      <c r="G41" s="22">
        <f t="shared" si="33"/>
        <v>0.2</v>
      </c>
      <c r="H41" s="22">
        <f t="shared" si="33"/>
        <v>0.2</v>
      </c>
      <c r="I41" s="22">
        <f t="shared" si="33"/>
        <v>0.2</v>
      </c>
      <c r="J41" s="22">
        <f t="shared" si="33"/>
        <v>0.2</v>
      </c>
      <c r="K41" s="22">
        <f t="shared" si="33"/>
        <v>0.2</v>
      </c>
      <c r="L41" s="18"/>
      <c r="O41" s="116"/>
    </row>
    <row r="42" spans="2:15">
      <c r="B42" s="26"/>
      <c r="C42" s="19"/>
      <c r="D42" s="28"/>
      <c r="E42" s="80"/>
      <c r="F42" s="80"/>
      <c r="G42" s="80"/>
      <c r="H42" s="80"/>
      <c r="I42" s="80"/>
      <c r="J42" s="28"/>
      <c r="K42" s="28"/>
      <c r="L42" s="18"/>
      <c r="O42" s="116"/>
    </row>
    <row r="43" spans="2:15">
      <c r="B43" s="114" t="s">
        <v>168</v>
      </c>
      <c r="C43" s="115"/>
      <c r="D43" s="115"/>
      <c r="E43" s="115"/>
      <c r="F43" s="115"/>
      <c r="G43" s="115"/>
      <c r="H43" s="115"/>
      <c r="I43" s="115"/>
      <c r="J43" s="115"/>
      <c r="K43" s="115"/>
      <c r="O43" s="116"/>
    </row>
    <row r="44" spans="2:15">
      <c r="B44" s="26" t="s">
        <v>175</v>
      </c>
      <c r="C44" s="19" t="s">
        <v>271</v>
      </c>
      <c r="D44" s="67">
        <f>D105</f>
        <v>17.179405875853398</v>
      </c>
      <c r="E44" s="21">
        <f>D44*1.1</f>
        <v>18.89734646343874</v>
      </c>
      <c r="F44" s="21">
        <f>E44</f>
        <v>18.89734646343874</v>
      </c>
      <c r="G44" s="21">
        <f t="shared" ref="G44:H44" si="34">F44</f>
        <v>18.89734646343874</v>
      </c>
      <c r="H44" s="21">
        <f t="shared" si="34"/>
        <v>18.89734646343874</v>
      </c>
      <c r="I44" s="21">
        <f>H44*1.1</f>
        <v>20.787081109782616</v>
      </c>
      <c r="J44" s="21">
        <f t="shared" ref="J44" si="35">I44*1.1</f>
        <v>22.865789220760877</v>
      </c>
      <c r="K44" s="21">
        <f t="shared" ref="K44" si="36">J44*1.1</f>
        <v>25.152368142836966</v>
      </c>
      <c r="O44" s="116" t="s">
        <v>189</v>
      </c>
    </row>
    <row r="45" spans="2:15">
      <c r="B45" s="26" t="s">
        <v>274</v>
      </c>
      <c r="C45" s="19" t="s">
        <v>167</v>
      </c>
      <c r="D45" s="69">
        <f>D23+D28+D35</f>
        <v>7</v>
      </c>
      <c r="E45" s="99">
        <f t="shared" ref="E45:K45" si="37">E23+E28+E35</f>
        <v>9</v>
      </c>
      <c r="F45" s="99">
        <f t="shared" si="37"/>
        <v>9</v>
      </c>
      <c r="G45" s="99">
        <f t="shared" si="37"/>
        <v>9</v>
      </c>
      <c r="H45" s="99">
        <f t="shared" si="37"/>
        <v>9</v>
      </c>
      <c r="I45" s="31">
        <f t="shared" si="37"/>
        <v>7.875</v>
      </c>
      <c r="J45" s="31">
        <f t="shared" si="37"/>
        <v>7.5</v>
      </c>
      <c r="K45" s="31">
        <f t="shared" si="37"/>
        <v>7.5</v>
      </c>
      <c r="O45" s="116" t="s">
        <v>187</v>
      </c>
    </row>
    <row r="46" spans="2:15">
      <c r="B46" s="26" t="s">
        <v>68</v>
      </c>
      <c r="C46" s="19" t="s">
        <v>73</v>
      </c>
      <c r="D46" s="28">
        <v>0</v>
      </c>
      <c r="E46" s="28">
        <f t="shared" ref="E46:K46" si="38">E17</f>
        <v>3</v>
      </c>
      <c r="F46" s="28">
        <f t="shared" si="38"/>
        <v>3</v>
      </c>
      <c r="G46" s="28">
        <f t="shared" si="38"/>
        <v>3</v>
      </c>
      <c r="H46" s="28">
        <f t="shared" si="38"/>
        <v>3</v>
      </c>
      <c r="I46" s="28">
        <f t="shared" si="38"/>
        <v>12</v>
      </c>
      <c r="J46" s="28">
        <f t="shared" si="38"/>
        <v>12</v>
      </c>
      <c r="K46" s="28">
        <f t="shared" si="38"/>
        <v>12</v>
      </c>
      <c r="O46" s="116"/>
    </row>
    <row r="47" spans="2:15">
      <c r="B47" s="26"/>
      <c r="C47" s="19"/>
      <c r="D47" s="28"/>
      <c r="E47" s="80"/>
      <c r="F47" s="80"/>
      <c r="G47" s="80"/>
      <c r="H47" s="80"/>
      <c r="I47" s="80"/>
      <c r="J47" s="28"/>
      <c r="K47" s="28"/>
      <c r="L47" s="18"/>
      <c r="O47" s="116"/>
    </row>
    <row r="48" spans="2:15">
      <c r="B48" s="26"/>
      <c r="C48" s="19"/>
      <c r="D48" s="28"/>
      <c r="E48" s="80"/>
      <c r="F48" s="80"/>
      <c r="G48" s="80"/>
      <c r="H48" s="80"/>
      <c r="I48" s="80"/>
      <c r="J48" s="28"/>
      <c r="K48" s="28"/>
      <c r="L48" s="18"/>
      <c r="O48" s="116"/>
    </row>
    <row r="49" spans="2:19" s="10" customFormat="1">
      <c r="B49" s="10" t="s">
        <v>213</v>
      </c>
      <c r="O49" s="125"/>
    </row>
    <row r="50" spans="2:19">
      <c r="O50" s="116"/>
    </row>
    <row r="51" spans="2:19">
      <c r="B51" s="30" t="s">
        <v>65</v>
      </c>
      <c r="C51" s="30" t="s">
        <v>66</v>
      </c>
      <c r="D51" s="30">
        <v>2023</v>
      </c>
      <c r="E51" s="138" t="s">
        <v>267</v>
      </c>
      <c r="F51" s="138" t="s">
        <v>268</v>
      </c>
      <c r="G51" s="138" t="s">
        <v>269</v>
      </c>
      <c r="H51" s="138" t="s">
        <v>270</v>
      </c>
      <c r="I51" s="30">
        <v>2025</v>
      </c>
      <c r="J51" s="30">
        <v>2026</v>
      </c>
      <c r="K51" s="30">
        <v>2027</v>
      </c>
      <c r="O51" s="116"/>
      <c r="P51" s="19"/>
      <c r="Q51" s="19"/>
      <c r="R51" s="19"/>
      <c r="S51" s="19"/>
    </row>
    <row r="52" spans="2:19">
      <c r="B52" s="3" t="s">
        <v>67</v>
      </c>
      <c r="C52" s="3" t="s">
        <v>69</v>
      </c>
      <c r="D52" s="13">
        <f>D61*D62*D64*(1-D65)</f>
        <v>0</v>
      </c>
      <c r="E52" s="17">
        <f>E61*E62*E64*(1-E65)</f>
        <v>1460.16</v>
      </c>
      <c r="F52" s="17">
        <f t="shared" ref="F52:H52" si="39">F61*F62*F64*(1-F65)</f>
        <v>12839.04</v>
      </c>
      <c r="G52" s="17">
        <f t="shared" si="39"/>
        <v>12839.04</v>
      </c>
      <c r="H52" s="17">
        <f t="shared" si="39"/>
        <v>24865.920000000002</v>
      </c>
      <c r="I52" s="17">
        <f>I61*I62*I64*(1-I65)</f>
        <v>177396.48000000001</v>
      </c>
      <c r="J52" s="13">
        <f>J61*J62*J64*(1-J65)</f>
        <v>177396.48000000001</v>
      </c>
      <c r="K52" s="13">
        <f>K61*K62*K64*(1-K65)</f>
        <v>177396.48000000001</v>
      </c>
      <c r="L52" s="149"/>
      <c r="M52" s="18"/>
      <c r="O52" s="116"/>
      <c r="P52" s="19"/>
      <c r="Q52" s="19"/>
      <c r="R52" s="19"/>
      <c r="S52" s="19"/>
    </row>
    <row r="53" spans="2:19">
      <c r="B53" s="3" t="s">
        <v>217</v>
      </c>
      <c r="C53" s="3" t="s">
        <v>69</v>
      </c>
      <c r="D53" s="13">
        <f>D68*D69*D70</f>
        <v>0</v>
      </c>
      <c r="E53" s="13">
        <f t="shared" ref="E53:K53" si="40">E68*E69*E70</f>
        <v>7500</v>
      </c>
      <c r="F53" s="13">
        <f t="shared" ref="F53:H53" si="41">F68*F69*F70</f>
        <v>7500</v>
      </c>
      <c r="G53" s="13">
        <f t="shared" si="41"/>
        <v>7500</v>
      </c>
      <c r="H53" s="13">
        <f t="shared" si="41"/>
        <v>7500</v>
      </c>
      <c r="I53" s="13">
        <f t="shared" si="40"/>
        <v>8250</v>
      </c>
      <c r="J53" s="13">
        <f t="shared" si="40"/>
        <v>0</v>
      </c>
      <c r="K53" s="13">
        <f t="shared" si="40"/>
        <v>0</v>
      </c>
      <c r="L53" s="149"/>
      <c r="M53" s="18"/>
      <c r="O53" s="116"/>
    </row>
    <row r="54" spans="2:19">
      <c r="B54" s="3" t="s">
        <v>209</v>
      </c>
      <c r="C54" s="3" t="s">
        <v>69</v>
      </c>
      <c r="D54" s="17">
        <f>D75*D73*D74</f>
        <v>0</v>
      </c>
      <c r="E54" s="17">
        <f>E75*E73*E74</f>
        <v>2400</v>
      </c>
      <c r="F54" s="17">
        <f t="shared" ref="F54:H54" si="42">F75*F73*F74</f>
        <v>2400</v>
      </c>
      <c r="G54" s="17">
        <f t="shared" si="42"/>
        <v>2400</v>
      </c>
      <c r="H54" s="17">
        <f t="shared" si="42"/>
        <v>2400</v>
      </c>
      <c r="I54" s="17">
        <f t="shared" ref="I54:K54" si="43">I75*I73*I74</f>
        <v>4620.0000000000009</v>
      </c>
      <c r="J54" s="17">
        <f t="shared" si="43"/>
        <v>2904.0000000000009</v>
      </c>
      <c r="K54" s="17">
        <f t="shared" si="43"/>
        <v>3194.4000000000015</v>
      </c>
      <c r="L54" s="18"/>
      <c r="O54" s="116"/>
    </row>
    <row r="55" spans="2:19">
      <c r="B55" s="3" t="s">
        <v>204</v>
      </c>
      <c r="C55" s="3" t="s">
        <v>69</v>
      </c>
      <c r="D55" s="13">
        <f>D80*D78*D79</f>
        <v>0</v>
      </c>
      <c r="E55" s="13">
        <f>E80*E78*E79</f>
        <v>1800</v>
      </c>
      <c r="F55" s="13">
        <f t="shared" ref="F55:H55" si="44">F80*F78*F79</f>
        <v>1800</v>
      </c>
      <c r="G55" s="13">
        <f t="shared" si="44"/>
        <v>1800</v>
      </c>
      <c r="H55" s="13">
        <f t="shared" si="44"/>
        <v>1800</v>
      </c>
      <c r="I55" s="13">
        <f t="shared" ref="I55:K55" si="45">I80*I78*I79</f>
        <v>7920</v>
      </c>
      <c r="J55" s="13">
        <f t="shared" si="45"/>
        <v>8712.0000000000018</v>
      </c>
      <c r="K55" s="13">
        <f t="shared" si="45"/>
        <v>9583.2000000000007</v>
      </c>
      <c r="L55" s="149"/>
      <c r="M55" s="18"/>
      <c r="O55" s="116"/>
    </row>
    <row r="56" spans="2:19">
      <c r="B56" s="3" t="s">
        <v>211</v>
      </c>
      <c r="C56" s="3" t="s">
        <v>69</v>
      </c>
      <c r="D56" s="17">
        <f>D83*D84*D85*(1-D86)</f>
        <v>0</v>
      </c>
      <c r="E56" s="17">
        <f t="shared" ref="E56:K56" si="46">E83*E84*E85*(1-E86)</f>
        <v>2190.2400000000002</v>
      </c>
      <c r="F56" s="17">
        <f t="shared" ref="F56:H56" si="47">F83*F84*F85*(1-F86)</f>
        <v>19258.560000000001</v>
      </c>
      <c r="G56" s="17">
        <f t="shared" si="47"/>
        <v>19258.560000000001</v>
      </c>
      <c r="H56" s="17">
        <f t="shared" si="47"/>
        <v>37298.880000000005</v>
      </c>
      <c r="I56" s="17">
        <f t="shared" si="46"/>
        <v>266094.72000000003</v>
      </c>
      <c r="J56" s="17">
        <f t="shared" si="46"/>
        <v>266094.72000000003</v>
      </c>
      <c r="K56" s="17">
        <f t="shared" si="46"/>
        <v>266094.72000000003</v>
      </c>
      <c r="L56" s="18"/>
      <c r="O56" s="116" t="s">
        <v>207</v>
      </c>
    </row>
    <row r="57" spans="2:19" ht="13.8" thickBot="1">
      <c r="B57" s="3" t="s">
        <v>168</v>
      </c>
      <c r="C57" s="3" t="s">
        <v>69</v>
      </c>
      <c r="D57" s="17">
        <f>D89*D90*D91</f>
        <v>0</v>
      </c>
      <c r="E57" s="17">
        <f t="shared" ref="E57:K57" si="48">E89*E90*E91</f>
        <v>396.84427573221353</v>
      </c>
      <c r="F57" s="17">
        <f t="shared" si="48"/>
        <v>396.84427573221353</v>
      </c>
      <c r="G57" s="17">
        <f t="shared" si="48"/>
        <v>396.84427573221353</v>
      </c>
      <c r="H57" s="17">
        <f t="shared" si="48"/>
        <v>396.84427573221353</v>
      </c>
      <c r="I57" s="17">
        <f t="shared" si="48"/>
        <v>1465.4892182396743</v>
      </c>
      <c r="J57" s="17">
        <f t="shared" si="48"/>
        <v>685.97367662282636</v>
      </c>
      <c r="K57" s="17">
        <f t="shared" si="48"/>
        <v>754.571044285109</v>
      </c>
      <c r="L57" s="18"/>
      <c r="O57" s="116"/>
    </row>
    <row r="58" spans="2:19" s="11" customFormat="1" ht="13.8" thickBot="1">
      <c r="B58" s="24" t="s">
        <v>72</v>
      </c>
      <c r="C58" s="24" t="s">
        <v>69</v>
      </c>
      <c r="D58" s="25">
        <f>SUM(D52:D57)</f>
        <v>0</v>
      </c>
      <c r="E58" s="25">
        <f t="shared" ref="E58:K58" si="49">SUM(E52:E57)</f>
        <v>15747.244275732213</v>
      </c>
      <c r="F58" s="25">
        <f t="shared" si="49"/>
        <v>44194.444275732218</v>
      </c>
      <c r="G58" s="25">
        <f t="shared" si="49"/>
        <v>44194.444275732218</v>
      </c>
      <c r="H58" s="25">
        <f t="shared" si="49"/>
        <v>74261.644275732222</v>
      </c>
      <c r="I58" s="25">
        <f t="shared" si="49"/>
        <v>465746.68921823974</v>
      </c>
      <c r="J58" s="25">
        <f t="shared" si="49"/>
        <v>455793.17367662292</v>
      </c>
      <c r="K58" s="25">
        <f t="shared" si="49"/>
        <v>457023.37104428513</v>
      </c>
      <c r="L58" s="23">
        <f>SUM(D58:K58)</f>
        <v>1556961.0110420766</v>
      </c>
      <c r="O58" s="123"/>
    </row>
    <row r="59" spans="2:19">
      <c r="O59" s="116"/>
    </row>
    <row r="60" spans="2:19">
      <c r="B60" s="114" t="s">
        <v>85</v>
      </c>
      <c r="C60" s="115"/>
      <c r="D60" s="115"/>
      <c r="E60" s="115"/>
      <c r="F60" s="115"/>
      <c r="G60" s="115"/>
      <c r="H60" s="115"/>
      <c r="I60" s="115"/>
      <c r="J60" s="115"/>
      <c r="K60" s="115"/>
      <c r="O60" s="116"/>
    </row>
    <row r="61" spans="2:19">
      <c r="B61" s="26" t="s">
        <v>197</v>
      </c>
      <c r="C61" s="19" t="s">
        <v>198</v>
      </c>
      <c r="D61" s="98">
        <f>D16</f>
        <v>3.6</v>
      </c>
      <c r="E61" s="20">
        <f>D61</f>
        <v>3.6</v>
      </c>
      <c r="F61" s="20">
        <f t="shared" ref="F61:K61" si="50">E61</f>
        <v>3.6</v>
      </c>
      <c r="G61" s="20">
        <f t="shared" si="50"/>
        <v>3.6</v>
      </c>
      <c r="H61" s="20">
        <f t="shared" si="50"/>
        <v>3.6</v>
      </c>
      <c r="I61" s="20">
        <f t="shared" si="50"/>
        <v>3.6</v>
      </c>
      <c r="J61" s="20">
        <f t="shared" si="50"/>
        <v>3.6</v>
      </c>
      <c r="K61" s="20">
        <f t="shared" si="50"/>
        <v>3.6</v>
      </c>
      <c r="O61" s="116" t="s">
        <v>186</v>
      </c>
    </row>
    <row r="62" spans="2:19">
      <c r="B62" s="26" t="s">
        <v>68</v>
      </c>
      <c r="C62" s="19" t="s">
        <v>73</v>
      </c>
      <c r="D62" s="133">
        <f>D17</f>
        <v>0</v>
      </c>
      <c r="E62" s="139">
        <f t="shared" ref="E62:K63" si="51">E17</f>
        <v>3</v>
      </c>
      <c r="F62" s="139">
        <f t="shared" si="51"/>
        <v>3</v>
      </c>
      <c r="G62" s="139">
        <f t="shared" si="51"/>
        <v>3</v>
      </c>
      <c r="H62" s="139">
        <f t="shared" si="51"/>
        <v>3</v>
      </c>
      <c r="I62" s="139">
        <f t="shared" si="51"/>
        <v>12</v>
      </c>
      <c r="J62" s="139">
        <f t="shared" si="51"/>
        <v>12</v>
      </c>
      <c r="K62" s="133">
        <f t="shared" si="51"/>
        <v>12</v>
      </c>
      <c r="L62" s="116"/>
      <c r="O62" s="18"/>
    </row>
    <row r="63" spans="2:19">
      <c r="B63" s="26" t="s">
        <v>272</v>
      </c>
      <c r="C63" s="19" t="s">
        <v>74</v>
      </c>
      <c r="D63" s="81">
        <f>D18</f>
        <v>0</v>
      </c>
      <c r="E63" s="81">
        <f t="shared" si="51"/>
        <v>169</v>
      </c>
      <c r="F63" s="81">
        <f t="shared" si="51"/>
        <v>1317</v>
      </c>
      <c r="G63" s="81">
        <f t="shared" si="51"/>
        <v>0</v>
      </c>
      <c r="H63" s="81">
        <f t="shared" si="51"/>
        <v>1392</v>
      </c>
      <c r="I63" s="81">
        <f t="shared" si="51"/>
        <v>2255</v>
      </c>
      <c r="J63" s="81">
        <f t="shared" si="51"/>
        <v>0</v>
      </c>
      <c r="K63" s="81">
        <f t="shared" si="51"/>
        <v>0</v>
      </c>
      <c r="L63" s="116"/>
      <c r="O63" s="18"/>
    </row>
    <row r="64" spans="2:19">
      <c r="B64" s="26" t="s">
        <v>265</v>
      </c>
      <c r="C64" s="19" t="s">
        <v>74</v>
      </c>
      <c r="D64" s="81">
        <f>D63</f>
        <v>0</v>
      </c>
      <c r="E64" s="81">
        <f>D64+E63</f>
        <v>169</v>
      </c>
      <c r="F64" s="81">
        <f t="shared" ref="F64" si="52">E64+F63</f>
        <v>1486</v>
      </c>
      <c r="G64" s="81">
        <f t="shared" ref="G64" si="53">F64+G63</f>
        <v>1486</v>
      </c>
      <c r="H64" s="81">
        <f t="shared" ref="H64" si="54">G64+H63</f>
        <v>2878</v>
      </c>
      <c r="I64" s="81">
        <f t="shared" ref="I64" si="55">H64+I63</f>
        <v>5133</v>
      </c>
      <c r="J64" s="81">
        <f t="shared" ref="J64" si="56">I64+J63</f>
        <v>5133</v>
      </c>
      <c r="K64" s="81">
        <f t="shared" ref="K64" si="57">J64+K63</f>
        <v>5133</v>
      </c>
      <c r="O64" s="116" t="s">
        <v>186</v>
      </c>
    </row>
    <row r="65" spans="2:15">
      <c r="B65" s="26" t="s">
        <v>82</v>
      </c>
      <c r="C65" s="19" t="s">
        <v>75</v>
      </c>
      <c r="D65" s="27">
        <v>0.2</v>
      </c>
      <c r="E65" s="22">
        <f>D65</f>
        <v>0.2</v>
      </c>
      <c r="F65" s="22">
        <f t="shared" ref="F65:K65" si="58">E65</f>
        <v>0.2</v>
      </c>
      <c r="G65" s="22">
        <f t="shared" si="58"/>
        <v>0.2</v>
      </c>
      <c r="H65" s="22">
        <f t="shared" si="58"/>
        <v>0.2</v>
      </c>
      <c r="I65" s="22">
        <f t="shared" si="58"/>
        <v>0.2</v>
      </c>
      <c r="J65" s="22">
        <f t="shared" si="58"/>
        <v>0.2</v>
      </c>
      <c r="K65" s="22">
        <f t="shared" si="58"/>
        <v>0.2</v>
      </c>
      <c r="L65" s="18"/>
      <c r="O65" s="116" t="s">
        <v>190</v>
      </c>
    </row>
    <row r="66" spans="2:15">
      <c r="B66" s="26"/>
      <c r="C66" s="19"/>
      <c r="D66" s="27"/>
      <c r="E66" s="22"/>
      <c r="F66" s="22"/>
      <c r="G66" s="22"/>
      <c r="H66" s="22"/>
      <c r="I66" s="82"/>
      <c r="J66" s="22"/>
      <c r="K66" s="22"/>
      <c r="L66" s="18"/>
      <c r="O66" s="116"/>
    </row>
    <row r="67" spans="2:15">
      <c r="B67" s="114" t="s">
        <v>217</v>
      </c>
      <c r="C67" s="115"/>
      <c r="D67" s="115"/>
      <c r="E67" s="115"/>
      <c r="F67" s="115"/>
      <c r="G67" s="115"/>
      <c r="H67" s="115"/>
      <c r="I67" s="115"/>
      <c r="J67" s="115"/>
      <c r="K67" s="115"/>
      <c r="L67" s="18"/>
      <c r="O67" s="116"/>
    </row>
    <row r="68" spans="2:15">
      <c r="B68" s="26" t="s">
        <v>52</v>
      </c>
      <c r="C68" s="19" t="s">
        <v>167</v>
      </c>
      <c r="D68" s="179">
        <f>D23</f>
        <v>5</v>
      </c>
      <c r="E68" s="31">
        <f>D68</f>
        <v>5</v>
      </c>
      <c r="F68" s="31">
        <f t="shared" ref="F68:K68" si="59">E68</f>
        <v>5</v>
      </c>
      <c r="G68" s="31">
        <f t="shared" si="59"/>
        <v>5</v>
      </c>
      <c r="H68" s="31">
        <f t="shared" si="59"/>
        <v>5</v>
      </c>
      <c r="I68" s="31">
        <f t="shared" si="59"/>
        <v>5</v>
      </c>
      <c r="J68" s="31">
        <f t="shared" si="59"/>
        <v>5</v>
      </c>
      <c r="K68" s="31">
        <f t="shared" si="59"/>
        <v>5</v>
      </c>
      <c r="L68" s="18"/>
      <c r="O68" s="124" t="s">
        <v>287</v>
      </c>
    </row>
    <row r="69" spans="2:15">
      <c r="B69" s="26" t="s">
        <v>196</v>
      </c>
      <c r="C69" s="19" t="s">
        <v>81</v>
      </c>
      <c r="D69" s="29">
        <f>Dev_Platform_Hosted_Git!B26</f>
        <v>500</v>
      </c>
      <c r="E69" s="102">
        <f>D69</f>
        <v>500</v>
      </c>
      <c r="F69" s="102">
        <f t="shared" ref="F69:H69" si="60">E69</f>
        <v>500</v>
      </c>
      <c r="G69" s="102">
        <f t="shared" si="60"/>
        <v>500</v>
      </c>
      <c r="H69" s="102">
        <f t="shared" si="60"/>
        <v>500</v>
      </c>
      <c r="I69" s="69">
        <f t="shared" ref="I69" si="61">E69*1.1</f>
        <v>550</v>
      </c>
      <c r="J69" s="99">
        <f t="shared" ref="J69" si="62">I69*1.1</f>
        <v>605</v>
      </c>
      <c r="K69" s="99">
        <f t="shared" ref="K69" si="63">J69*1.1</f>
        <v>665.5</v>
      </c>
      <c r="L69" s="18"/>
      <c r="O69" s="116"/>
    </row>
    <row r="70" spans="2:15">
      <c r="B70" s="26" t="s">
        <v>68</v>
      </c>
      <c r="C70" s="19" t="s">
        <v>73</v>
      </c>
      <c r="D70" s="99">
        <f t="shared" ref="D70:K70" si="64">D25</f>
        <v>0</v>
      </c>
      <c r="E70" s="99">
        <f t="shared" si="64"/>
        <v>3</v>
      </c>
      <c r="F70" s="99">
        <f t="shared" si="64"/>
        <v>3</v>
      </c>
      <c r="G70" s="99">
        <f t="shared" si="64"/>
        <v>3</v>
      </c>
      <c r="H70" s="99">
        <f t="shared" si="64"/>
        <v>3</v>
      </c>
      <c r="I70" s="99">
        <f t="shared" si="64"/>
        <v>3</v>
      </c>
      <c r="J70" s="99">
        <f t="shared" si="64"/>
        <v>0</v>
      </c>
      <c r="K70" s="99">
        <f t="shared" si="64"/>
        <v>0</v>
      </c>
      <c r="L70" s="18"/>
      <c r="O70" s="116" t="s">
        <v>266</v>
      </c>
    </row>
    <row r="71" spans="2:15">
      <c r="B71" s="26"/>
      <c r="C71" s="19"/>
      <c r="D71" s="27"/>
      <c r="E71" s="22"/>
      <c r="F71" s="22"/>
      <c r="G71" s="22"/>
      <c r="H71" s="22"/>
      <c r="I71" s="82"/>
      <c r="J71" s="22"/>
      <c r="K71" s="22"/>
      <c r="L71" s="18"/>
      <c r="O71" s="116"/>
    </row>
    <row r="72" spans="2:15">
      <c r="B72" s="114" t="s">
        <v>195</v>
      </c>
      <c r="C72" s="115"/>
      <c r="D72" s="115"/>
      <c r="E72" s="115"/>
      <c r="F72" s="115"/>
      <c r="G72" s="115"/>
      <c r="H72" s="115"/>
      <c r="I72" s="115"/>
      <c r="J72" s="115"/>
      <c r="K72" s="115"/>
      <c r="L72" s="18"/>
      <c r="O72" s="116"/>
    </row>
    <row r="73" spans="2:15">
      <c r="B73" s="26" t="s">
        <v>52</v>
      </c>
      <c r="C73" s="19" t="s">
        <v>167</v>
      </c>
      <c r="D73" s="20">
        <f>D28</f>
        <v>0</v>
      </c>
      <c r="E73" s="20">
        <f t="shared" ref="E73:K73" si="65">E28</f>
        <v>2</v>
      </c>
      <c r="F73" s="20">
        <f t="shared" si="65"/>
        <v>2</v>
      </c>
      <c r="G73" s="20">
        <f t="shared" si="65"/>
        <v>2</v>
      </c>
      <c r="H73" s="20">
        <f t="shared" si="65"/>
        <v>2</v>
      </c>
      <c r="I73" s="20">
        <f t="shared" si="65"/>
        <v>0.875</v>
      </c>
      <c r="J73" s="20">
        <f t="shared" si="65"/>
        <v>0.5</v>
      </c>
      <c r="K73" s="20">
        <f t="shared" si="65"/>
        <v>0.5</v>
      </c>
      <c r="L73" s="18"/>
      <c r="O73" s="116" t="s">
        <v>289</v>
      </c>
    </row>
    <row r="74" spans="2:15">
      <c r="B74" s="26" t="s">
        <v>196</v>
      </c>
      <c r="C74" s="19" t="s">
        <v>81</v>
      </c>
      <c r="D74" s="102">
        <v>400</v>
      </c>
      <c r="E74" s="69">
        <f>D74</f>
        <v>400</v>
      </c>
      <c r="F74" s="69">
        <f t="shared" ref="F74:H74" si="66">E74</f>
        <v>400</v>
      </c>
      <c r="G74" s="69">
        <f t="shared" si="66"/>
        <v>400</v>
      </c>
      <c r="H74" s="69">
        <f t="shared" si="66"/>
        <v>400</v>
      </c>
      <c r="I74" s="69">
        <f>E74*1.1</f>
        <v>440.00000000000006</v>
      </c>
      <c r="J74" s="99">
        <f t="shared" ref="J74" si="67">I74*1.1</f>
        <v>484.00000000000011</v>
      </c>
      <c r="K74" s="99">
        <f t="shared" ref="K74" si="68">J74*1.1</f>
        <v>532.4000000000002</v>
      </c>
      <c r="L74" s="18"/>
      <c r="O74" s="116"/>
    </row>
    <row r="75" spans="2:15">
      <c r="B75" s="26" t="s">
        <v>68</v>
      </c>
      <c r="C75" s="19" t="s">
        <v>73</v>
      </c>
      <c r="D75" s="99">
        <f t="shared" ref="D75:K75" si="69">D30</f>
        <v>0</v>
      </c>
      <c r="E75" s="99">
        <f t="shared" si="69"/>
        <v>3</v>
      </c>
      <c r="F75" s="99">
        <f t="shared" si="69"/>
        <v>3</v>
      </c>
      <c r="G75" s="99">
        <f t="shared" si="69"/>
        <v>3</v>
      </c>
      <c r="H75" s="99">
        <f t="shared" si="69"/>
        <v>3</v>
      </c>
      <c r="I75" s="99">
        <f t="shared" si="69"/>
        <v>12</v>
      </c>
      <c r="J75" s="99">
        <f t="shared" si="69"/>
        <v>12</v>
      </c>
      <c r="K75" s="99">
        <f t="shared" si="69"/>
        <v>12</v>
      </c>
      <c r="L75" s="18"/>
      <c r="O75" s="116"/>
    </row>
    <row r="76" spans="2:15">
      <c r="B76" s="26"/>
      <c r="C76" s="19"/>
      <c r="D76" s="28"/>
      <c r="E76" s="80"/>
      <c r="F76" s="80"/>
      <c r="G76" s="80"/>
      <c r="H76" s="80"/>
      <c r="I76" s="80"/>
      <c r="J76" s="28"/>
      <c r="K76" s="28"/>
      <c r="L76" s="18"/>
      <c r="O76" s="116"/>
    </row>
    <row r="77" spans="2:15">
      <c r="B77" s="114" t="s">
        <v>204</v>
      </c>
      <c r="C77" s="115"/>
      <c r="D77" s="115"/>
      <c r="E77" s="115"/>
      <c r="F77" s="115"/>
      <c r="G77" s="115"/>
      <c r="H77" s="115"/>
      <c r="I77" s="115"/>
      <c r="J77" s="115"/>
      <c r="K77" s="115"/>
      <c r="L77" s="18"/>
      <c r="O77" s="116"/>
    </row>
    <row r="78" spans="2:15">
      <c r="B78" s="26" t="s">
        <v>86</v>
      </c>
      <c r="C78" s="19" t="s">
        <v>81</v>
      </c>
      <c r="D78" s="80">
        <v>300</v>
      </c>
      <c r="E78" s="19">
        <f>D78</f>
        <v>300</v>
      </c>
      <c r="F78" s="19">
        <f t="shared" ref="F78:H78" si="70">E78</f>
        <v>300</v>
      </c>
      <c r="G78" s="19">
        <f t="shared" si="70"/>
        <v>300</v>
      </c>
      <c r="H78" s="19">
        <f t="shared" si="70"/>
        <v>300</v>
      </c>
      <c r="I78" s="19">
        <f>E78*1.1</f>
        <v>330</v>
      </c>
      <c r="J78" s="19">
        <f t="shared" ref="J78" si="71">I78*1.1</f>
        <v>363.00000000000006</v>
      </c>
      <c r="K78" s="31">
        <f t="shared" ref="K78" si="72">J78*1.1</f>
        <v>399.30000000000007</v>
      </c>
      <c r="L78" s="18"/>
      <c r="O78" s="116"/>
    </row>
    <row r="79" spans="2:15">
      <c r="B79" s="26" t="s">
        <v>68</v>
      </c>
      <c r="C79" s="19" t="s">
        <v>73</v>
      </c>
      <c r="D79" s="19">
        <f t="shared" ref="D79:K79" si="73">D34</f>
        <v>0</v>
      </c>
      <c r="E79" s="19">
        <f t="shared" si="73"/>
        <v>3</v>
      </c>
      <c r="F79" s="19">
        <f t="shared" si="73"/>
        <v>3</v>
      </c>
      <c r="G79" s="19">
        <f t="shared" si="73"/>
        <v>3</v>
      </c>
      <c r="H79" s="19">
        <f t="shared" si="73"/>
        <v>3</v>
      </c>
      <c r="I79" s="19">
        <f t="shared" si="73"/>
        <v>12</v>
      </c>
      <c r="J79" s="19">
        <f t="shared" si="73"/>
        <v>12</v>
      </c>
      <c r="K79" s="19">
        <f t="shared" si="73"/>
        <v>12</v>
      </c>
      <c r="L79" s="18"/>
      <c r="O79" s="116"/>
    </row>
    <row r="80" spans="2:15">
      <c r="B80" s="26" t="s">
        <v>52</v>
      </c>
      <c r="C80" s="19" t="s">
        <v>80</v>
      </c>
      <c r="D80" s="80">
        <v>2</v>
      </c>
      <c r="E80" s="69">
        <f>D80</f>
        <v>2</v>
      </c>
      <c r="F80" s="69">
        <f t="shared" ref="F80:K80" si="74">E80</f>
        <v>2</v>
      </c>
      <c r="G80" s="69">
        <f t="shared" si="74"/>
        <v>2</v>
      </c>
      <c r="H80" s="69">
        <f t="shared" si="74"/>
        <v>2</v>
      </c>
      <c r="I80" s="69">
        <f t="shared" si="74"/>
        <v>2</v>
      </c>
      <c r="J80" s="69">
        <f t="shared" si="74"/>
        <v>2</v>
      </c>
      <c r="K80" s="69">
        <f t="shared" si="74"/>
        <v>2</v>
      </c>
      <c r="L80" s="18"/>
      <c r="O80" s="116" t="s">
        <v>212</v>
      </c>
    </row>
    <row r="81" spans="2:15">
      <c r="B81" s="26"/>
      <c r="C81" s="19"/>
      <c r="D81" s="28"/>
      <c r="E81" s="80"/>
      <c r="F81" s="80"/>
      <c r="G81" s="80"/>
      <c r="H81" s="80"/>
      <c r="I81" s="80"/>
      <c r="J81" s="28"/>
      <c r="K81" s="28"/>
      <c r="L81" s="18"/>
      <c r="O81" s="116"/>
    </row>
    <row r="82" spans="2:15">
      <c r="B82" s="114" t="s">
        <v>228</v>
      </c>
      <c r="C82" s="115"/>
      <c r="D82" s="115"/>
      <c r="E82" s="115"/>
      <c r="F82" s="115"/>
      <c r="G82" s="115"/>
      <c r="H82" s="115"/>
      <c r="I82" s="115"/>
      <c r="J82" s="115"/>
      <c r="K82" s="115"/>
      <c r="L82" s="18"/>
      <c r="O82" s="116"/>
    </row>
    <row r="83" spans="2:15">
      <c r="B83" s="26" t="s">
        <v>205</v>
      </c>
      <c r="C83" s="19" t="s">
        <v>226</v>
      </c>
      <c r="D83" s="37">
        <f>9-D16</f>
        <v>5.4</v>
      </c>
      <c r="E83" s="20">
        <f>D83</f>
        <v>5.4</v>
      </c>
      <c r="F83" s="20">
        <f t="shared" ref="F83:K83" si="75">E83</f>
        <v>5.4</v>
      </c>
      <c r="G83" s="20">
        <f t="shared" si="75"/>
        <v>5.4</v>
      </c>
      <c r="H83" s="20">
        <f t="shared" si="75"/>
        <v>5.4</v>
      </c>
      <c r="I83" s="20">
        <f t="shared" si="75"/>
        <v>5.4</v>
      </c>
      <c r="J83" s="20">
        <f t="shared" si="75"/>
        <v>5.4</v>
      </c>
      <c r="K83" s="20">
        <f t="shared" si="75"/>
        <v>5.4</v>
      </c>
      <c r="L83" s="18"/>
      <c r="O83" s="116" t="s">
        <v>286</v>
      </c>
    </row>
    <row r="84" spans="2:15">
      <c r="B84" s="26" t="s">
        <v>265</v>
      </c>
      <c r="C84" s="19" t="s">
        <v>74</v>
      </c>
      <c r="D84" s="81">
        <f>D64</f>
        <v>0</v>
      </c>
      <c r="E84" s="81">
        <f t="shared" ref="E84:K84" si="76">E64</f>
        <v>169</v>
      </c>
      <c r="F84" s="81">
        <f t="shared" si="76"/>
        <v>1486</v>
      </c>
      <c r="G84" s="81">
        <f t="shared" si="76"/>
        <v>1486</v>
      </c>
      <c r="H84" s="81">
        <f t="shared" si="76"/>
        <v>2878</v>
      </c>
      <c r="I84" s="81">
        <f t="shared" si="76"/>
        <v>5133</v>
      </c>
      <c r="J84" s="81">
        <f t="shared" si="76"/>
        <v>5133</v>
      </c>
      <c r="K84" s="81">
        <f t="shared" si="76"/>
        <v>5133</v>
      </c>
      <c r="L84" s="18"/>
      <c r="O84" s="116"/>
    </row>
    <row r="85" spans="2:15">
      <c r="B85" s="26" t="s">
        <v>68</v>
      </c>
      <c r="C85" s="19" t="s">
        <v>73</v>
      </c>
      <c r="D85" s="69">
        <f>D62</f>
        <v>0</v>
      </c>
      <c r="E85" s="69">
        <f t="shared" ref="E85:K85" si="77">E62</f>
        <v>3</v>
      </c>
      <c r="F85" s="69">
        <f t="shared" si="77"/>
        <v>3</v>
      </c>
      <c r="G85" s="69">
        <f t="shared" si="77"/>
        <v>3</v>
      </c>
      <c r="H85" s="69">
        <f t="shared" si="77"/>
        <v>3</v>
      </c>
      <c r="I85" s="69">
        <f t="shared" si="77"/>
        <v>12</v>
      </c>
      <c r="J85" s="69">
        <f t="shared" si="77"/>
        <v>12</v>
      </c>
      <c r="K85" s="69">
        <f t="shared" si="77"/>
        <v>12</v>
      </c>
      <c r="L85" s="116"/>
      <c r="O85" s="116"/>
    </row>
    <row r="86" spans="2:15">
      <c r="B86" s="26" t="s">
        <v>82</v>
      </c>
      <c r="C86" s="19" t="s">
        <v>75</v>
      </c>
      <c r="D86" s="27">
        <v>0.2</v>
      </c>
      <c r="E86" s="22">
        <f>D86</f>
        <v>0.2</v>
      </c>
      <c r="F86" s="22">
        <f t="shared" ref="F86:K86" si="78">E86</f>
        <v>0.2</v>
      </c>
      <c r="G86" s="22">
        <f t="shared" si="78"/>
        <v>0.2</v>
      </c>
      <c r="H86" s="22">
        <f t="shared" si="78"/>
        <v>0.2</v>
      </c>
      <c r="I86" s="22">
        <f t="shared" si="78"/>
        <v>0.2</v>
      </c>
      <c r="J86" s="22">
        <f t="shared" si="78"/>
        <v>0.2</v>
      </c>
      <c r="K86" s="22">
        <f t="shared" si="78"/>
        <v>0.2</v>
      </c>
      <c r="L86" s="18"/>
      <c r="O86" s="116"/>
    </row>
    <row r="87" spans="2:15">
      <c r="B87" s="26"/>
      <c r="C87" s="19"/>
      <c r="D87" s="27"/>
      <c r="E87" s="22"/>
      <c r="F87" s="22"/>
      <c r="G87" s="22"/>
      <c r="H87" s="22"/>
      <c r="I87" s="82"/>
      <c r="J87" s="22"/>
      <c r="K87" s="22"/>
      <c r="L87" s="18"/>
      <c r="O87" s="116"/>
    </row>
    <row r="88" spans="2:15">
      <c r="B88" s="114" t="s">
        <v>168</v>
      </c>
      <c r="C88" s="115"/>
      <c r="D88" s="115"/>
      <c r="E88" s="115"/>
      <c r="F88" s="115"/>
      <c r="G88" s="115"/>
      <c r="H88" s="115"/>
      <c r="I88" s="115"/>
      <c r="J88" s="115"/>
      <c r="K88" s="115"/>
      <c r="O88" s="116"/>
    </row>
    <row r="89" spans="2:15">
      <c r="B89" s="26" t="s">
        <v>175</v>
      </c>
      <c r="C89" s="19" t="s">
        <v>271</v>
      </c>
      <c r="D89" s="67">
        <f>D105</f>
        <v>17.179405875853398</v>
      </c>
      <c r="E89" s="21">
        <f>D89*1.1</f>
        <v>18.89734646343874</v>
      </c>
      <c r="F89" s="21">
        <f>E89</f>
        <v>18.89734646343874</v>
      </c>
      <c r="G89" s="21">
        <f t="shared" ref="G89:H89" si="79">F89</f>
        <v>18.89734646343874</v>
      </c>
      <c r="H89" s="21">
        <f t="shared" si="79"/>
        <v>18.89734646343874</v>
      </c>
      <c r="I89" s="21">
        <f>H89*1.1</f>
        <v>20.787081109782616</v>
      </c>
      <c r="J89" s="21">
        <f t="shared" ref="J89" si="80">I89*1.1</f>
        <v>22.865789220760877</v>
      </c>
      <c r="K89" s="21">
        <f t="shared" ref="K89" si="81">J89*1.1</f>
        <v>25.152368142836966</v>
      </c>
      <c r="O89" s="116" t="s">
        <v>189</v>
      </c>
    </row>
    <row r="90" spans="2:15">
      <c r="B90" s="26" t="s">
        <v>274</v>
      </c>
      <c r="C90" s="19" t="s">
        <v>167</v>
      </c>
      <c r="D90" s="99">
        <f>D70+D73+D80</f>
        <v>2</v>
      </c>
      <c r="E90" s="99">
        <f t="shared" ref="E90:K90" si="82">E70+E73+E80</f>
        <v>7</v>
      </c>
      <c r="F90" s="99">
        <f t="shared" si="82"/>
        <v>7</v>
      </c>
      <c r="G90" s="99">
        <f t="shared" si="82"/>
        <v>7</v>
      </c>
      <c r="H90" s="99">
        <f t="shared" si="82"/>
        <v>7</v>
      </c>
      <c r="I90" s="99">
        <f t="shared" si="82"/>
        <v>5.875</v>
      </c>
      <c r="J90" s="99">
        <f t="shared" si="82"/>
        <v>2.5</v>
      </c>
      <c r="K90" s="99">
        <f t="shared" si="82"/>
        <v>2.5</v>
      </c>
      <c r="O90" s="116" t="s">
        <v>187</v>
      </c>
    </row>
    <row r="91" spans="2:15">
      <c r="B91" s="26" t="s">
        <v>68</v>
      </c>
      <c r="C91" s="19" t="s">
        <v>73</v>
      </c>
      <c r="D91" s="28">
        <v>0</v>
      </c>
      <c r="E91" s="28">
        <f t="shared" ref="E91:K91" si="83">E62</f>
        <v>3</v>
      </c>
      <c r="F91" s="28">
        <f t="shared" si="83"/>
        <v>3</v>
      </c>
      <c r="G91" s="28">
        <f t="shared" si="83"/>
        <v>3</v>
      </c>
      <c r="H91" s="28">
        <f t="shared" si="83"/>
        <v>3</v>
      </c>
      <c r="I91" s="28">
        <f t="shared" si="83"/>
        <v>12</v>
      </c>
      <c r="J91" s="28">
        <f t="shared" si="83"/>
        <v>12</v>
      </c>
      <c r="K91" s="28">
        <f t="shared" si="83"/>
        <v>12</v>
      </c>
      <c r="O91" s="116"/>
    </row>
    <row r="92" spans="2:15" ht="24" customHeight="1">
      <c r="O92" s="116"/>
    </row>
    <row r="93" spans="2:15" s="10" customFormat="1">
      <c r="B93" s="10" t="s">
        <v>76</v>
      </c>
      <c r="O93" s="125"/>
    </row>
    <row r="94" spans="2:15">
      <c r="E94" s="140">
        <v>2024</v>
      </c>
      <c r="F94" s="140">
        <v>2024</v>
      </c>
      <c r="G94" s="140">
        <v>2024</v>
      </c>
      <c r="H94" s="140">
        <v>2024</v>
      </c>
      <c r="O94" s="116"/>
    </row>
    <row r="95" spans="2:15">
      <c r="B95" s="30" t="s">
        <v>65</v>
      </c>
      <c r="C95" s="30" t="s">
        <v>66</v>
      </c>
      <c r="D95" s="100">
        <v>2023</v>
      </c>
      <c r="E95" s="138" t="s">
        <v>267</v>
      </c>
      <c r="F95" s="138" t="s">
        <v>268</v>
      </c>
      <c r="G95" s="138" t="s">
        <v>269</v>
      </c>
      <c r="H95" s="138" t="s">
        <v>270</v>
      </c>
      <c r="I95" s="30">
        <v>2025</v>
      </c>
      <c r="J95" s="30">
        <v>2026</v>
      </c>
      <c r="K95" s="30">
        <v>2027</v>
      </c>
      <c r="O95" s="116"/>
    </row>
    <row r="96" spans="2:15">
      <c r="B96" s="3" t="s">
        <v>70</v>
      </c>
      <c r="C96" s="3" t="s">
        <v>69</v>
      </c>
      <c r="D96" s="17">
        <f>SUMIF(Dev_Platform_Hosted_Git!$4:$4,Calc!D$95,Dev_Platform_Hosted_Git!$19:$19)</f>
        <v>7000</v>
      </c>
      <c r="E96" s="17">
        <f>SUMIF(Dev_Platform_Hosted_Git!$4:$4,Calc!E$94,Dev_Platform_Hosted_Git!$19:$19)/4</f>
        <v>19875</v>
      </c>
      <c r="F96" s="17">
        <f>SUMIF(Dev_Platform_Hosted_Git!$4:$4,Calc!F$94,Dev_Platform_Hosted_Git!$19:$19)/4</f>
        <v>19875</v>
      </c>
      <c r="G96" s="17">
        <f>SUMIF(Dev_Platform_Hosted_Git!$4:$4,Calc!G$94,Dev_Platform_Hosted_Git!$19:$19)/4</f>
        <v>19875</v>
      </c>
      <c r="H96" s="17">
        <f>SUMIF(Dev_Platform_Hosted_Git!$4:$4,Calc!H$94,Dev_Platform_Hosted_Git!$19:$19)/4</f>
        <v>19875</v>
      </c>
      <c r="I96" s="13">
        <v>0</v>
      </c>
      <c r="J96" s="13">
        <v>0</v>
      </c>
      <c r="K96" s="13">
        <v>0</v>
      </c>
      <c r="L96" s="149"/>
      <c r="M96" s="18"/>
      <c r="O96" s="116" t="s">
        <v>187</v>
      </c>
    </row>
    <row r="97" spans="2:15">
      <c r="B97" s="3" t="s">
        <v>71</v>
      </c>
      <c r="C97" s="3" t="s">
        <v>69</v>
      </c>
      <c r="D97" s="17">
        <f>SUMIF(Dev_Platform_Hosted_Git!$4:$4,Calc!D$95,Dev_Platform_Hosted_Git!$27:$27)</f>
        <v>0</v>
      </c>
      <c r="E97" s="17">
        <f>SUMIF(Dev_Platform_Hosted_Git!$4:$4,Calc!E$94,Dev_Platform_Hosted_Git!$27:$27)/4</f>
        <v>5750</v>
      </c>
      <c r="F97" s="17">
        <f>SUMIF(Dev_Platform_Hosted_Git!$4:$4,Calc!F$94,Dev_Platform_Hosted_Git!$27:$27)/4</f>
        <v>5750</v>
      </c>
      <c r="G97" s="17">
        <f>SUMIF(Dev_Platform_Hosted_Git!$4:$4,Calc!G$94,Dev_Platform_Hosted_Git!$27:$27)/4</f>
        <v>5750</v>
      </c>
      <c r="H97" s="17">
        <f>SUMIF(Dev_Platform_Hosted_Git!$4:$4,Calc!H$94,Dev_Platform_Hosted_Git!$27:$27)/4</f>
        <v>5750</v>
      </c>
      <c r="I97" s="17">
        <f>Dev_Platform_Hosted_Git!C28</f>
        <v>11500</v>
      </c>
      <c r="J97" s="17">
        <v>0</v>
      </c>
      <c r="K97" s="17">
        <v>0</v>
      </c>
      <c r="L97" s="149"/>
      <c r="M97" s="18"/>
      <c r="O97" s="116" t="s">
        <v>187</v>
      </c>
    </row>
    <row r="98" spans="2:15">
      <c r="B98" s="3" t="s">
        <v>168</v>
      </c>
      <c r="C98" s="3" t="s">
        <v>69</v>
      </c>
      <c r="D98" s="17">
        <f>D105*D106*D107</f>
        <v>0</v>
      </c>
      <c r="E98" s="17">
        <f t="shared" ref="E98:K98" si="84">E105*E106*E107</f>
        <v>1299.1925693614137</v>
      </c>
      <c r="F98" s="17">
        <f t="shared" si="84"/>
        <v>1299.1925693614137</v>
      </c>
      <c r="G98" s="17">
        <f t="shared" si="84"/>
        <v>1299.1925693614137</v>
      </c>
      <c r="H98" s="17">
        <f t="shared" si="84"/>
        <v>1299.1925693614137</v>
      </c>
      <c r="I98" s="17">
        <f t="shared" si="84"/>
        <v>1496.6698399043482</v>
      </c>
      <c r="J98" s="17">
        <f t="shared" si="84"/>
        <v>1646.3368238947833</v>
      </c>
      <c r="K98" s="17">
        <f t="shared" si="84"/>
        <v>1810.9705062842618</v>
      </c>
      <c r="L98" s="18"/>
      <c r="O98" s="116"/>
    </row>
    <row r="99" spans="2:15">
      <c r="B99" s="3" t="s">
        <v>204</v>
      </c>
      <c r="C99" s="3" t="s">
        <v>69</v>
      </c>
      <c r="D99" s="13">
        <f>D112*D110*D111</f>
        <v>0</v>
      </c>
      <c r="E99" s="13">
        <f t="shared" ref="E99:K99" si="85">E112*E110*E111</f>
        <v>1800</v>
      </c>
      <c r="F99" s="13">
        <f t="shared" ref="F99:H99" si="86">F112*F110*F111</f>
        <v>1800</v>
      </c>
      <c r="G99" s="13">
        <f t="shared" si="86"/>
        <v>1800</v>
      </c>
      <c r="H99" s="13">
        <f t="shared" si="86"/>
        <v>1800</v>
      </c>
      <c r="I99" s="13">
        <f>I112*I110*I111</f>
        <v>7920</v>
      </c>
      <c r="J99" s="13">
        <f t="shared" si="85"/>
        <v>8712.0000000000018</v>
      </c>
      <c r="K99" s="13">
        <f t="shared" si="85"/>
        <v>9583.2000000000007</v>
      </c>
      <c r="L99" s="149"/>
      <c r="M99" s="18"/>
      <c r="O99" s="116"/>
    </row>
    <row r="100" spans="2:15">
      <c r="B100" s="3" t="s">
        <v>218</v>
      </c>
      <c r="C100" s="3" t="s">
        <v>69</v>
      </c>
      <c r="D100" s="17">
        <f>D117*D115*D116</f>
        <v>0</v>
      </c>
      <c r="E100" s="17">
        <f>E117*E115*E116</f>
        <v>1000.0000000000001</v>
      </c>
      <c r="F100" s="17">
        <f t="shared" ref="F100:H100" si="87">F117*F115*F116</f>
        <v>6000</v>
      </c>
      <c r="G100" s="17">
        <f t="shared" si="87"/>
        <v>6000</v>
      </c>
      <c r="H100" s="17">
        <f t="shared" si="87"/>
        <v>6000</v>
      </c>
      <c r="I100" s="17">
        <f t="shared" ref="I100:K100" si="88">I117*I115*I116</f>
        <v>26400</v>
      </c>
      <c r="J100" s="17">
        <f t="shared" si="88"/>
        <v>29040</v>
      </c>
      <c r="K100" s="17">
        <f t="shared" si="88"/>
        <v>31944</v>
      </c>
      <c r="O100" s="116"/>
    </row>
    <row r="101" spans="2:15" ht="13.8" thickBot="1">
      <c r="B101" s="3" t="s">
        <v>209</v>
      </c>
      <c r="C101" s="3" t="s">
        <v>69</v>
      </c>
      <c r="D101" s="13">
        <f t="shared" ref="D101:K101" si="89">D30*D28*D29</f>
        <v>0</v>
      </c>
      <c r="E101" s="13">
        <f t="shared" si="89"/>
        <v>2400</v>
      </c>
      <c r="F101" s="13">
        <f t="shared" si="89"/>
        <v>2400</v>
      </c>
      <c r="G101" s="13">
        <f t="shared" si="89"/>
        <v>2400</v>
      </c>
      <c r="H101" s="13">
        <f t="shared" si="89"/>
        <v>2400</v>
      </c>
      <c r="I101" s="13">
        <f t="shared" si="89"/>
        <v>4620.0000000000009</v>
      </c>
      <c r="J101" s="13">
        <f t="shared" si="89"/>
        <v>2904.0000000000009</v>
      </c>
      <c r="K101" s="13">
        <f t="shared" si="89"/>
        <v>3194.4000000000015</v>
      </c>
      <c r="O101" s="116"/>
    </row>
    <row r="102" spans="2:15" s="11" customFormat="1" ht="13.8" thickBot="1">
      <c r="B102" s="24" t="s">
        <v>72</v>
      </c>
      <c r="C102" s="24" t="s">
        <v>69</v>
      </c>
      <c r="D102" s="25">
        <f>SUM(D96:D101)</f>
        <v>7000</v>
      </c>
      <c r="E102" s="25">
        <f t="shared" ref="E102:K102" si="90">SUM(E96:E101)</f>
        <v>32124.192569361414</v>
      </c>
      <c r="F102" s="25">
        <f t="shared" si="90"/>
        <v>37124.192569361418</v>
      </c>
      <c r="G102" s="25">
        <f t="shared" si="90"/>
        <v>37124.192569361418</v>
      </c>
      <c r="H102" s="25">
        <f t="shared" si="90"/>
        <v>37124.192569361418</v>
      </c>
      <c r="I102" s="25">
        <f t="shared" si="90"/>
        <v>51936.669839904353</v>
      </c>
      <c r="J102" s="25">
        <f t="shared" si="90"/>
        <v>42302.336823894788</v>
      </c>
      <c r="K102" s="25">
        <f t="shared" si="90"/>
        <v>46532.570506284268</v>
      </c>
      <c r="L102" s="71">
        <f>SUM(D102:K102)</f>
        <v>291268.34744752909</v>
      </c>
      <c r="O102" s="123"/>
    </row>
    <row r="103" spans="2:15">
      <c r="O103" s="116"/>
    </row>
    <row r="104" spans="2:15">
      <c r="B104" s="114" t="s">
        <v>168</v>
      </c>
      <c r="C104" s="115"/>
      <c r="D104" s="115"/>
      <c r="E104" s="115"/>
      <c r="F104" s="115"/>
      <c r="G104" s="115"/>
      <c r="H104" s="115"/>
      <c r="I104" s="115"/>
      <c r="J104" s="115"/>
      <c r="K104" s="115"/>
      <c r="O104" s="116"/>
    </row>
    <row r="105" spans="2:15">
      <c r="B105" s="26" t="s">
        <v>175</v>
      </c>
      <c r="C105" s="19" t="s">
        <v>271</v>
      </c>
      <c r="D105" s="67">
        <f>-SAP!G59/12/10^3</f>
        <v>17.179405875853398</v>
      </c>
      <c r="E105" s="21">
        <f>D105*1.1</f>
        <v>18.89734646343874</v>
      </c>
      <c r="F105" s="21">
        <f>E105</f>
        <v>18.89734646343874</v>
      </c>
      <c r="G105" s="21">
        <f t="shared" ref="G105:H105" si="91">F105</f>
        <v>18.89734646343874</v>
      </c>
      <c r="H105" s="21">
        <f t="shared" si="91"/>
        <v>18.89734646343874</v>
      </c>
      <c r="I105" s="21">
        <f>H105*1.1</f>
        <v>20.787081109782616</v>
      </c>
      <c r="J105" s="21">
        <f t="shared" ref="J105:K105" si="92">I105*1.1</f>
        <v>22.865789220760877</v>
      </c>
      <c r="K105" s="21">
        <f t="shared" si="92"/>
        <v>25.152368142836966</v>
      </c>
      <c r="O105" s="116" t="s">
        <v>189</v>
      </c>
    </row>
    <row r="106" spans="2:15">
      <c r="B106" s="26" t="s">
        <v>274</v>
      </c>
      <c r="C106" s="19" t="s">
        <v>167</v>
      </c>
      <c r="D106" s="133">
        <f>SUMPRODUCT(Dev_Platform_Hosted_Git!D15:E15,Dev_Platform_Hosted_Git!D16:E16)/SUM(Dev_Platform_Hosted_Git!D16:E16)+D112+D117</f>
        <v>9</v>
      </c>
      <c r="E106" s="139">
        <f>SUMPRODUCT(Dev_Platform_Hosted_Git!F15:Q15,Dev_Platform_Hosted_Git!F16:Q16)/SUM(Dev_Platform_Hosted_Git!F16:Q16)+SUMPRODUCT(Dev_Platform_Hosted_Git!F25:Q25,Dev_Platform_Hosted_Git!F29:Q29)/SUM(Dev_Platform_Hosted_Git!F29:Q29)+SUMPRODUCT(Dev_Platform_Hosted_Git!F36:Q36,Dev_Platform_Hosted_Git!F40:Q40)/SUM(Dev_Platform_Hosted_Git!F40:Q40)+E112+E117</f>
        <v>22.916666666666671</v>
      </c>
      <c r="F106" s="99">
        <f>E106</f>
        <v>22.916666666666671</v>
      </c>
      <c r="G106" s="99">
        <f t="shared" ref="G106:H106" si="93">F106</f>
        <v>22.916666666666671</v>
      </c>
      <c r="H106" s="99">
        <f t="shared" si="93"/>
        <v>22.916666666666671</v>
      </c>
      <c r="I106" s="102">
        <f>I112+I117</f>
        <v>6</v>
      </c>
      <c r="J106" s="31">
        <f t="shared" ref="J106:K106" si="94">J112+J117</f>
        <v>6</v>
      </c>
      <c r="K106" s="31">
        <f t="shared" si="94"/>
        <v>6</v>
      </c>
      <c r="O106" s="116" t="s">
        <v>187</v>
      </c>
    </row>
    <row r="107" spans="2:15">
      <c r="B107" s="26" t="s">
        <v>68</v>
      </c>
      <c r="C107" s="19" t="s">
        <v>73</v>
      </c>
      <c r="D107" s="28">
        <f t="shared" ref="D107:K107" si="95">D17</f>
        <v>0</v>
      </c>
      <c r="E107" s="28">
        <f t="shared" si="95"/>
        <v>3</v>
      </c>
      <c r="F107" s="28">
        <f t="shared" si="95"/>
        <v>3</v>
      </c>
      <c r="G107" s="28">
        <f t="shared" si="95"/>
        <v>3</v>
      </c>
      <c r="H107" s="28">
        <f t="shared" si="95"/>
        <v>3</v>
      </c>
      <c r="I107" s="28">
        <f t="shared" si="95"/>
        <v>12</v>
      </c>
      <c r="J107" s="28">
        <f t="shared" si="95"/>
        <v>12</v>
      </c>
      <c r="K107" s="28">
        <f t="shared" si="95"/>
        <v>12</v>
      </c>
      <c r="O107" s="116"/>
    </row>
    <row r="108" spans="2:15">
      <c r="O108" s="116"/>
    </row>
    <row r="109" spans="2:15">
      <c r="B109" s="114" t="s">
        <v>204</v>
      </c>
      <c r="C109" s="115"/>
      <c r="D109" s="115"/>
      <c r="E109" s="115"/>
      <c r="F109" s="115"/>
      <c r="G109" s="115"/>
      <c r="H109" s="115"/>
      <c r="I109" s="115"/>
      <c r="J109" s="115"/>
      <c r="K109" s="115"/>
      <c r="O109" s="116"/>
    </row>
    <row r="110" spans="2:15">
      <c r="B110" s="26" t="s">
        <v>86</v>
      </c>
      <c r="C110" s="19" t="s">
        <v>81</v>
      </c>
      <c r="D110" s="80">
        <v>300</v>
      </c>
      <c r="E110" s="19">
        <f>D110</f>
        <v>300</v>
      </c>
      <c r="F110" s="19">
        <f t="shared" ref="F110:H110" si="96">E110</f>
        <v>300</v>
      </c>
      <c r="G110" s="19">
        <f t="shared" si="96"/>
        <v>300</v>
      </c>
      <c r="H110" s="19">
        <f t="shared" si="96"/>
        <v>300</v>
      </c>
      <c r="I110" s="19">
        <f>E110*1.1</f>
        <v>330</v>
      </c>
      <c r="J110" s="19">
        <f t="shared" ref="J110:K110" si="97">I110*1.1</f>
        <v>363.00000000000006</v>
      </c>
      <c r="K110" s="31">
        <f t="shared" si="97"/>
        <v>399.30000000000007</v>
      </c>
      <c r="O110" s="116"/>
    </row>
    <row r="111" spans="2:15">
      <c r="B111" s="26" t="s">
        <v>68</v>
      </c>
      <c r="C111" s="19" t="s">
        <v>73</v>
      </c>
      <c r="D111" s="69">
        <v>0</v>
      </c>
      <c r="E111" s="69">
        <f t="shared" ref="E111:K111" si="98">E107</f>
        <v>3</v>
      </c>
      <c r="F111" s="69">
        <f t="shared" si="98"/>
        <v>3</v>
      </c>
      <c r="G111" s="69">
        <f t="shared" si="98"/>
        <v>3</v>
      </c>
      <c r="H111" s="69">
        <f t="shared" si="98"/>
        <v>3</v>
      </c>
      <c r="I111" s="69">
        <f t="shared" si="98"/>
        <v>12</v>
      </c>
      <c r="J111" s="69">
        <f t="shared" si="98"/>
        <v>12</v>
      </c>
      <c r="K111" s="69">
        <f t="shared" si="98"/>
        <v>12</v>
      </c>
      <c r="O111" s="116" t="s">
        <v>212</v>
      </c>
    </row>
    <row r="112" spans="2:15">
      <c r="B112" s="26" t="s">
        <v>52</v>
      </c>
      <c r="C112" s="19" t="s">
        <v>80</v>
      </c>
      <c r="D112" s="80">
        <v>2</v>
      </c>
      <c r="E112" s="69">
        <f>D112</f>
        <v>2</v>
      </c>
      <c r="F112" s="69">
        <f t="shared" ref="F112:K112" si="99">E112</f>
        <v>2</v>
      </c>
      <c r="G112" s="69">
        <f t="shared" si="99"/>
        <v>2</v>
      </c>
      <c r="H112" s="69">
        <f t="shared" si="99"/>
        <v>2</v>
      </c>
      <c r="I112" s="69">
        <f t="shared" si="99"/>
        <v>2</v>
      </c>
      <c r="J112" s="69">
        <f t="shared" si="99"/>
        <v>2</v>
      </c>
      <c r="K112" s="69">
        <f t="shared" si="99"/>
        <v>2</v>
      </c>
    </row>
    <row r="114" spans="2:15">
      <c r="B114" s="114" t="s">
        <v>210</v>
      </c>
      <c r="C114" s="115"/>
      <c r="D114" s="115"/>
      <c r="E114" s="115"/>
      <c r="F114" s="115"/>
      <c r="G114" s="115"/>
      <c r="H114" s="115"/>
      <c r="I114" s="115"/>
      <c r="J114" s="115"/>
      <c r="K114" s="115"/>
    </row>
    <row r="115" spans="2:15">
      <c r="B115" s="26" t="s">
        <v>86</v>
      </c>
      <c r="C115" s="19" t="s">
        <v>81</v>
      </c>
      <c r="D115" s="28">
        <v>500</v>
      </c>
      <c r="E115" s="19">
        <f>D115</f>
        <v>500</v>
      </c>
      <c r="F115" s="19">
        <f t="shared" ref="F115:H115" si="100">E115</f>
        <v>500</v>
      </c>
      <c r="G115" s="19">
        <f t="shared" si="100"/>
        <v>500</v>
      </c>
      <c r="H115" s="19">
        <f t="shared" si="100"/>
        <v>500</v>
      </c>
      <c r="I115" s="19">
        <f>H115*1.1</f>
        <v>550</v>
      </c>
      <c r="J115" s="19">
        <f t="shared" ref="J115" si="101">I115*1.1</f>
        <v>605</v>
      </c>
      <c r="K115" s="31">
        <f t="shared" ref="K115" si="102">J115*1.1</f>
        <v>665.5</v>
      </c>
      <c r="O115" s="19" t="s">
        <v>229</v>
      </c>
    </row>
    <row r="116" spans="2:15">
      <c r="B116" s="26" t="s">
        <v>68</v>
      </c>
      <c r="C116" s="19" t="s">
        <v>73</v>
      </c>
      <c r="D116" s="28">
        <v>0</v>
      </c>
      <c r="E116" s="69">
        <f>E111</f>
        <v>3</v>
      </c>
      <c r="F116" s="69">
        <f t="shared" ref="F116:K116" si="103">F111</f>
        <v>3</v>
      </c>
      <c r="G116" s="69">
        <f t="shared" si="103"/>
        <v>3</v>
      </c>
      <c r="H116" s="69">
        <f t="shared" si="103"/>
        <v>3</v>
      </c>
      <c r="I116" s="69">
        <f t="shared" si="103"/>
        <v>12</v>
      </c>
      <c r="J116" s="69">
        <f t="shared" si="103"/>
        <v>12</v>
      </c>
      <c r="K116" s="69">
        <f t="shared" si="103"/>
        <v>12</v>
      </c>
    </row>
    <row r="117" spans="2:15">
      <c r="B117" s="26" t="s">
        <v>52</v>
      </c>
      <c r="C117" s="19" t="s">
        <v>80</v>
      </c>
      <c r="D117" s="110">
        <f>Dev_Platform_Hosted_Git!E36</f>
        <v>0</v>
      </c>
      <c r="E117" s="110">
        <f>SUMPRODUCT(Dev_Platform_Hosted_Git!F36:H36,Dev_Platform_Hosted_Git!F40:H40)/SUM(Dev_Platform_Hosted_Git!F40:H40)</f>
        <v>0.66666666666666674</v>
      </c>
      <c r="F117" s="110">
        <f>Dev_Platform_Hosted_Git!K36</f>
        <v>4</v>
      </c>
      <c r="G117" s="110">
        <f>Dev_Platform_Hosted_Git!N36</f>
        <v>4</v>
      </c>
      <c r="H117" s="110">
        <f>Dev_Platform_Hosted_Git!Q36</f>
        <v>4</v>
      </c>
      <c r="I117" s="19">
        <f t="shared" ref="I117:K117" si="104">H117</f>
        <v>4</v>
      </c>
      <c r="J117" s="19">
        <f t="shared" si="104"/>
        <v>4</v>
      </c>
      <c r="K117" s="19">
        <f t="shared" si="104"/>
        <v>4</v>
      </c>
    </row>
    <row r="120" spans="2:15" s="32" customFormat="1">
      <c r="B120" s="33" t="s">
        <v>87</v>
      </c>
      <c r="O120" s="86"/>
    </row>
    <row r="122" spans="2:15">
      <c r="D122" s="63">
        <f>DATE(2023,12,1)</f>
        <v>45261</v>
      </c>
      <c r="E122" s="63">
        <f>DATE(2024,2,15)</f>
        <v>45337</v>
      </c>
      <c r="F122" s="63">
        <f>DATE(2024,5,15)</f>
        <v>45427</v>
      </c>
      <c r="G122" s="63">
        <f>DATE(2024,8,15)</f>
        <v>45519</v>
      </c>
      <c r="H122" s="63">
        <f>DATE(2024,11,15)</f>
        <v>45611</v>
      </c>
      <c r="I122" s="63">
        <f>DATE(2025,6,30)</f>
        <v>45838</v>
      </c>
      <c r="J122" s="63">
        <f>DATE(2026,6,30)</f>
        <v>46203</v>
      </c>
      <c r="K122" s="63">
        <f>DATE(2027,6,30)</f>
        <v>46568</v>
      </c>
    </row>
    <row r="123" spans="2:15">
      <c r="B123" s="30" t="s">
        <v>65</v>
      </c>
      <c r="C123" s="30" t="s">
        <v>221</v>
      </c>
      <c r="D123" s="118">
        <v>2023</v>
      </c>
      <c r="E123" s="138" t="s">
        <v>267</v>
      </c>
      <c r="F123" s="138" t="s">
        <v>268</v>
      </c>
      <c r="G123" s="138" t="s">
        <v>269</v>
      </c>
      <c r="H123" s="138" t="s">
        <v>270</v>
      </c>
      <c r="I123" s="118">
        <v>2025</v>
      </c>
      <c r="J123" s="118">
        <v>2026</v>
      </c>
      <c r="K123" s="118">
        <v>2027</v>
      </c>
    </row>
    <row r="124" spans="2:15">
      <c r="B124" s="3" t="s">
        <v>184</v>
      </c>
      <c r="C124" s="3" t="s">
        <v>69</v>
      </c>
      <c r="D124" s="119">
        <f t="shared" ref="D124:K124" si="105">CHOOSE($M$124,D13,D58)</f>
        <v>0</v>
      </c>
      <c r="E124" s="119">
        <f t="shared" si="105"/>
        <v>13873.188354512846</v>
      </c>
      <c r="F124" s="148">
        <f t="shared" si="105"/>
        <v>26832.468354512846</v>
      </c>
      <c r="G124" s="119">
        <f t="shared" si="105"/>
        <v>26832.468354512846</v>
      </c>
      <c r="H124" s="119">
        <f t="shared" si="105"/>
        <v>40529.748354512842</v>
      </c>
      <c r="I124" s="119">
        <f t="shared" si="105"/>
        <v>224789.25916487447</v>
      </c>
      <c r="J124" s="119">
        <f t="shared" si="105"/>
        <v>215708.80102986848</v>
      </c>
      <c r="K124" s="119">
        <f t="shared" si="105"/>
        <v>217076.19313285535</v>
      </c>
      <c r="M124" s="3">
        <v>1</v>
      </c>
    </row>
    <row r="125" spans="2:15">
      <c r="B125" s="3" t="s">
        <v>185</v>
      </c>
      <c r="C125" s="3" t="s">
        <v>69</v>
      </c>
      <c r="D125" s="34">
        <f>-D102</f>
        <v>-7000</v>
      </c>
      <c r="E125" s="34">
        <f>-E102</f>
        <v>-32124.192569361414</v>
      </c>
      <c r="F125" s="34">
        <f t="shared" ref="F125:H125" si="106">-F102</f>
        <v>-37124.192569361418</v>
      </c>
      <c r="G125" s="34">
        <f t="shared" si="106"/>
        <v>-37124.192569361418</v>
      </c>
      <c r="H125" s="142">
        <f t="shared" si="106"/>
        <v>-37124.192569361418</v>
      </c>
      <c r="I125" s="34">
        <f>-I102</f>
        <v>-51936.669839904353</v>
      </c>
      <c r="J125" s="34">
        <f>-J102</f>
        <v>-42302.336823894788</v>
      </c>
      <c r="K125" s="34">
        <f>-K102</f>
        <v>-46532.570506284268</v>
      </c>
    </row>
    <row r="126" spans="2:15">
      <c r="B126" s="24" t="s">
        <v>88</v>
      </c>
      <c r="C126" s="24" t="s">
        <v>69</v>
      </c>
      <c r="D126" s="35">
        <f>SUM(D124:D125)</f>
        <v>-7000</v>
      </c>
      <c r="E126" s="146">
        <f t="shared" ref="E126:K126" si="107">SUM(E124:E125)</f>
        <v>-18251.004214848566</v>
      </c>
      <c r="F126" s="146">
        <f t="shared" si="107"/>
        <v>-10291.724214848571</v>
      </c>
      <c r="G126" s="146">
        <f t="shared" si="107"/>
        <v>-10291.724214848571</v>
      </c>
      <c r="H126" s="146">
        <f t="shared" si="107"/>
        <v>3405.5557851514241</v>
      </c>
      <c r="I126" s="35">
        <f t="shared" si="107"/>
        <v>172852.58932497012</v>
      </c>
      <c r="J126" s="35">
        <f t="shared" si="107"/>
        <v>173406.46420597369</v>
      </c>
      <c r="K126" s="35">
        <f t="shared" si="107"/>
        <v>170543.62262657107</v>
      </c>
    </row>
    <row r="128" spans="2:15">
      <c r="B128" s="3" t="s">
        <v>92</v>
      </c>
      <c r="C128" s="3" t="s">
        <v>84</v>
      </c>
      <c r="D128" s="37">
        <v>0.2</v>
      </c>
      <c r="E128" s="145">
        <f>1/4</f>
        <v>0.25</v>
      </c>
      <c r="F128" s="145">
        <f t="shared" ref="F128:H128" si="108">1/4</f>
        <v>0.25</v>
      </c>
      <c r="G128" s="145">
        <f t="shared" si="108"/>
        <v>0.25</v>
      </c>
      <c r="H128" s="145">
        <f t="shared" si="108"/>
        <v>0.25</v>
      </c>
      <c r="I128" s="14">
        <v>1</v>
      </c>
      <c r="J128" s="14">
        <v>1</v>
      </c>
      <c r="K128" s="14">
        <v>1</v>
      </c>
    </row>
    <row r="129" spans="2:11">
      <c r="B129" s="3" t="s">
        <v>83</v>
      </c>
      <c r="C129" s="3" t="s">
        <v>75</v>
      </c>
      <c r="D129" s="45">
        <v>0.2</v>
      </c>
      <c r="E129" s="36">
        <f>D129</f>
        <v>0.2</v>
      </c>
      <c r="F129" s="36">
        <f t="shared" ref="F129:K129" si="109">E129</f>
        <v>0.2</v>
      </c>
      <c r="G129" s="36">
        <f t="shared" si="109"/>
        <v>0.2</v>
      </c>
      <c r="H129" s="36">
        <f t="shared" si="109"/>
        <v>0.2</v>
      </c>
      <c r="I129" s="36">
        <f t="shared" si="109"/>
        <v>0.2</v>
      </c>
      <c r="J129" s="36">
        <f t="shared" si="109"/>
        <v>0.2</v>
      </c>
      <c r="K129" s="36">
        <f t="shared" si="109"/>
        <v>0.2</v>
      </c>
    </row>
    <row r="130" spans="2:11">
      <c r="B130" s="3" t="s">
        <v>170</v>
      </c>
      <c r="C130" s="3" t="s">
        <v>84</v>
      </c>
      <c r="D130" s="143">
        <f>1/(1+D129)^D128</f>
        <v>0.96419250400262713</v>
      </c>
      <c r="E130" s="143">
        <f t="shared" ref="E130:K130" si="110">1/(1+E129)^E128</f>
        <v>0.95544279220436679</v>
      </c>
      <c r="F130" s="143">
        <f t="shared" si="110"/>
        <v>0.95544279220436679</v>
      </c>
      <c r="G130" s="143">
        <f t="shared" si="110"/>
        <v>0.95544279220436679</v>
      </c>
      <c r="H130" s="143">
        <f t="shared" si="110"/>
        <v>0.95544279220436679</v>
      </c>
      <c r="I130" s="143">
        <f t="shared" si="110"/>
        <v>0.83333333333333337</v>
      </c>
      <c r="J130" s="143">
        <f t="shared" si="110"/>
        <v>0.83333333333333337</v>
      </c>
      <c r="K130" s="143">
        <f t="shared" si="110"/>
        <v>0.83333333333333337</v>
      </c>
    </row>
    <row r="131" spans="2:11">
      <c r="B131" s="3" t="s">
        <v>169</v>
      </c>
      <c r="C131" s="3" t="s">
        <v>84</v>
      </c>
      <c r="D131" s="14">
        <f>D130^0.5</f>
        <v>0.98193304456191266</v>
      </c>
      <c r="E131" s="14">
        <f>PRODUCT($D$130:D130)*E130^0.5</f>
        <v>0.94246687519618511</v>
      </c>
      <c r="F131" s="14">
        <f>PRODUCT($D$130:E130)*F130^0.5</f>
        <v>0.9004731827975675</v>
      </c>
      <c r="G131" s="14">
        <f>PRODUCT($D$130:F130)*G130^0.5</f>
        <v>0.86035061207726105</v>
      </c>
      <c r="H131" s="14">
        <f>PRODUCT($D$130:G130)*H130^0.5</f>
        <v>0.8220157910778344</v>
      </c>
      <c r="I131" s="14">
        <f>PRODUCT($D$130:H130)*I130^0.5</f>
        <v>0.73348608919392921</v>
      </c>
      <c r="J131" s="14">
        <f>PRODUCT($D$130:I130)*J130^0.5</f>
        <v>0.61123840766160764</v>
      </c>
      <c r="K131" s="14">
        <f>PRODUCT($D$130:J130)*K130^0.5</f>
        <v>0.50936533971800646</v>
      </c>
    </row>
    <row r="132" spans="2:11">
      <c r="B132" s="24" t="s">
        <v>93</v>
      </c>
      <c r="C132" s="24" t="s">
        <v>69</v>
      </c>
      <c r="D132" s="35">
        <f>D126*D131</f>
        <v>-6873.5313119333887</v>
      </c>
      <c r="E132" s="35">
        <f t="shared" ref="E132:K132" si="111">E126*E131</f>
        <v>-17200.966911560732</v>
      </c>
      <c r="F132" s="35">
        <f t="shared" si="111"/>
        <v>-9267.4216602194883</v>
      </c>
      <c r="G132" s="35">
        <f t="shared" si="111"/>
        <v>-8854.4912275753377</v>
      </c>
      <c r="H132" s="35">
        <f t="shared" si="111"/>
        <v>2799.4206327909433</v>
      </c>
      <c r="I132" s="35">
        <f t="shared" si="111"/>
        <v>126784.96975101664</v>
      </c>
      <c r="J132" s="35">
        <f t="shared" si="111"/>
        <v>105992.69105948892</v>
      </c>
      <c r="K132" s="35">
        <f t="shared" si="111"/>
        <v>86869.010275922861</v>
      </c>
    </row>
    <row r="133" spans="2:11" ht="22.8" customHeight="1" thickBot="1">
      <c r="D133" s="34"/>
      <c r="E133" s="34"/>
      <c r="F133" s="34"/>
      <c r="G133" s="34"/>
      <c r="H133" s="34"/>
      <c r="I133" s="34"/>
      <c r="J133" s="34"/>
      <c r="K133" s="34"/>
    </row>
    <row r="134" spans="2:11">
      <c r="B134" s="38" t="s">
        <v>89</v>
      </c>
      <c r="C134" s="39" t="s">
        <v>84</v>
      </c>
      <c r="D134" s="40">
        <f>SUM(D132:K132)</f>
        <v>280249.68060793041</v>
      </c>
    </row>
    <row r="135" spans="2:11">
      <c r="B135" s="41" t="s">
        <v>90</v>
      </c>
      <c r="C135" s="42" t="s">
        <v>75</v>
      </c>
      <c r="D135" s="117">
        <f>XIRR(D126:K126,D122:K122)</f>
        <v>2.6743605375289921</v>
      </c>
    </row>
    <row r="136" spans="2:11">
      <c r="B136" s="41" t="s">
        <v>91</v>
      </c>
      <c r="C136" s="42" t="s">
        <v>94</v>
      </c>
      <c r="D136" s="59">
        <f>SUM(D141:K141)</f>
        <v>1.2454628942793917</v>
      </c>
    </row>
    <row r="137" spans="2:11" ht="13.8" thickBot="1">
      <c r="B137" s="43" t="s">
        <v>174</v>
      </c>
      <c r="C137" s="44" t="s">
        <v>94</v>
      </c>
      <c r="D137" s="58">
        <f>SUM(D144:K144)</f>
        <v>1.3107386510866923</v>
      </c>
    </row>
    <row r="139" spans="2:11">
      <c r="D139" s="11"/>
      <c r="E139" s="11"/>
      <c r="F139" s="11"/>
      <c r="G139" s="11"/>
      <c r="H139" s="11"/>
    </row>
    <row r="140" spans="2:11">
      <c r="B140" s="19" t="s">
        <v>171</v>
      </c>
      <c r="C140" s="19"/>
      <c r="D140" s="60">
        <f>D126</f>
        <v>-7000</v>
      </c>
      <c r="E140" s="144">
        <f>D140+E126</f>
        <v>-25251.004214848566</v>
      </c>
      <c r="F140" s="62">
        <f t="shared" ref="F140:K140" si="112">E140+F126</f>
        <v>-35542.728429697134</v>
      </c>
      <c r="G140" s="62">
        <f t="shared" si="112"/>
        <v>-45834.452644545701</v>
      </c>
      <c r="H140" s="62">
        <f t="shared" si="112"/>
        <v>-42428.896859394277</v>
      </c>
      <c r="I140" s="62">
        <f t="shared" si="112"/>
        <v>130423.69246557585</v>
      </c>
      <c r="J140" s="62">
        <f t="shared" si="112"/>
        <v>303830.15667154954</v>
      </c>
      <c r="K140" s="62">
        <f t="shared" si="112"/>
        <v>474373.77929812064</v>
      </c>
    </row>
    <row r="141" spans="2:11">
      <c r="B141" s="19" t="s">
        <v>91</v>
      </c>
      <c r="C141" s="19"/>
      <c r="D141" s="62">
        <f>IF(C141&gt;0,0,IF(D140&gt;0,SUM($D$128:D128)-D140/D126,0))</f>
        <v>0</v>
      </c>
      <c r="E141" s="147">
        <f>IF(F140&gt;0,IF(D141&gt;0,"",IF(E140&gt;0,SUM($E$128:E128)-E140/E126*E128,0)),0)</f>
        <v>0</v>
      </c>
      <c r="F141" s="83">
        <f>IF(G140&gt;0,IF(E141&gt;0,"",IF(F140&gt;0,SUM($E$128:F128)-F140/F126*F128,0)),0)</f>
        <v>0</v>
      </c>
      <c r="G141" s="83">
        <f>IF(H140&gt;0,IF(F141&gt;0,"",IF(G140&gt;0,SUM($E$128:G128)-G140/G126*G128,0)),0)</f>
        <v>0</v>
      </c>
      <c r="H141" s="83">
        <f>IF(I140&gt;0,IF(G141&gt;0,"",IF(H140&gt;0,SUM($E$128:H128)-H140/H126*H128,0)),0)</f>
        <v>0</v>
      </c>
      <c r="I141" s="83">
        <f>IF(J140&gt;0,IF(H141&gt;0,"",IF(I140&gt;0,SUM($E$128:I128)-I140/I126*I128,0)),0)</f>
        <v>1.2454628942793917</v>
      </c>
      <c r="J141" s="83" t="str">
        <f>IF(K140&gt;0,IF(I141&gt;0,"",IF(J140&gt;0,SUM($E$128:J128)-J140/J126*J128,0)),0)</f>
        <v/>
      </c>
      <c r="K141" s="83">
        <f>IF(L140&gt;0,IF(J141&gt;0,"",IF(K140&gt;0,SUM($E$128:K128)-K140/K126*K128,0)),0)</f>
        <v>0</v>
      </c>
    </row>
    <row r="142" spans="2:11">
      <c r="B142" s="19"/>
      <c r="C142" s="19"/>
      <c r="D142" s="60"/>
      <c r="E142" s="60"/>
      <c r="F142" s="62"/>
      <c r="G142" s="62"/>
      <c r="H142" s="62"/>
      <c r="I142" s="62"/>
      <c r="J142" s="62"/>
      <c r="K142" s="62"/>
    </row>
    <row r="143" spans="2:11">
      <c r="B143" s="19" t="s">
        <v>172</v>
      </c>
      <c r="C143" s="19"/>
      <c r="D143" s="60">
        <f>D132</f>
        <v>-6873.5313119333887</v>
      </c>
      <c r="E143" s="61">
        <f>E132+D143</f>
        <v>-24074.49822349412</v>
      </c>
      <c r="F143" s="62">
        <f t="shared" ref="F143:K143" si="113">F132+E143</f>
        <v>-33341.919883713606</v>
      </c>
      <c r="G143" s="62">
        <f t="shared" si="113"/>
        <v>-42196.411111288944</v>
      </c>
      <c r="H143" s="62">
        <f t="shared" si="113"/>
        <v>-39396.990478498003</v>
      </c>
      <c r="I143" s="62">
        <f t="shared" si="113"/>
        <v>87387.979272518642</v>
      </c>
      <c r="J143" s="62">
        <f t="shared" si="113"/>
        <v>193380.67033200758</v>
      </c>
      <c r="K143" s="62">
        <f t="shared" si="113"/>
        <v>280249.68060793041</v>
      </c>
    </row>
    <row r="144" spans="2:11">
      <c r="B144" s="19" t="s">
        <v>173</v>
      </c>
      <c r="C144" s="19"/>
      <c r="D144" s="60">
        <f>IF(C144&gt;0,0,IF(D143&gt;0,SUM($D$128:D128)-D143/D132,0))</f>
        <v>0</v>
      </c>
      <c r="E144" s="147">
        <f>IF(F143&gt;0,IF(D144&gt;0,"",IF(E143&gt;0,SUM($E$128:E128)-E143/E132*E128,0)),0)</f>
        <v>0</v>
      </c>
      <c r="F144" s="83">
        <f>IF(G143&gt;0,IF(E144&gt;0,"",IF(F143&gt;0,SUM($E$128:F128)-F143/F132*F128,0)),0)</f>
        <v>0</v>
      </c>
      <c r="G144" s="83">
        <f>IF(H143&gt;0,IF(F144&gt;0,"",IF(G143&gt;0,SUM($E$128:G128)-G143/G132*G128,0)),0)</f>
        <v>0</v>
      </c>
      <c r="H144" s="83">
        <f>IF(I143&gt;0,IF(G144&gt;0,"",IF(H143&gt;0,SUM($E$128:H128)-H143/H132*H128,0)),0)</f>
        <v>0</v>
      </c>
      <c r="I144" s="83">
        <f>IF(J143&gt;0,IF(H144&gt;0,"",IF(I143&gt;0,SUM($E$128:I128)-I143/I132*I128,0)),0)</f>
        <v>1.3107386510866923</v>
      </c>
      <c r="J144" s="83" t="str">
        <f>IF(K143&gt;0,IF(I144&gt;0,"",IF(J143&gt;0,SUM($E$128:J128)-J143/J132*J128,0)),0)</f>
        <v/>
      </c>
      <c r="K144" s="83">
        <f>IF(L143&gt;0,IF(J144&gt;0,"",IF(K143&gt;0,SUM($E$128:K128)-K143/K132*K128,0)),0)</f>
        <v>0</v>
      </c>
    </row>
    <row r="145" spans="2:2" ht="24.6" customHeight="1"/>
    <row r="153" spans="2:2">
      <c r="B153" s="111" t="s">
        <v>216</v>
      </c>
    </row>
    <row r="154" spans="2:2">
      <c r="B154" s="112" t="s">
        <v>214</v>
      </c>
    </row>
    <row r="155" spans="2:2">
      <c r="B155" s="112" t="s">
        <v>215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  <ignoredErrors>
    <ignoredError sqref="E111:K111 F116:K116 E79 F79:K79 F18 D69 E74:K74" formula="1"/>
    <ignoredError sqref="I145:J145" formulaRange="1"/>
  </ignoredErrors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9" r:id="rId5" name="Drop Down 5">
              <controlPr defaultSize="0" autoLine="0" autoPict="0">
                <anchor moveWithCells="1">
                  <from>
                    <xdr:col>11</xdr:col>
                    <xdr:colOff>144780</xdr:colOff>
                    <xdr:row>122</xdr:row>
                    <xdr:rowOff>144780</xdr:rowOff>
                  </from>
                  <to>
                    <xdr:col>13</xdr:col>
                    <xdr:colOff>419100</xdr:colOff>
                    <xdr:row>124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F452-7CB2-4F7A-B01B-31EC9FE805E8}">
  <dimension ref="B1:G13"/>
  <sheetViews>
    <sheetView zoomScale="80" zoomScaleNormal="80" workbookViewId="0">
      <selection activeCell="E6" sqref="E6"/>
    </sheetView>
  </sheetViews>
  <sheetFormatPr defaultRowHeight="13.8"/>
  <cols>
    <col min="2" max="2" width="45" customWidth="1"/>
    <col min="3" max="4" width="23.25" customWidth="1"/>
  </cols>
  <sheetData>
    <row r="1" spans="2:7" ht="14.4" thickBot="1"/>
    <row r="2" spans="2:7" ht="27" thickBot="1">
      <c r="B2" s="1" t="s">
        <v>0</v>
      </c>
      <c r="C2" s="2" t="s">
        <v>1</v>
      </c>
      <c r="D2" s="2" t="s">
        <v>2</v>
      </c>
      <c r="G2" s="8" t="s">
        <v>78</v>
      </c>
    </row>
    <row r="3" spans="2:7" ht="14.4" thickBot="1">
      <c r="B3" s="4"/>
      <c r="C3" s="5" t="s">
        <v>3</v>
      </c>
      <c r="D3" s="5" t="s">
        <v>4</v>
      </c>
      <c r="G3" t="s">
        <v>79</v>
      </c>
    </row>
    <row r="4" spans="2:7" ht="14.4" thickBot="1">
      <c r="B4" s="4" t="s">
        <v>5</v>
      </c>
      <c r="C4" s="97">
        <v>3.6</v>
      </c>
      <c r="D4" s="6"/>
      <c r="G4" t="s">
        <v>77</v>
      </c>
    </row>
    <row r="5" spans="2:7" ht="14.4" thickBot="1">
      <c r="B5" s="4" t="s">
        <v>6</v>
      </c>
      <c r="C5" s="15">
        <f>C4*5133*12</f>
        <v>221745.59999999998</v>
      </c>
      <c r="D5" s="6"/>
      <c r="E5">
        <v>5133</v>
      </c>
    </row>
    <row r="6" spans="2:7" ht="14.4" thickBot="1">
      <c r="B6" s="4" t="s">
        <v>7</v>
      </c>
      <c r="C6" s="6">
        <v>0</v>
      </c>
      <c r="D6" s="15"/>
    </row>
    <row r="7" spans="2:7" ht="14.4" thickBot="1">
      <c r="B7" s="4" t="s">
        <v>8</v>
      </c>
      <c r="C7" s="15">
        <v>33000</v>
      </c>
      <c r="D7" s="12"/>
    </row>
    <row r="8" spans="2:7" ht="14.4" thickBot="1">
      <c r="B8" s="4" t="s">
        <v>9</v>
      </c>
      <c r="C8" s="6">
        <v>0</v>
      </c>
      <c r="D8" s="6"/>
    </row>
    <row r="9" spans="2:7">
      <c r="C9" s="9"/>
    </row>
    <row r="11" spans="2:7" ht="14.4" thickBot="1"/>
    <row r="12" spans="2:7" ht="40.200000000000003" thickBot="1">
      <c r="B12" s="1" t="s">
        <v>10</v>
      </c>
      <c r="C12" s="7">
        <v>0</v>
      </c>
      <c r="D12" s="7" t="s">
        <v>11</v>
      </c>
    </row>
    <row r="13" spans="2:7" ht="40.200000000000003" thickBot="1">
      <c r="B13" s="4" t="s">
        <v>12</v>
      </c>
      <c r="C13" s="6">
        <v>0</v>
      </c>
      <c r="D13" s="6" t="s">
        <v>11</v>
      </c>
    </row>
  </sheetData>
  <pageMargins left="0.7" right="0.7" top="0.75" bottom="0.75" header="0.3" footer="0.3"/>
  <pageSetup paperSize="9" orientation="portrait" r:id="rId1"/>
  <customProperties>
    <customPr name="_pios_id" r:id="rId2"/>
  </customPropertie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23334-48F5-4AF7-8BB9-A5253C754C64}">
  <dimension ref="A1:AB1006"/>
  <sheetViews>
    <sheetView topLeftCell="A4" zoomScale="60" zoomScaleNormal="60" workbookViewId="0">
      <selection activeCell="C27" sqref="C27:C28"/>
    </sheetView>
  </sheetViews>
  <sheetFormatPr defaultColWidth="9.33203125" defaultRowHeight="15" customHeight="1"/>
  <cols>
    <col min="1" max="1" width="10.33203125" style="160" customWidth="1"/>
    <col min="2" max="2" width="19.25" style="160" customWidth="1"/>
    <col min="3" max="7" width="9.5" style="160" customWidth="1"/>
    <col min="8" max="8" width="22.6640625" style="160" customWidth="1"/>
    <col min="9" max="9" width="11.83203125" style="160" customWidth="1"/>
    <col min="10" max="10" width="11.9140625" style="160" customWidth="1"/>
    <col min="11" max="11" width="15.83203125" style="160" customWidth="1"/>
    <col min="12" max="12" width="17.5" style="160" customWidth="1"/>
    <col min="13" max="13" width="8.9140625" style="160" customWidth="1"/>
    <col min="14" max="16" width="8.83203125" style="160" customWidth="1"/>
    <col min="17" max="17" width="9.9140625" style="160" customWidth="1"/>
    <col min="18" max="28" width="8.83203125" style="160" customWidth="1"/>
    <col min="29" max="16384" width="9.33203125" style="160"/>
  </cols>
  <sheetData>
    <row r="1" spans="1:28" ht="31.2">
      <c r="A1" s="159"/>
      <c r="B1" s="159" t="s">
        <v>13</v>
      </c>
      <c r="C1" s="159"/>
      <c r="D1" s="159"/>
      <c r="E1" s="159"/>
      <c r="F1" s="159"/>
      <c r="G1" s="159"/>
      <c r="H1" s="159" t="s">
        <v>59</v>
      </c>
      <c r="J1" s="159" t="s">
        <v>60</v>
      </c>
      <c r="K1" s="159" t="s">
        <v>61</v>
      </c>
      <c r="L1" s="159" t="s">
        <v>62</v>
      </c>
      <c r="M1" s="159" t="s">
        <v>14</v>
      </c>
      <c r="O1" s="159" t="s">
        <v>15</v>
      </c>
      <c r="P1" s="159"/>
      <c r="Q1" s="159" t="s">
        <v>16</v>
      </c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</row>
    <row r="2" spans="1:28" ht="15" customHeight="1">
      <c r="A2" s="161"/>
      <c r="B2" s="161"/>
      <c r="C2" s="161"/>
      <c r="D2" s="161"/>
      <c r="E2" s="161"/>
      <c r="F2" s="161"/>
      <c r="G2" s="161"/>
      <c r="H2" s="161" t="s">
        <v>63</v>
      </c>
      <c r="I2" s="162"/>
      <c r="J2" s="161" t="s">
        <v>17</v>
      </c>
      <c r="K2" s="161" t="s">
        <v>18</v>
      </c>
      <c r="L2" s="161" t="s">
        <v>19</v>
      </c>
      <c r="M2" s="161" t="s">
        <v>20</v>
      </c>
      <c r="N2" s="161"/>
      <c r="O2" s="161" t="s">
        <v>21</v>
      </c>
      <c r="P2" s="161"/>
      <c r="Q2" s="161" t="s">
        <v>22</v>
      </c>
      <c r="R2" s="161"/>
      <c r="S2" s="161"/>
      <c r="T2" s="161"/>
      <c r="U2" s="161"/>
      <c r="V2" s="161"/>
      <c r="W2" s="161"/>
      <c r="X2" s="161"/>
      <c r="Y2" s="161"/>
      <c r="Z2" s="161"/>
      <c r="AA2" s="161"/>
      <c r="AB2" s="161"/>
    </row>
    <row r="3" spans="1:28" ht="171.6">
      <c r="A3" s="163"/>
      <c r="B3" s="163" t="s">
        <v>23</v>
      </c>
      <c r="C3" s="163"/>
      <c r="D3" s="163"/>
      <c r="E3" s="163"/>
      <c r="F3" s="163"/>
      <c r="G3" s="163"/>
      <c r="H3" s="163" t="s">
        <v>24</v>
      </c>
      <c r="J3" s="163" t="s">
        <v>25</v>
      </c>
      <c r="K3" s="163" t="s">
        <v>26</v>
      </c>
      <c r="L3" s="163" t="s">
        <v>27</v>
      </c>
      <c r="M3" s="163" t="s">
        <v>28</v>
      </c>
      <c r="O3" s="163" t="s">
        <v>29</v>
      </c>
      <c r="P3" s="163"/>
      <c r="Q3" s="163" t="s">
        <v>30</v>
      </c>
      <c r="R3" s="163"/>
      <c r="S3" s="163"/>
      <c r="T3" s="163"/>
      <c r="U3" s="163"/>
      <c r="V3" s="163"/>
      <c r="W3" s="163"/>
      <c r="X3" s="163"/>
      <c r="Y3" s="163"/>
      <c r="Z3" s="163"/>
      <c r="AA3" s="163"/>
      <c r="AB3" s="163"/>
    </row>
    <row r="4" spans="1:28" ht="15.6">
      <c r="A4" s="163"/>
      <c r="B4" s="163"/>
      <c r="C4" s="163"/>
      <c r="D4" s="16">
        <v>2023</v>
      </c>
      <c r="E4" s="16">
        <v>2023</v>
      </c>
      <c r="F4" s="16">
        <v>2024</v>
      </c>
      <c r="G4" s="16">
        <v>2024</v>
      </c>
      <c r="H4" s="16">
        <v>2024</v>
      </c>
      <c r="I4" s="16">
        <v>2024</v>
      </c>
      <c r="J4" s="16">
        <v>2024</v>
      </c>
      <c r="K4" s="16">
        <v>2024</v>
      </c>
      <c r="L4" s="16">
        <v>2024</v>
      </c>
      <c r="M4" s="16">
        <v>2024</v>
      </c>
      <c r="N4" s="16">
        <v>2024</v>
      </c>
      <c r="O4" s="16">
        <v>2024</v>
      </c>
      <c r="P4" s="16">
        <v>2024</v>
      </c>
      <c r="Q4" s="16">
        <v>2024</v>
      </c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</row>
    <row r="5" spans="1:28" ht="31.2">
      <c r="A5" s="164"/>
      <c r="B5" s="164"/>
      <c r="C5" s="164"/>
      <c r="D5" s="164" t="s">
        <v>31</v>
      </c>
      <c r="E5" s="164" t="s">
        <v>32</v>
      </c>
      <c r="F5" s="164" t="s">
        <v>33</v>
      </c>
      <c r="G5" s="164" t="s">
        <v>34</v>
      </c>
      <c r="H5" s="164" t="s">
        <v>35</v>
      </c>
      <c r="I5" s="164" t="s">
        <v>36</v>
      </c>
      <c r="J5" s="164" t="s">
        <v>37</v>
      </c>
      <c r="K5" s="164" t="s">
        <v>38</v>
      </c>
      <c r="L5" s="164" t="s">
        <v>39</v>
      </c>
      <c r="M5" s="164" t="s">
        <v>40</v>
      </c>
      <c r="N5" s="164" t="s">
        <v>41</v>
      </c>
      <c r="O5" s="164" t="s">
        <v>42</v>
      </c>
      <c r="P5" s="164" t="s">
        <v>31</v>
      </c>
      <c r="Q5" s="164" t="s">
        <v>32</v>
      </c>
      <c r="R5" s="164"/>
      <c r="S5" s="164"/>
      <c r="T5" s="164" t="s">
        <v>199</v>
      </c>
      <c r="U5" s="164"/>
      <c r="V5" s="164"/>
      <c r="W5" s="164"/>
      <c r="X5" s="164"/>
      <c r="Y5" s="164"/>
      <c r="Z5" s="164"/>
      <c r="AA5" s="164"/>
      <c r="AB5" s="164"/>
    </row>
    <row r="6" spans="1:28" ht="15.6">
      <c r="A6" s="164"/>
      <c r="B6" s="164" t="s">
        <v>43</v>
      </c>
      <c r="C6" s="164"/>
      <c r="D6" s="164"/>
      <c r="E6" s="164"/>
      <c r="F6" s="164">
        <v>1</v>
      </c>
      <c r="G6" s="164">
        <v>1</v>
      </c>
      <c r="H6" s="164">
        <v>1</v>
      </c>
      <c r="I6" s="164">
        <v>1</v>
      </c>
      <c r="J6" s="164">
        <v>1</v>
      </c>
      <c r="K6" s="164">
        <v>1</v>
      </c>
      <c r="L6" s="164">
        <v>1</v>
      </c>
      <c r="M6" s="164">
        <v>1</v>
      </c>
      <c r="N6" s="164">
        <v>1</v>
      </c>
      <c r="O6" s="164">
        <v>1</v>
      </c>
      <c r="P6" s="164">
        <v>1</v>
      </c>
      <c r="Q6" s="164">
        <v>1</v>
      </c>
      <c r="R6" s="164"/>
      <c r="S6" s="164"/>
      <c r="T6" s="164"/>
      <c r="U6" s="164"/>
      <c r="V6" s="164"/>
      <c r="W6" s="164"/>
      <c r="X6" s="164"/>
      <c r="Y6" s="164"/>
      <c r="Z6" s="164"/>
      <c r="AA6" s="164"/>
      <c r="AB6" s="164"/>
    </row>
    <row r="7" spans="1:28" ht="15.6">
      <c r="A7" s="164"/>
      <c r="B7" s="164" t="s">
        <v>44</v>
      </c>
      <c r="C7" s="164"/>
      <c r="D7" s="164">
        <v>1</v>
      </c>
      <c r="E7" s="164">
        <v>1</v>
      </c>
      <c r="F7" s="164">
        <v>1</v>
      </c>
      <c r="G7" s="164">
        <v>1</v>
      </c>
      <c r="H7" s="164">
        <v>1</v>
      </c>
      <c r="I7" s="164">
        <v>1</v>
      </c>
      <c r="J7" s="164">
        <v>1</v>
      </c>
      <c r="K7" s="164">
        <v>1</v>
      </c>
      <c r="L7" s="164">
        <v>1</v>
      </c>
      <c r="M7" s="164">
        <v>1</v>
      </c>
      <c r="N7" s="164">
        <v>1</v>
      </c>
      <c r="O7" s="164">
        <v>1</v>
      </c>
      <c r="P7" s="164">
        <v>1</v>
      </c>
      <c r="Q7" s="164">
        <v>1</v>
      </c>
      <c r="R7" s="164"/>
      <c r="S7" s="164"/>
      <c r="T7" s="164"/>
      <c r="U7" s="164"/>
      <c r="V7" s="164"/>
      <c r="W7" s="164"/>
      <c r="X7" s="164"/>
      <c r="Y7" s="164"/>
      <c r="Z7" s="164"/>
      <c r="AA7" s="164"/>
      <c r="AB7" s="164"/>
    </row>
    <row r="8" spans="1:28" ht="15.6">
      <c r="A8" s="164"/>
      <c r="B8" s="164" t="s">
        <v>45</v>
      </c>
      <c r="C8" s="164"/>
      <c r="D8" s="164"/>
      <c r="E8" s="164">
        <v>2</v>
      </c>
      <c r="F8" s="164">
        <v>2</v>
      </c>
      <c r="G8" s="164">
        <v>2</v>
      </c>
      <c r="H8" s="164">
        <v>2</v>
      </c>
      <c r="I8" s="164">
        <v>2</v>
      </c>
      <c r="J8" s="164">
        <v>2</v>
      </c>
      <c r="K8" s="164">
        <v>2</v>
      </c>
      <c r="L8" s="164">
        <v>2</v>
      </c>
      <c r="M8" s="164">
        <v>2</v>
      </c>
      <c r="N8" s="164">
        <v>2</v>
      </c>
      <c r="O8" s="164">
        <v>2</v>
      </c>
      <c r="P8" s="164">
        <v>2</v>
      </c>
      <c r="Q8" s="164">
        <v>2</v>
      </c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</row>
    <row r="9" spans="1:28" ht="15.6">
      <c r="A9" s="164"/>
      <c r="B9" s="164" t="s">
        <v>46</v>
      </c>
      <c r="C9" s="164"/>
      <c r="D9" s="164"/>
      <c r="E9" s="164">
        <v>3</v>
      </c>
      <c r="F9" s="164">
        <v>3</v>
      </c>
      <c r="G9" s="164">
        <v>3</v>
      </c>
      <c r="H9" s="164">
        <v>3</v>
      </c>
      <c r="I9" s="164">
        <v>3</v>
      </c>
      <c r="J9" s="164">
        <v>3</v>
      </c>
      <c r="K9" s="164">
        <v>3</v>
      </c>
      <c r="L9" s="164">
        <v>3</v>
      </c>
      <c r="M9" s="164">
        <v>3</v>
      </c>
      <c r="N9" s="164">
        <v>3</v>
      </c>
      <c r="O9" s="164">
        <v>3</v>
      </c>
      <c r="P9" s="164">
        <v>3</v>
      </c>
      <c r="Q9" s="164">
        <v>3</v>
      </c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</row>
    <row r="10" spans="1:28" ht="15.6">
      <c r="A10" s="164"/>
      <c r="B10" s="164" t="s">
        <v>47</v>
      </c>
      <c r="C10" s="164"/>
      <c r="D10" s="164"/>
      <c r="E10" s="164">
        <v>3</v>
      </c>
      <c r="F10" s="164">
        <v>3</v>
      </c>
      <c r="G10" s="164">
        <v>3</v>
      </c>
      <c r="H10" s="164">
        <v>3</v>
      </c>
      <c r="I10" s="164">
        <v>3</v>
      </c>
      <c r="J10" s="164">
        <v>3</v>
      </c>
      <c r="K10" s="164">
        <v>3</v>
      </c>
      <c r="L10" s="164">
        <v>3</v>
      </c>
      <c r="M10" s="164">
        <v>3</v>
      </c>
      <c r="N10" s="164">
        <v>3</v>
      </c>
      <c r="O10" s="164">
        <v>3</v>
      </c>
      <c r="P10" s="164">
        <v>3</v>
      </c>
      <c r="Q10" s="164">
        <v>3</v>
      </c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</row>
    <row r="11" spans="1:28" ht="15.6">
      <c r="A11" s="164"/>
      <c r="B11" s="164" t="s">
        <v>48</v>
      </c>
      <c r="C11" s="164"/>
      <c r="D11" s="164">
        <v>1</v>
      </c>
      <c r="E11" s="164">
        <v>1</v>
      </c>
      <c r="F11" s="164">
        <v>1</v>
      </c>
      <c r="G11" s="164">
        <v>1</v>
      </c>
      <c r="H11" s="164">
        <v>1</v>
      </c>
      <c r="I11" s="164">
        <v>1</v>
      </c>
      <c r="J11" s="164">
        <v>1</v>
      </c>
      <c r="K11" s="164">
        <v>1</v>
      </c>
      <c r="L11" s="164">
        <v>1</v>
      </c>
      <c r="M11" s="164">
        <v>1</v>
      </c>
      <c r="N11" s="164">
        <v>1</v>
      </c>
      <c r="O11" s="164">
        <v>1</v>
      </c>
      <c r="P11" s="164">
        <v>1</v>
      </c>
      <c r="Q11" s="164">
        <v>1</v>
      </c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</row>
    <row r="12" spans="1:28" ht="15.6">
      <c r="A12" s="164"/>
      <c r="B12" s="164" t="s">
        <v>49</v>
      </c>
      <c r="C12" s="164"/>
      <c r="D12" s="164"/>
      <c r="E12" s="164"/>
      <c r="F12" s="164"/>
      <c r="G12" s="164">
        <v>1</v>
      </c>
      <c r="H12" s="164">
        <v>1</v>
      </c>
      <c r="I12" s="164">
        <v>1</v>
      </c>
      <c r="J12" s="164">
        <v>1</v>
      </c>
      <c r="K12" s="164">
        <v>1</v>
      </c>
      <c r="L12" s="164">
        <v>1</v>
      </c>
      <c r="M12" s="164">
        <v>1</v>
      </c>
      <c r="N12" s="164">
        <v>1</v>
      </c>
      <c r="O12" s="164">
        <v>1</v>
      </c>
      <c r="P12" s="164">
        <v>1</v>
      </c>
      <c r="Q12" s="164">
        <v>1</v>
      </c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</row>
    <row r="13" spans="1:28" ht="15.6">
      <c r="A13" s="164"/>
      <c r="B13" s="164" t="s">
        <v>50</v>
      </c>
      <c r="C13" s="164"/>
      <c r="D13" s="164">
        <v>1</v>
      </c>
      <c r="E13" s="164">
        <v>1</v>
      </c>
      <c r="F13" s="164">
        <v>1</v>
      </c>
      <c r="G13" s="164">
        <v>1</v>
      </c>
      <c r="H13" s="164">
        <v>1</v>
      </c>
      <c r="I13" s="164">
        <v>1</v>
      </c>
      <c r="J13" s="164">
        <v>1</v>
      </c>
      <c r="K13" s="164">
        <v>1</v>
      </c>
      <c r="L13" s="164">
        <v>1</v>
      </c>
      <c r="M13" s="164">
        <v>1</v>
      </c>
      <c r="N13" s="164">
        <v>1</v>
      </c>
      <c r="O13" s="164">
        <v>1</v>
      </c>
      <c r="P13" s="164">
        <v>1</v>
      </c>
      <c r="Q13" s="164">
        <v>1</v>
      </c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</row>
    <row r="14" spans="1:28" ht="15.6">
      <c r="A14" s="164"/>
      <c r="B14" s="164" t="s">
        <v>51</v>
      </c>
      <c r="C14" s="164"/>
      <c r="D14" s="164"/>
      <c r="E14" s="164"/>
      <c r="F14" s="164">
        <v>1</v>
      </c>
      <c r="G14" s="164">
        <v>1</v>
      </c>
      <c r="H14" s="164">
        <v>1</v>
      </c>
      <c r="I14" s="164">
        <v>1</v>
      </c>
      <c r="J14" s="164"/>
      <c r="K14" s="164"/>
      <c r="L14" s="164"/>
      <c r="N14" s="164"/>
      <c r="O14" s="164"/>
      <c r="P14" s="164"/>
      <c r="Q14" s="164"/>
      <c r="T14" s="164"/>
      <c r="U14" s="164"/>
      <c r="V14" s="164"/>
      <c r="W14" s="164"/>
      <c r="X14" s="164"/>
      <c r="Y14" s="164"/>
      <c r="Z14" s="164"/>
      <c r="AA14" s="164"/>
      <c r="AB14" s="164"/>
    </row>
    <row r="15" spans="1:28" s="171" customFormat="1" ht="15.6">
      <c r="A15" s="170"/>
      <c r="B15" s="170" t="s">
        <v>52</v>
      </c>
      <c r="D15" s="172">
        <f t="shared" ref="D15:Q15" si="0">SUM(D6:D14)</f>
        <v>3</v>
      </c>
      <c r="E15" s="172">
        <f t="shared" si="0"/>
        <v>11</v>
      </c>
      <c r="F15" s="176">
        <f t="shared" si="0"/>
        <v>13</v>
      </c>
      <c r="G15" s="176">
        <f t="shared" si="0"/>
        <v>14</v>
      </c>
      <c r="H15" s="177">
        <f t="shared" si="0"/>
        <v>14</v>
      </c>
      <c r="I15" s="176">
        <f t="shared" si="0"/>
        <v>14</v>
      </c>
      <c r="J15" s="176">
        <f t="shared" si="0"/>
        <v>13</v>
      </c>
      <c r="K15" s="176">
        <f t="shared" si="0"/>
        <v>13</v>
      </c>
      <c r="L15" s="176">
        <f t="shared" si="0"/>
        <v>13</v>
      </c>
      <c r="M15" s="176">
        <f t="shared" si="0"/>
        <v>13</v>
      </c>
      <c r="N15" s="176">
        <f t="shared" si="0"/>
        <v>13</v>
      </c>
      <c r="O15" s="176">
        <f t="shared" si="0"/>
        <v>13</v>
      </c>
      <c r="P15" s="176">
        <f t="shared" si="0"/>
        <v>13</v>
      </c>
      <c r="Q15" s="176">
        <f t="shared" si="0"/>
        <v>13</v>
      </c>
      <c r="T15" s="170"/>
      <c r="U15" s="170"/>
      <c r="V15" s="170"/>
      <c r="W15" s="170"/>
      <c r="X15" s="170"/>
      <c r="Y15" s="170"/>
      <c r="Z15" s="170"/>
      <c r="AA15" s="170"/>
      <c r="AB15" s="170"/>
    </row>
    <row r="16" spans="1:28" ht="15.6">
      <c r="A16" s="164"/>
      <c r="B16" s="103" t="s">
        <v>53</v>
      </c>
      <c r="C16" s="104"/>
      <c r="D16" s="105">
        <f>-SAP!B11/10^3</f>
        <v>-445.11306492094855</v>
      </c>
      <c r="E16" s="106">
        <f>D16</f>
        <v>-445.11306492094855</v>
      </c>
      <c r="F16" s="108">
        <f>E16*1.05</f>
        <v>-467.36871816699602</v>
      </c>
      <c r="G16" s="106">
        <f>F16</f>
        <v>-467.36871816699602</v>
      </c>
      <c r="H16" s="106">
        <f t="shared" ref="H16:Q16" si="1">G16</f>
        <v>-467.36871816699602</v>
      </c>
      <c r="I16" s="106">
        <f t="shared" si="1"/>
        <v>-467.36871816699602</v>
      </c>
      <c r="J16" s="106">
        <f t="shared" si="1"/>
        <v>-467.36871816699602</v>
      </c>
      <c r="K16" s="106">
        <f t="shared" si="1"/>
        <v>-467.36871816699602</v>
      </c>
      <c r="L16" s="106">
        <f t="shared" si="1"/>
        <v>-467.36871816699602</v>
      </c>
      <c r="M16" s="106">
        <f t="shared" si="1"/>
        <v>-467.36871816699602</v>
      </c>
      <c r="N16" s="106">
        <f t="shared" si="1"/>
        <v>-467.36871816699602</v>
      </c>
      <c r="O16" s="106">
        <f t="shared" si="1"/>
        <v>-467.36871816699602</v>
      </c>
      <c r="P16" s="106">
        <f t="shared" si="1"/>
        <v>-467.36871816699602</v>
      </c>
      <c r="Q16" s="106">
        <f t="shared" si="1"/>
        <v>-467.36871816699602</v>
      </c>
      <c r="T16" s="164"/>
      <c r="U16" s="164"/>
      <c r="V16" s="164"/>
      <c r="W16" s="164"/>
      <c r="X16" s="164"/>
      <c r="Y16" s="164"/>
      <c r="Z16" s="164"/>
      <c r="AA16" s="164"/>
      <c r="AB16" s="164"/>
    </row>
    <row r="17" spans="1:28" ht="15.6">
      <c r="A17" s="164"/>
      <c r="B17" s="104" t="s">
        <v>208</v>
      </c>
      <c r="C17" s="104"/>
      <c r="D17" s="107">
        <f>D15*D16</f>
        <v>-1335.3391947628456</v>
      </c>
      <c r="E17" s="107">
        <f t="shared" ref="E17:Q17" si="2">E15*E16</f>
        <v>-4896.2437141304345</v>
      </c>
      <c r="F17" s="107">
        <f t="shared" si="2"/>
        <v>-6075.7933361709484</v>
      </c>
      <c r="G17" s="107">
        <f t="shared" si="2"/>
        <v>-6543.162054337944</v>
      </c>
      <c r="H17" s="107">
        <f t="shared" si="2"/>
        <v>-6543.162054337944</v>
      </c>
      <c r="I17" s="107">
        <f t="shared" si="2"/>
        <v>-6543.162054337944</v>
      </c>
      <c r="J17" s="107">
        <f t="shared" si="2"/>
        <v>-6075.7933361709484</v>
      </c>
      <c r="K17" s="107">
        <f t="shared" si="2"/>
        <v>-6075.7933361709484</v>
      </c>
      <c r="L17" s="107">
        <f t="shared" si="2"/>
        <v>-6075.7933361709484</v>
      </c>
      <c r="M17" s="107">
        <f t="shared" si="2"/>
        <v>-6075.7933361709484</v>
      </c>
      <c r="N17" s="107">
        <f t="shared" si="2"/>
        <v>-6075.7933361709484</v>
      </c>
      <c r="O17" s="107">
        <f t="shared" si="2"/>
        <v>-6075.7933361709484</v>
      </c>
      <c r="P17" s="107">
        <f t="shared" si="2"/>
        <v>-6075.7933361709484</v>
      </c>
      <c r="Q17" s="107">
        <f t="shared" si="2"/>
        <v>-6075.7933361709484</v>
      </c>
      <c r="T17" s="164"/>
      <c r="U17" s="164"/>
      <c r="V17" s="164"/>
      <c r="W17" s="164"/>
      <c r="X17" s="164"/>
      <c r="Y17" s="164"/>
      <c r="Z17" s="164"/>
      <c r="AA17" s="164"/>
      <c r="AB17" s="164"/>
    </row>
    <row r="18" spans="1:28" ht="31.2">
      <c r="A18" s="164" t="s">
        <v>53</v>
      </c>
      <c r="B18" s="164">
        <v>500</v>
      </c>
      <c r="H18" s="164"/>
      <c r="J18" s="164"/>
      <c r="K18" s="164"/>
      <c r="L18" s="164"/>
      <c r="M18" s="164"/>
      <c r="N18" s="164"/>
      <c r="O18" s="164"/>
      <c r="P18" s="164"/>
      <c r="Q18" s="164"/>
      <c r="T18" s="164"/>
      <c r="U18" s="164"/>
      <c r="V18" s="164"/>
      <c r="W18" s="164"/>
      <c r="X18" s="164"/>
      <c r="Y18" s="164"/>
      <c r="Z18" s="164"/>
      <c r="AA18" s="164"/>
      <c r="AB18" s="164"/>
    </row>
    <row r="19" spans="1:28" ht="15.6">
      <c r="A19" s="166" t="s">
        <v>54</v>
      </c>
      <c r="B19" s="166"/>
      <c r="C19" s="167">
        <f>R19</f>
        <v>86500</v>
      </c>
      <c r="D19" s="168">
        <f>D15*B18</f>
        <v>1500</v>
      </c>
      <c r="E19" s="168">
        <f>E15*B18</f>
        <v>5500</v>
      </c>
      <c r="F19" s="168">
        <f>F15*B18</f>
        <v>6500</v>
      </c>
      <c r="G19" s="168">
        <f>G15*B18</f>
        <v>7000</v>
      </c>
      <c r="H19" s="166">
        <f>H15*B18</f>
        <v>7000</v>
      </c>
      <c r="I19" s="168">
        <f>I15*B18</f>
        <v>7000</v>
      </c>
      <c r="J19" s="168">
        <f>J15*B18</f>
        <v>6500</v>
      </c>
      <c r="K19" s="168">
        <f>K15*B18</f>
        <v>6500</v>
      </c>
      <c r="L19" s="168">
        <f>L15*B18</f>
        <v>6500</v>
      </c>
      <c r="M19" s="168">
        <f>M15*B18</f>
        <v>6500</v>
      </c>
      <c r="N19" s="168">
        <f>N15*B18</f>
        <v>6500</v>
      </c>
      <c r="O19" s="168">
        <f>O15*B18</f>
        <v>6500</v>
      </c>
      <c r="P19" s="168">
        <f>P15*B18</f>
        <v>6500</v>
      </c>
      <c r="Q19" s="168">
        <f>Q15*B18</f>
        <v>6500</v>
      </c>
      <c r="R19" s="168">
        <f>SUM(D19:Q19)</f>
        <v>86500</v>
      </c>
      <c r="S19" s="168"/>
      <c r="T19" s="166"/>
      <c r="U19" s="166"/>
      <c r="V19" s="166"/>
      <c r="W19" s="166"/>
      <c r="X19" s="166"/>
      <c r="Y19" s="166"/>
      <c r="Z19" s="166"/>
      <c r="AA19" s="166"/>
      <c r="AB19" s="166"/>
    </row>
    <row r="20" spans="1:28" ht="15.6">
      <c r="A20" s="164"/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</row>
    <row r="21" spans="1:28" ht="31.2">
      <c r="A21" s="164"/>
      <c r="B21" s="159" t="s">
        <v>55</v>
      </c>
      <c r="C21" s="164"/>
      <c r="D21" s="164" t="s">
        <v>31</v>
      </c>
      <c r="E21" s="164" t="s">
        <v>32</v>
      </c>
      <c r="F21" s="164" t="s">
        <v>33</v>
      </c>
      <c r="G21" s="164" t="s">
        <v>34</v>
      </c>
      <c r="H21" s="164" t="s">
        <v>35</v>
      </c>
      <c r="I21" s="164" t="s">
        <v>36</v>
      </c>
      <c r="J21" s="164" t="s">
        <v>37</v>
      </c>
      <c r="K21" s="164" t="s">
        <v>38</v>
      </c>
      <c r="L21" s="164" t="s">
        <v>39</v>
      </c>
      <c r="M21" s="164" t="s">
        <v>40</v>
      </c>
      <c r="N21" s="164" t="s">
        <v>41</v>
      </c>
      <c r="O21" s="164" t="s">
        <v>42</v>
      </c>
      <c r="P21" s="164" t="s">
        <v>31</v>
      </c>
      <c r="Q21" s="164" t="s">
        <v>32</v>
      </c>
      <c r="R21" s="164"/>
      <c r="S21" s="164"/>
      <c r="T21" s="164" t="s">
        <v>199</v>
      </c>
      <c r="U21" s="164"/>
      <c r="V21" s="164"/>
      <c r="W21" s="164"/>
      <c r="X21" s="164"/>
      <c r="Y21" s="164"/>
      <c r="Z21" s="164"/>
      <c r="AA21" s="164"/>
      <c r="AB21" s="164"/>
    </row>
    <row r="22" spans="1:28" ht="15.6">
      <c r="A22" s="164"/>
      <c r="B22" s="164" t="s">
        <v>56</v>
      </c>
      <c r="F22" s="169">
        <v>1</v>
      </c>
      <c r="G22" s="169">
        <v>1</v>
      </c>
      <c r="H22" s="164">
        <v>1</v>
      </c>
      <c r="I22" s="169">
        <v>1</v>
      </c>
      <c r="J22" s="169">
        <v>1</v>
      </c>
      <c r="K22" s="169">
        <v>1</v>
      </c>
      <c r="L22" s="169">
        <v>1</v>
      </c>
      <c r="M22" s="169">
        <v>1</v>
      </c>
      <c r="N22" s="169">
        <v>1</v>
      </c>
      <c r="O22" s="169">
        <v>1</v>
      </c>
      <c r="P22" s="169">
        <v>1</v>
      </c>
      <c r="Q22" s="169">
        <v>1</v>
      </c>
    </row>
    <row r="23" spans="1:28" ht="15.6">
      <c r="A23" s="164"/>
      <c r="B23" s="164" t="s">
        <v>57</v>
      </c>
      <c r="C23" s="164"/>
      <c r="D23" s="164"/>
      <c r="E23" s="164"/>
      <c r="F23" s="164"/>
      <c r="G23" s="164"/>
      <c r="H23" s="164">
        <v>2</v>
      </c>
      <c r="I23" s="164">
        <v>2</v>
      </c>
      <c r="J23" s="164">
        <v>2</v>
      </c>
      <c r="K23" s="164">
        <v>4</v>
      </c>
      <c r="L23" s="164">
        <v>4</v>
      </c>
      <c r="M23" s="164">
        <v>4</v>
      </c>
      <c r="N23" s="164">
        <v>4</v>
      </c>
      <c r="O23" s="164">
        <v>4</v>
      </c>
      <c r="P23" s="164">
        <v>4</v>
      </c>
      <c r="Q23" s="164">
        <v>4</v>
      </c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164"/>
    </row>
    <row r="24" spans="1:28" ht="15.6">
      <c r="A24" s="164"/>
      <c r="B24" s="164"/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/>
      <c r="AB24" s="164"/>
    </row>
    <row r="25" spans="1:28" s="171" customFormat="1" ht="15.6">
      <c r="A25" s="170"/>
      <c r="B25" s="170" t="s">
        <v>52</v>
      </c>
      <c r="C25" s="170"/>
      <c r="D25" s="170">
        <f t="shared" ref="D25:Q25" si="3">SUM(D22:D24)</f>
        <v>0</v>
      </c>
      <c r="E25" s="170">
        <f t="shared" si="3"/>
        <v>0</v>
      </c>
      <c r="F25" s="177">
        <f t="shared" si="3"/>
        <v>1</v>
      </c>
      <c r="G25" s="177">
        <f t="shared" si="3"/>
        <v>1</v>
      </c>
      <c r="H25" s="177">
        <f t="shared" si="3"/>
        <v>3</v>
      </c>
      <c r="I25" s="177">
        <f t="shared" si="3"/>
        <v>3</v>
      </c>
      <c r="J25" s="177">
        <f t="shared" si="3"/>
        <v>3</v>
      </c>
      <c r="K25" s="177">
        <f t="shared" si="3"/>
        <v>5</v>
      </c>
      <c r="L25" s="177">
        <f t="shared" si="3"/>
        <v>5</v>
      </c>
      <c r="M25" s="177">
        <f t="shared" si="3"/>
        <v>5</v>
      </c>
      <c r="N25" s="177">
        <f t="shared" si="3"/>
        <v>5</v>
      </c>
      <c r="O25" s="177">
        <f t="shared" si="3"/>
        <v>5</v>
      </c>
      <c r="P25" s="177">
        <f t="shared" si="3"/>
        <v>5</v>
      </c>
      <c r="Q25" s="177">
        <f t="shared" si="3"/>
        <v>5</v>
      </c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</row>
    <row r="26" spans="1:28" ht="31.2">
      <c r="A26" s="164" t="s">
        <v>53</v>
      </c>
      <c r="B26" s="164">
        <v>500</v>
      </c>
      <c r="T26" s="164"/>
      <c r="U26" s="164"/>
      <c r="V26" s="164"/>
      <c r="W26" s="164"/>
      <c r="X26" s="164"/>
      <c r="Y26" s="164"/>
      <c r="Z26" s="164"/>
      <c r="AA26" s="164"/>
      <c r="AB26" s="164"/>
    </row>
    <row r="27" spans="1:28" ht="15.6">
      <c r="A27" s="164" t="s">
        <v>54</v>
      </c>
      <c r="B27" s="164" t="s">
        <v>200</v>
      </c>
      <c r="C27" s="173">
        <f>R27</f>
        <v>23000</v>
      </c>
      <c r="D27" s="165">
        <f>B26*D25</f>
        <v>0</v>
      </c>
      <c r="E27" s="164">
        <f t="shared" ref="E27:Q27" si="4">$B26*E25</f>
        <v>0</v>
      </c>
      <c r="F27" s="164">
        <f t="shared" si="4"/>
        <v>500</v>
      </c>
      <c r="G27" s="164">
        <f t="shared" si="4"/>
        <v>500</v>
      </c>
      <c r="H27" s="164">
        <f t="shared" si="4"/>
        <v>1500</v>
      </c>
      <c r="I27" s="164">
        <f t="shared" si="4"/>
        <v>1500</v>
      </c>
      <c r="J27" s="164">
        <f t="shared" si="4"/>
        <v>1500</v>
      </c>
      <c r="K27" s="164">
        <f t="shared" si="4"/>
        <v>2500</v>
      </c>
      <c r="L27" s="164">
        <f t="shared" si="4"/>
        <v>2500</v>
      </c>
      <c r="M27" s="164">
        <f t="shared" si="4"/>
        <v>2500</v>
      </c>
      <c r="N27" s="164">
        <f t="shared" si="4"/>
        <v>2500</v>
      </c>
      <c r="O27" s="164">
        <f t="shared" si="4"/>
        <v>2500</v>
      </c>
      <c r="P27" s="164">
        <f t="shared" si="4"/>
        <v>2500</v>
      </c>
      <c r="Q27" s="164">
        <f t="shared" si="4"/>
        <v>2500</v>
      </c>
      <c r="R27" s="165">
        <f>SUM(D27:Q27)</f>
        <v>23000</v>
      </c>
      <c r="S27" s="164"/>
      <c r="T27" s="164">
        <f>R27/2</f>
        <v>11500</v>
      </c>
      <c r="U27" s="164"/>
      <c r="V27" s="164"/>
      <c r="W27" s="164"/>
      <c r="X27" s="164"/>
      <c r="Y27" s="164"/>
      <c r="Z27" s="164"/>
      <c r="AA27" s="164"/>
      <c r="AB27" s="164"/>
    </row>
    <row r="28" spans="1:28" ht="15.6">
      <c r="B28" s="164" t="s">
        <v>201</v>
      </c>
      <c r="C28" s="173">
        <f>T27</f>
        <v>11500</v>
      </c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</row>
    <row r="29" spans="1:28" ht="15.6">
      <c r="A29" s="164"/>
      <c r="B29" s="103" t="s">
        <v>53</v>
      </c>
      <c r="C29" s="174"/>
      <c r="D29" s="105">
        <f>-SAP!B12/10^3</f>
        <v>445.11306492094855</v>
      </c>
      <c r="E29" s="106">
        <f>D29</f>
        <v>445.11306492094855</v>
      </c>
      <c r="F29" s="108">
        <f>E29*1.05</f>
        <v>467.36871816699602</v>
      </c>
      <c r="G29" s="106">
        <f>F29</f>
        <v>467.36871816699602</v>
      </c>
      <c r="H29" s="106">
        <f t="shared" ref="H29:Q29" si="5">G29</f>
        <v>467.36871816699602</v>
      </c>
      <c r="I29" s="106">
        <f t="shared" si="5"/>
        <v>467.36871816699602</v>
      </c>
      <c r="J29" s="106">
        <f t="shared" si="5"/>
        <v>467.36871816699602</v>
      </c>
      <c r="K29" s="106">
        <f t="shared" si="5"/>
        <v>467.36871816699602</v>
      </c>
      <c r="L29" s="106">
        <f t="shared" si="5"/>
        <v>467.36871816699602</v>
      </c>
      <c r="M29" s="106">
        <f t="shared" si="5"/>
        <v>467.36871816699602</v>
      </c>
      <c r="N29" s="106">
        <f t="shared" si="5"/>
        <v>467.36871816699602</v>
      </c>
      <c r="O29" s="106">
        <f t="shared" si="5"/>
        <v>467.36871816699602</v>
      </c>
      <c r="P29" s="106">
        <f t="shared" si="5"/>
        <v>467.36871816699602</v>
      </c>
      <c r="Q29" s="106">
        <f t="shared" si="5"/>
        <v>467.36871816699602</v>
      </c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</row>
    <row r="30" spans="1:28" ht="15.6">
      <c r="A30" s="164"/>
      <c r="B30" s="104" t="s">
        <v>208</v>
      </c>
      <c r="C30" s="174"/>
      <c r="D30" s="107">
        <f>D25*D29</f>
        <v>0</v>
      </c>
      <c r="E30" s="107">
        <f t="shared" ref="E30:Q30" si="6">E25*E29</f>
        <v>0</v>
      </c>
      <c r="F30" s="109">
        <f t="shared" si="6"/>
        <v>467.36871816699602</v>
      </c>
      <c r="G30" s="109">
        <f t="shared" si="6"/>
        <v>467.36871816699602</v>
      </c>
      <c r="H30" s="109">
        <f t="shared" si="6"/>
        <v>1402.1061545009879</v>
      </c>
      <c r="I30" s="109">
        <f t="shared" si="6"/>
        <v>1402.1061545009879</v>
      </c>
      <c r="J30" s="109">
        <f t="shared" si="6"/>
        <v>1402.1061545009879</v>
      </c>
      <c r="K30" s="109">
        <f t="shared" si="6"/>
        <v>2336.8435908349802</v>
      </c>
      <c r="L30" s="109">
        <f t="shared" si="6"/>
        <v>2336.8435908349802</v>
      </c>
      <c r="M30" s="109">
        <f t="shared" si="6"/>
        <v>2336.8435908349802</v>
      </c>
      <c r="N30" s="109">
        <f t="shared" si="6"/>
        <v>2336.8435908349802</v>
      </c>
      <c r="O30" s="109">
        <f t="shared" si="6"/>
        <v>2336.8435908349802</v>
      </c>
      <c r="P30" s="109">
        <f t="shared" si="6"/>
        <v>2336.8435908349802</v>
      </c>
      <c r="Q30" s="109">
        <f t="shared" si="6"/>
        <v>2336.8435908349802</v>
      </c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</row>
    <row r="31" spans="1:28" ht="15.6">
      <c r="A31" s="164"/>
      <c r="B31" s="164"/>
      <c r="C31" s="166"/>
      <c r="D31" s="164"/>
      <c r="E31" s="164"/>
      <c r="F31" s="164"/>
      <c r="G31" s="164"/>
      <c r="N31" s="164"/>
      <c r="O31" s="164"/>
      <c r="P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</row>
    <row r="32" spans="1:28" ht="15.6">
      <c r="A32" s="164"/>
      <c r="B32" s="164"/>
      <c r="C32" s="166"/>
      <c r="D32" s="164"/>
      <c r="E32" s="164"/>
      <c r="F32" s="164"/>
      <c r="G32" s="164"/>
      <c r="N32" s="164"/>
      <c r="O32" s="164"/>
      <c r="P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</row>
    <row r="33" spans="1:28" ht="31.2">
      <c r="A33" s="164"/>
      <c r="B33" s="159" t="s">
        <v>202</v>
      </c>
      <c r="C33" s="166"/>
      <c r="D33" s="164">
        <v>0</v>
      </c>
      <c r="E33" s="164">
        <v>0</v>
      </c>
      <c r="F33" s="164">
        <v>0</v>
      </c>
      <c r="G33" s="164">
        <v>0</v>
      </c>
      <c r="H33" s="169">
        <v>0</v>
      </c>
      <c r="I33" s="169">
        <v>1</v>
      </c>
      <c r="J33" s="169">
        <v>1</v>
      </c>
      <c r="K33" s="169">
        <v>1</v>
      </c>
      <c r="L33" s="169">
        <v>1</v>
      </c>
      <c r="M33" s="169">
        <v>1</v>
      </c>
      <c r="N33" s="164">
        <v>1</v>
      </c>
      <c r="O33" s="164">
        <v>1</v>
      </c>
      <c r="P33" s="164">
        <v>1</v>
      </c>
      <c r="Q33" s="164">
        <v>1</v>
      </c>
      <c r="R33" s="164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</row>
    <row r="34" spans="1:28" ht="15.6">
      <c r="A34" s="164"/>
      <c r="B34" s="164" t="s">
        <v>203</v>
      </c>
      <c r="C34" s="166"/>
      <c r="D34" s="164">
        <v>0</v>
      </c>
      <c r="E34" s="164">
        <v>0</v>
      </c>
      <c r="F34" s="164">
        <v>0</v>
      </c>
      <c r="G34" s="164">
        <v>0</v>
      </c>
      <c r="H34" s="169">
        <v>0</v>
      </c>
      <c r="I34" s="169">
        <v>1</v>
      </c>
      <c r="J34" s="169">
        <v>1</v>
      </c>
      <c r="K34" s="169">
        <v>1</v>
      </c>
      <c r="L34" s="169">
        <v>1</v>
      </c>
      <c r="M34" s="169">
        <v>1</v>
      </c>
      <c r="N34" s="164">
        <v>1</v>
      </c>
      <c r="O34" s="164">
        <v>1</v>
      </c>
      <c r="P34" s="164">
        <v>1</v>
      </c>
      <c r="Q34" s="164">
        <v>1</v>
      </c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</row>
    <row r="35" spans="1:28" ht="15.6">
      <c r="A35" s="164"/>
      <c r="B35" s="164" t="s">
        <v>58</v>
      </c>
      <c r="C35" s="166"/>
      <c r="D35" s="164"/>
      <c r="E35" s="164"/>
      <c r="F35" s="164"/>
      <c r="G35" s="164"/>
      <c r="H35" s="164">
        <v>2</v>
      </c>
      <c r="I35" s="164">
        <v>2</v>
      </c>
      <c r="J35" s="164">
        <v>2</v>
      </c>
      <c r="K35" s="164">
        <v>2</v>
      </c>
      <c r="L35" s="164">
        <v>2</v>
      </c>
      <c r="M35" s="164">
        <v>2</v>
      </c>
      <c r="N35" s="164">
        <v>2</v>
      </c>
      <c r="O35" s="164">
        <v>2</v>
      </c>
      <c r="P35" s="164">
        <v>2</v>
      </c>
      <c r="Q35" s="164">
        <v>2</v>
      </c>
      <c r="R35" s="164"/>
      <c r="S35" s="164"/>
      <c r="T35" s="164"/>
      <c r="U35" s="164"/>
      <c r="V35" s="164"/>
      <c r="W35" s="164"/>
      <c r="X35" s="164"/>
      <c r="Y35" s="164"/>
      <c r="Z35" s="164"/>
      <c r="AA35" s="164"/>
      <c r="AB35" s="164"/>
    </row>
    <row r="36" spans="1:28" s="171" customFormat="1" ht="15.6">
      <c r="A36" s="170"/>
      <c r="B36" s="170" t="s">
        <v>52</v>
      </c>
      <c r="C36" s="175"/>
      <c r="D36" s="172">
        <f t="shared" ref="D36:Q36" si="7">SUM(D33:D35)</f>
        <v>0</v>
      </c>
      <c r="E36" s="172">
        <f t="shared" si="7"/>
        <v>0</v>
      </c>
      <c r="F36" s="176">
        <f t="shared" si="7"/>
        <v>0</v>
      </c>
      <c r="G36" s="176">
        <f t="shared" si="7"/>
        <v>0</v>
      </c>
      <c r="H36" s="176">
        <f t="shared" si="7"/>
        <v>2</v>
      </c>
      <c r="I36" s="176">
        <f t="shared" si="7"/>
        <v>4</v>
      </c>
      <c r="J36" s="176">
        <f t="shared" si="7"/>
        <v>4</v>
      </c>
      <c r="K36" s="176">
        <f t="shared" si="7"/>
        <v>4</v>
      </c>
      <c r="L36" s="176">
        <f t="shared" si="7"/>
        <v>4</v>
      </c>
      <c r="M36" s="176">
        <f t="shared" si="7"/>
        <v>4</v>
      </c>
      <c r="N36" s="176">
        <f t="shared" si="7"/>
        <v>4</v>
      </c>
      <c r="O36" s="176">
        <f t="shared" si="7"/>
        <v>4</v>
      </c>
      <c r="P36" s="176">
        <f t="shared" si="7"/>
        <v>4</v>
      </c>
      <c r="Q36" s="176">
        <f t="shared" si="7"/>
        <v>4</v>
      </c>
      <c r="R36" s="170"/>
      <c r="S36" s="170"/>
      <c r="T36" s="170"/>
      <c r="U36" s="170"/>
      <c r="V36" s="170"/>
      <c r="W36" s="170"/>
      <c r="X36" s="170"/>
      <c r="Y36" s="170"/>
      <c r="Z36" s="170"/>
      <c r="AA36" s="170"/>
      <c r="AB36" s="170"/>
    </row>
    <row r="37" spans="1:28" ht="31.2">
      <c r="A37" s="164" t="s">
        <v>53</v>
      </c>
      <c r="B37" s="164">
        <v>500</v>
      </c>
      <c r="C37" s="166"/>
      <c r="D37" s="164"/>
      <c r="E37" s="164"/>
      <c r="F37" s="164"/>
      <c r="G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  <c r="AB37" s="164"/>
    </row>
    <row r="38" spans="1:28" ht="15.6">
      <c r="A38" s="164" t="s">
        <v>54</v>
      </c>
      <c r="B38" s="164" t="s">
        <v>200</v>
      </c>
      <c r="C38" s="173">
        <f>SUM(D38:Q38)</f>
        <v>19000</v>
      </c>
      <c r="D38" s="164">
        <f t="shared" ref="D38:Q38" si="8">$B37*D36</f>
        <v>0</v>
      </c>
      <c r="E38" s="164">
        <f t="shared" si="8"/>
        <v>0</v>
      </c>
      <c r="F38" s="164">
        <f t="shared" si="8"/>
        <v>0</v>
      </c>
      <c r="G38" s="164">
        <f t="shared" si="8"/>
        <v>0</v>
      </c>
      <c r="H38" s="164">
        <f t="shared" si="8"/>
        <v>1000</v>
      </c>
      <c r="I38" s="164">
        <f t="shared" si="8"/>
        <v>2000</v>
      </c>
      <c r="J38" s="164">
        <f t="shared" si="8"/>
        <v>2000</v>
      </c>
      <c r="K38" s="164">
        <f t="shared" si="8"/>
        <v>2000</v>
      </c>
      <c r="L38" s="164">
        <f t="shared" si="8"/>
        <v>2000</v>
      </c>
      <c r="M38" s="164">
        <f t="shared" si="8"/>
        <v>2000</v>
      </c>
      <c r="N38" s="164">
        <f t="shared" si="8"/>
        <v>2000</v>
      </c>
      <c r="O38" s="164">
        <f t="shared" si="8"/>
        <v>2000</v>
      </c>
      <c r="P38" s="164">
        <f t="shared" si="8"/>
        <v>2000</v>
      </c>
      <c r="Q38" s="164">
        <f t="shared" si="8"/>
        <v>2000</v>
      </c>
      <c r="R38" s="164"/>
      <c r="S38" s="164"/>
      <c r="T38" s="164"/>
      <c r="U38" s="164"/>
      <c r="V38" s="164"/>
      <c r="W38" s="164"/>
      <c r="X38" s="164"/>
      <c r="Y38" s="164"/>
      <c r="Z38" s="164"/>
      <c r="AA38" s="164"/>
      <c r="AB38" s="164"/>
    </row>
    <row r="39" spans="1:28" ht="15.6">
      <c r="A39" s="164"/>
      <c r="B39" s="164" t="s">
        <v>201</v>
      </c>
      <c r="C39" s="173">
        <f>C38</f>
        <v>19000</v>
      </c>
      <c r="D39" s="164"/>
      <c r="E39" s="164"/>
      <c r="F39" s="164"/>
      <c r="G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164"/>
    </row>
    <row r="40" spans="1:28" ht="15.6">
      <c r="A40" s="164"/>
      <c r="B40" s="103" t="s">
        <v>53</v>
      </c>
      <c r="C40" s="104"/>
      <c r="D40" s="105">
        <f>-SAP!B12/10^3</f>
        <v>445.11306492094855</v>
      </c>
      <c r="E40" s="106">
        <f>D40</f>
        <v>445.11306492094855</v>
      </c>
      <c r="F40" s="108">
        <f>E40*1.05</f>
        <v>467.36871816699602</v>
      </c>
      <c r="G40" s="106">
        <f>F40</f>
        <v>467.36871816699602</v>
      </c>
      <c r="H40" s="106">
        <f t="shared" ref="H40:Q40" si="9">G40</f>
        <v>467.36871816699602</v>
      </c>
      <c r="I40" s="106">
        <f t="shared" si="9"/>
        <v>467.36871816699602</v>
      </c>
      <c r="J40" s="106">
        <f t="shared" si="9"/>
        <v>467.36871816699602</v>
      </c>
      <c r="K40" s="106">
        <f t="shared" si="9"/>
        <v>467.36871816699602</v>
      </c>
      <c r="L40" s="106">
        <f t="shared" si="9"/>
        <v>467.36871816699602</v>
      </c>
      <c r="M40" s="106">
        <f t="shared" si="9"/>
        <v>467.36871816699602</v>
      </c>
      <c r="N40" s="106">
        <f t="shared" si="9"/>
        <v>467.36871816699602</v>
      </c>
      <c r="O40" s="106">
        <f t="shared" si="9"/>
        <v>467.36871816699602</v>
      </c>
      <c r="P40" s="106">
        <f t="shared" si="9"/>
        <v>467.36871816699602</v>
      </c>
      <c r="Q40" s="106">
        <f t="shared" si="9"/>
        <v>467.36871816699602</v>
      </c>
      <c r="R40" s="164"/>
      <c r="S40" s="164"/>
      <c r="T40" s="164"/>
      <c r="U40" s="164"/>
      <c r="V40" s="164"/>
      <c r="W40" s="164"/>
      <c r="X40" s="164"/>
      <c r="Y40" s="164"/>
      <c r="Z40" s="164"/>
      <c r="AA40" s="164"/>
      <c r="AB40" s="164"/>
    </row>
    <row r="41" spans="1:28" ht="15.6">
      <c r="A41" s="164"/>
      <c r="B41" s="104" t="s">
        <v>208</v>
      </c>
      <c r="C41" s="104"/>
      <c r="D41" s="107">
        <f>D36*D40</f>
        <v>0</v>
      </c>
      <c r="E41" s="107">
        <f t="shared" ref="E41:Q41" si="10">E36*E40</f>
        <v>0</v>
      </c>
      <c r="F41" s="107">
        <f t="shared" si="10"/>
        <v>0</v>
      </c>
      <c r="G41" s="107">
        <f t="shared" si="10"/>
        <v>0</v>
      </c>
      <c r="H41" s="107">
        <f t="shared" si="10"/>
        <v>934.73743633399204</v>
      </c>
      <c r="I41" s="107">
        <f t="shared" si="10"/>
        <v>1869.4748726679841</v>
      </c>
      <c r="J41" s="107">
        <f t="shared" si="10"/>
        <v>1869.4748726679841</v>
      </c>
      <c r="K41" s="107">
        <f t="shared" si="10"/>
        <v>1869.4748726679841</v>
      </c>
      <c r="L41" s="107">
        <f t="shared" si="10"/>
        <v>1869.4748726679841</v>
      </c>
      <c r="M41" s="107">
        <f t="shared" si="10"/>
        <v>1869.4748726679841</v>
      </c>
      <c r="N41" s="107">
        <f t="shared" si="10"/>
        <v>1869.4748726679841</v>
      </c>
      <c r="O41" s="107">
        <f t="shared" si="10"/>
        <v>1869.4748726679841</v>
      </c>
      <c r="P41" s="107">
        <f t="shared" si="10"/>
        <v>1869.4748726679841</v>
      </c>
      <c r="Q41" s="107">
        <f t="shared" si="10"/>
        <v>1869.4748726679841</v>
      </c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</row>
    <row r="42" spans="1:28" ht="15.6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</row>
    <row r="43" spans="1:28" ht="15.6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</row>
    <row r="44" spans="1:28" ht="15.6">
      <c r="A44" s="164"/>
      <c r="B44" s="164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</row>
    <row r="45" spans="1:28" ht="15.6">
      <c r="A45" s="164"/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</row>
    <row r="46" spans="1:28" ht="15.6">
      <c r="A46" s="164"/>
      <c r="B46" s="164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</row>
    <row r="47" spans="1:28" ht="15.6">
      <c r="A47" s="164"/>
      <c r="B47" s="164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</row>
    <row r="48" spans="1:28" ht="15.6">
      <c r="A48" s="164"/>
      <c r="B48" s="164"/>
      <c r="C48" s="164"/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</row>
    <row r="49" spans="1:28" ht="15.6">
      <c r="A49" s="164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</row>
    <row r="50" spans="1:28" ht="15.6">
      <c r="A50" s="164"/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</row>
    <row r="51" spans="1:28" ht="15.6">
      <c r="A51" s="164"/>
      <c r="B51" s="164"/>
      <c r="C51" s="164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</row>
    <row r="52" spans="1:28" ht="15.6">
      <c r="A52" s="164"/>
      <c r="B52" s="164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</row>
    <row r="53" spans="1:28" ht="15.6">
      <c r="A53" s="164"/>
      <c r="B53" s="164"/>
      <c r="C53" s="164"/>
      <c r="D53" s="164"/>
      <c r="E53" s="164"/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</row>
    <row r="54" spans="1:28" ht="15.6">
      <c r="A54" s="164"/>
      <c r="B54" s="164"/>
      <c r="C54" s="164"/>
      <c r="D54" s="164"/>
      <c r="E54" s="164"/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</row>
    <row r="55" spans="1:28" ht="15.6">
      <c r="A55" s="164"/>
      <c r="B55" s="164"/>
      <c r="C55" s="164"/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</row>
    <row r="56" spans="1:28" ht="15.6">
      <c r="A56" s="164"/>
      <c r="B56" s="164"/>
      <c r="C56" s="164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</row>
    <row r="57" spans="1:28" ht="15.6">
      <c r="A57" s="164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</row>
    <row r="58" spans="1:28" ht="15.6">
      <c r="A58" s="164"/>
      <c r="B58" s="164"/>
      <c r="C58" s="164"/>
      <c r="D58" s="164"/>
      <c r="E58" s="164"/>
      <c r="F58" s="164"/>
      <c r="G58" s="164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</row>
    <row r="59" spans="1:28" ht="15.6">
      <c r="A59" s="164"/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</row>
    <row r="60" spans="1:28" ht="15.6">
      <c r="A60" s="164"/>
      <c r="B60" s="164"/>
      <c r="C60" s="164"/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</row>
    <row r="61" spans="1:28" ht="15.6">
      <c r="A61" s="164"/>
      <c r="B61" s="164"/>
      <c r="C61" s="164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</row>
    <row r="62" spans="1:28" ht="15.6">
      <c r="A62" s="164"/>
      <c r="B62" s="164"/>
      <c r="C62" s="164"/>
      <c r="D62" s="164"/>
      <c r="E62" s="164"/>
      <c r="F62" s="164"/>
      <c r="G62" s="164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</row>
    <row r="63" spans="1:28" ht="15.6">
      <c r="A63" s="164"/>
      <c r="B63" s="164"/>
      <c r="C63" s="164"/>
      <c r="D63" s="164"/>
      <c r="E63" s="164"/>
      <c r="F63" s="164"/>
      <c r="G63" s="164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</row>
    <row r="64" spans="1:28" ht="15.6">
      <c r="A64" s="16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</row>
    <row r="65" spans="1:28" ht="15.6">
      <c r="A65" s="164"/>
      <c r="B65" s="164"/>
      <c r="C65" s="164"/>
      <c r="D65" s="164"/>
      <c r="E65" s="164"/>
      <c r="F65" s="164"/>
      <c r="G65" s="164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</row>
    <row r="66" spans="1:28" ht="15.6">
      <c r="A66" s="164"/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</row>
    <row r="67" spans="1:28" ht="15.6">
      <c r="A67" s="164"/>
      <c r="B67" s="164"/>
      <c r="C67" s="164"/>
      <c r="D67" s="164"/>
      <c r="E67" s="164"/>
      <c r="F67" s="164"/>
      <c r="G67" s="164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</row>
    <row r="68" spans="1:28" ht="15.6">
      <c r="A68" s="164"/>
      <c r="B68" s="164"/>
      <c r="C68" s="164"/>
      <c r="D68" s="164"/>
      <c r="E68" s="164"/>
      <c r="F68" s="164"/>
      <c r="G68" s="164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</row>
    <row r="69" spans="1:28" ht="15.6">
      <c r="A69" s="164"/>
      <c r="B69" s="164"/>
      <c r="C69" s="164"/>
      <c r="D69" s="164"/>
      <c r="E69" s="164"/>
      <c r="F69" s="164"/>
      <c r="G69" s="164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</row>
    <row r="70" spans="1:28" ht="15.6">
      <c r="A70" s="164"/>
      <c r="B70" s="164"/>
      <c r="C70" s="16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</row>
    <row r="71" spans="1:28" ht="15.6">
      <c r="A71" s="164"/>
      <c r="B71" s="164"/>
      <c r="C71" s="164"/>
      <c r="D71" s="164"/>
      <c r="E71" s="164"/>
      <c r="F71" s="164"/>
      <c r="G71" s="164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</row>
    <row r="72" spans="1:28" ht="15.6">
      <c r="A72" s="164"/>
      <c r="B72" s="164"/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</row>
    <row r="73" spans="1:28" ht="15.6">
      <c r="A73" s="164"/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</row>
    <row r="74" spans="1:28" ht="15.6">
      <c r="A74" s="164"/>
      <c r="B74" s="164"/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</row>
    <row r="75" spans="1:28" ht="15.6">
      <c r="A75" s="164"/>
      <c r="B75" s="164"/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</row>
    <row r="76" spans="1:28" ht="15.6">
      <c r="A76" s="164"/>
      <c r="B76" s="164"/>
      <c r="C76" s="164"/>
      <c r="D76" s="164"/>
      <c r="E76" s="164"/>
      <c r="F76" s="164"/>
      <c r="G76" s="164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</row>
    <row r="77" spans="1:28" ht="15.6">
      <c r="A77" s="164"/>
      <c r="B77" s="164"/>
      <c r="C77" s="164"/>
      <c r="D77" s="164"/>
      <c r="E77" s="164"/>
      <c r="F77" s="164"/>
      <c r="G77" s="164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</row>
    <row r="78" spans="1:28" ht="15.6">
      <c r="A78" s="164"/>
      <c r="B78" s="164"/>
      <c r="C78" s="164"/>
      <c r="D78" s="164"/>
      <c r="E78" s="164"/>
      <c r="F78" s="164"/>
      <c r="G78" s="164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</row>
    <row r="79" spans="1:28" ht="15.6">
      <c r="A79" s="164"/>
      <c r="B79" s="164"/>
      <c r="C79" s="164"/>
      <c r="D79" s="164"/>
      <c r="E79" s="164"/>
      <c r="F79" s="164"/>
      <c r="G79" s="164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</row>
    <row r="80" spans="1:28" ht="15.6">
      <c r="A80" s="164"/>
      <c r="B80" s="164"/>
      <c r="C80" s="16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</row>
    <row r="81" spans="1:28" ht="15.6">
      <c r="A81" s="164"/>
      <c r="B81" s="164"/>
      <c r="C81" s="16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</row>
    <row r="82" spans="1:28" ht="15.6">
      <c r="A82" s="164"/>
      <c r="B82" s="164"/>
      <c r="C82" s="164"/>
      <c r="D82" s="164"/>
      <c r="E82" s="164"/>
      <c r="F82" s="164"/>
      <c r="G82" s="164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</row>
    <row r="83" spans="1:28" ht="15.6">
      <c r="A83" s="164"/>
      <c r="B83" s="164"/>
      <c r="C83" s="164"/>
      <c r="D83" s="164"/>
      <c r="E83" s="164"/>
      <c r="F83" s="164"/>
      <c r="G83" s="164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/>
      <c r="AB83" s="164"/>
    </row>
    <row r="84" spans="1:28" ht="15.6">
      <c r="A84" s="164"/>
      <c r="B84" s="164"/>
      <c r="C84" s="164"/>
      <c r="D84" s="164"/>
      <c r="E84" s="164"/>
      <c r="F84" s="164"/>
      <c r="G84" s="164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/>
      <c r="AB84" s="164"/>
    </row>
    <row r="85" spans="1:28" ht="15.6">
      <c r="A85" s="164"/>
      <c r="B85" s="164"/>
      <c r="C85" s="164"/>
      <c r="D85" s="164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</row>
    <row r="86" spans="1:28" ht="15.6">
      <c r="A86" s="16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</row>
    <row r="87" spans="1:28" ht="15.6">
      <c r="A87" s="164"/>
      <c r="B87" s="164"/>
      <c r="C87" s="164"/>
      <c r="D87" s="164"/>
      <c r="E87" s="164"/>
      <c r="F87" s="164"/>
      <c r="G87" s="164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</row>
    <row r="88" spans="1:28" ht="15.6">
      <c r="A88" s="164"/>
      <c r="B88" s="164"/>
      <c r="C88" s="164"/>
      <c r="D88" s="164"/>
      <c r="E88" s="164"/>
      <c r="F88" s="164"/>
      <c r="G88" s="164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</row>
    <row r="89" spans="1:28" ht="15.6">
      <c r="A89" s="164"/>
      <c r="B89" s="164"/>
      <c r="C89" s="164"/>
      <c r="D89" s="164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</row>
    <row r="90" spans="1:28" ht="15.6">
      <c r="A90" s="164"/>
      <c r="B90" s="164"/>
      <c r="C90" s="164"/>
      <c r="D90" s="164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</row>
    <row r="91" spans="1:28" ht="15.6">
      <c r="A91" s="164"/>
      <c r="B91" s="164"/>
      <c r="C91" s="164"/>
      <c r="D91" s="164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</row>
    <row r="92" spans="1:28" ht="15.6">
      <c r="A92" s="164"/>
      <c r="B92" s="164"/>
      <c r="C92" s="164"/>
      <c r="D92" s="164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</row>
    <row r="93" spans="1:28" ht="15.6">
      <c r="A93" s="164"/>
      <c r="B93" s="164"/>
      <c r="C93" s="164"/>
      <c r="D93" s="164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</row>
    <row r="94" spans="1:28" ht="15.6">
      <c r="A94" s="164"/>
      <c r="B94" s="164"/>
      <c r="C94" s="164"/>
      <c r="D94" s="164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</row>
    <row r="95" spans="1:28" ht="15.6">
      <c r="A95" s="164"/>
      <c r="B95" s="164"/>
      <c r="C95" s="164"/>
      <c r="D95" s="164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</row>
    <row r="96" spans="1:28" ht="15.6">
      <c r="A96" s="164"/>
      <c r="B96" s="164"/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</row>
    <row r="97" spans="1:28" ht="15.6">
      <c r="A97" s="164"/>
      <c r="B97" s="164"/>
      <c r="C97" s="164"/>
      <c r="D97" s="164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</row>
    <row r="98" spans="1:28" ht="15.6">
      <c r="A98" s="164"/>
      <c r="B98" s="164"/>
      <c r="C98" s="164"/>
      <c r="D98" s="164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</row>
    <row r="99" spans="1:28" ht="15.6">
      <c r="A99" s="164"/>
      <c r="B99" s="164"/>
      <c r="C99" s="164"/>
      <c r="D99" s="164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</row>
    <row r="100" spans="1:28" ht="15.6">
      <c r="A100" s="164"/>
      <c r="B100" s="164"/>
      <c r="C100" s="164"/>
      <c r="D100" s="164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</row>
    <row r="101" spans="1:28" ht="15.6">
      <c r="A101" s="164"/>
      <c r="B101" s="164"/>
      <c r="C101" s="164"/>
      <c r="D101" s="164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</row>
    <row r="102" spans="1:28" ht="15.6">
      <c r="A102" s="164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</row>
    <row r="103" spans="1:28" ht="15.6">
      <c r="A103" s="164"/>
      <c r="B103" s="164"/>
      <c r="C103" s="164"/>
      <c r="D103" s="164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</row>
    <row r="104" spans="1:28" ht="15.6">
      <c r="A104" s="164"/>
      <c r="B104" s="164"/>
      <c r="C104" s="164"/>
      <c r="D104" s="164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</row>
    <row r="105" spans="1:28" ht="15.6">
      <c r="A105" s="164"/>
      <c r="B105" s="164"/>
      <c r="C105" s="164"/>
      <c r="D105" s="164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</row>
    <row r="106" spans="1:28" ht="15.6">
      <c r="A106" s="164"/>
      <c r="B106" s="164"/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</row>
    <row r="107" spans="1:28" ht="15.6">
      <c r="A107" s="164"/>
      <c r="B107" s="164"/>
      <c r="C107" s="164"/>
      <c r="D107" s="164"/>
      <c r="E107" s="164"/>
      <c r="F107" s="164"/>
      <c r="G107" s="164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164"/>
    </row>
    <row r="108" spans="1:28" ht="15.6">
      <c r="A108" s="16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</row>
    <row r="109" spans="1:28" ht="15.6">
      <c r="A109" s="164"/>
      <c r="B109" s="164"/>
      <c r="C109" s="164"/>
      <c r="D109" s="164"/>
      <c r="E109" s="164"/>
      <c r="F109" s="164"/>
      <c r="G109" s="164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  <c r="AA109" s="164"/>
      <c r="AB109" s="164"/>
    </row>
    <row r="110" spans="1:28" ht="15.6">
      <c r="A110" s="164"/>
      <c r="B110" s="164"/>
      <c r="C110" s="164"/>
      <c r="D110" s="164"/>
      <c r="E110" s="164"/>
      <c r="F110" s="164"/>
      <c r="G110" s="164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  <c r="AB110" s="164"/>
    </row>
    <row r="111" spans="1:28" ht="15.6">
      <c r="A111" s="164"/>
      <c r="B111" s="164"/>
      <c r="C111" s="164"/>
      <c r="D111" s="164"/>
      <c r="E111" s="164"/>
      <c r="F111" s="164"/>
      <c r="G111" s="164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164"/>
    </row>
    <row r="112" spans="1:28" ht="15.6">
      <c r="A112" s="164"/>
      <c r="B112" s="164"/>
      <c r="C112" s="164"/>
      <c r="D112" s="164"/>
      <c r="E112" s="164"/>
      <c r="F112" s="164"/>
      <c r="G112" s="164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/>
      <c r="AB112" s="164"/>
    </row>
    <row r="113" spans="1:28" ht="15.6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/>
      <c r="AB113" s="164"/>
    </row>
    <row r="114" spans="1:28" ht="15.6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/>
      <c r="AB114" s="164"/>
    </row>
    <row r="115" spans="1:28" ht="15.6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/>
      <c r="AB115" s="164"/>
    </row>
    <row r="116" spans="1:28" ht="15.6">
      <c r="A116" s="164"/>
      <c r="B116" s="164"/>
      <c r="C116" s="164"/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/>
      <c r="AB116" s="164"/>
    </row>
    <row r="117" spans="1:28" ht="15.6">
      <c r="A117" s="164"/>
      <c r="B117" s="164"/>
      <c r="C117" s="164"/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  <c r="AB117" s="164"/>
    </row>
    <row r="118" spans="1:28" ht="15.6">
      <c r="A118" s="164"/>
      <c r="B118" s="164"/>
      <c r="C118" s="164"/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164"/>
    </row>
    <row r="119" spans="1:28" ht="15.6">
      <c r="A119" s="164"/>
      <c r="B119" s="164"/>
      <c r="C119" s="164"/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</row>
    <row r="120" spans="1:28" ht="15.6">
      <c r="A120" s="164"/>
      <c r="B120" s="164"/>
      <c r="C120" s="164"/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</row>
    <row r="121" spans="1:28" ht="15.6">
      <c r="A121" s="164"/>
      <c r="B121" s="164"/>
      <c r="C121" s="164"/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</row>
    <row r="122" spans="1:28" ht="15.6">
      <c r="A122" s="164"/>
      <c r="B122" s="164"/>
      <c r="C122" s="164"/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</row>
    <row r="123" spans="1:28" ht="15.6">
      <c r="A123" s="164"/>
      <c r="B123" s="164"/>
      <c r="C123" s="164"/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164"/>
    </row>
    <row r="124" spans="1:28" ht="15.6">
      <c r="A124" s="164"/>
      <c r="B124" s="164"/>
      <c r="C124" s="164"/>
      <c r="D124" s="164"/>
      <c r="E124" s="164"/>
      <c r="F124" s="164"/>
      <c r="G124" s="164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/>
      <c r="AB124" s="164"/>
    </row>
    <row r="125" spans="1:28" ht="15.6">
      <c r="A125" s="164"/>
      <c r="B125" s="164"/>
      <c r="C125" s="16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</row>
    <row r="126" spans="1:28" ht="15.6">
      <c r="A126" s="164"/>
      <c r="B126" s="164"/>
      <c r="C126" s="164"/>
      <c r="D126" s="164"/>
      <c r="E126" s="164"/>
      <c r="F126" s="164"/>
      <c r="G126" s="164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</row>
    <row r="127" spans="1:28" ht="15.6">
      <c r="A127" s="164"/>
      <c r="B127" s="164"/>
      <c r="C127" s="164"/>
      <c r="D127" s="164"/>
      <c r="E127" s="164"/>
      <c r="F127" s="164"/>
      <c r="G127" s="164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/>
      <c r="AB127" s="164"/>
    </row>
    <row r="128" spans="1:28" ht="15.6">
      <c r="A128" s="164"/>
      <c r="B128" s="164"/>
      <c r="C128" s="164"/>
      <c r="D128" s="164"/>
      <c r="E128" s="164"/>
      <c r="F128" s="164"/>
      <c r="G128" s="164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/>
      <c r="AB128" s="164"/>
    </row>
    <row r="129" spans="1:28" ht="15.6">
      <c r="A129" s="164"/>
      <c r="B129" s="164"/>
      <c r="C129" s="164"/>
      <c r="D129" s="164"/>
      <c r="E129" s="164"/>
      <c r="F129" s="164"/>
      <c r="G129" s="164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/>
      <c r="AB129" s="164"/>
    </row>
    <row r="130" spans="1:28" ht="15.6">
      <c r="A130" s="164"/>
      <c r="B130" s="164"/>
      <c r="C130" s="164"/>
      <c r="D130" s="164"/>
      <c r="E130" s="164"/>
      <c r="F130" s="164"/>
      <c r="G130" s="164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</row>
    <row r="131" spans="1:28" ht="15.6">
      <c r="A131" s="164"/>
      <c r="B131" s="164"/>
      <c r="C131" s="164"/>
      <c r="D131" s="164"/>
      <c r="E131" s="164"/>
      <c r="F131" s="164"/>
      <c r="G131" s="164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</row>
    <row r="132" spans="1:28" ht="15.6">
      <c r="A132" s="164"/>
      <c r="B132" s="164"/>
      <c r="C132" s="164"/>
      <c r="D132" s="164"/>
      <c r="E132" s="164"/>
      <c r="F132" s="164"/>
      <c r="G132" s="164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</row>
    <row r="133" spans="1:28" ht="15.6">
      <c r="A133" s="164"/>
      <c r="B133" s="164"/>
      <c r="C133" s="164"/>
      <c r="D133" s="164"/>
      <c r="E133" s="164"/>
      <c r="F133" s="164"/>
      <c r="G133" s="164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</row>
    <row r="134" spans="1:28" ht="15.6">
      <c r="A134" s="164"/>
      <c r="B134" s="164"/>
      <c r="C134" s="164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</row>
    <row r="135" spans="1:28" ht="15.6">
      <c r="A135" s="164"/>
      <c r="B135" s="164"/>
      <c r="C135" s="164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</row>
    <row r="136" spans="1:28" ht="15.6">
      <c r="A136" s="164"/>
      <c r="B136" s="164"/>
      <c r="C136" s="164"/>
      <c r="D136" s="164"/>
      <c r="E136" s="164"/>
      <c r="F136" s="164"/>
      <c r="G136" s="164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</row>
    <row r="137" spans="1:28" ht="15.6">
      <c r="A137" s="164"/>
      <c r="B137" s="164"/>
      <c r="C137" s="164"/>
      <c r="D137" s="164"/>
      <c r="E137" s="164"/>
      <c r="F137" s="164"/>
      <c r="G137" s="164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</row>
    <row r="138" spans="1:28" ht="15.6">
      <c r="A138" s="164"/>
      <c r="B138" s="164"/>
      <c r="C138" s="164"/>
      <c r="D138" s="164"/>
      <c r="E138" s="164"/>
      <c r="F138" s="164"/>
      <c r="G138" s="164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</row>
    <row r="139" spans="1:28" ht="15.6">
      <c r="A139" s="164"/>
      <c r="B139" s="164"/>
      <c r="C139" s="164"/>
      <c r="D139" s="164"/>
      <c r="E139" s="164"/>
      <c r="F139" s="164"/>
      <c r="G139" s="164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</row>
    <row r="140" spans="1:28" ht="15.6">
      <c r="A140" s="164"/>
      <c r="B140" s="164"/>
      <c r="C140" s="164"/>
      <c r="D140" s="164"/>
      <c r="E140" s="164"/>
      <c r="F140" s="164"/>
      <c r="G140" s="164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</row>
    <row r="141" spans="1:28" ht="15.6">
      <c r="A141" s="164"/>
      <c r="B141" s="164"/>
      <c r="C141" s="164"/>
      <c r="D141" s="164"/>
      <c r="E141" s="164"/>
      <c r="F141" s="164"/>
      <c r="G141" s="164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</row>
    <row r="142" spans="1:28" ht="15.6">
      <c r="A142" s="164"/>
      <c r="B142" s="164"/>
      <c r="C142" s="164"/>
      <c r="D142" s="164"/>
      <c r="E142" s="164"/>
      <c r="F142" s="164"/>
      <c r="G142" s="164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</row>
    <row r="143" spans="1:28" ht="15.6">
      <c r="A143" s="164"/>
      <c r="B143" s="164"/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</row>
    <row r="144" spans="1:28" ht="15.6">
      <c r="A144" s="164"/>
      <c r="B144" s="164"/>
      <c r="C144" s="164"/>
      <c r="D144" s="164"/>
      <c r="E144" s="164"/>
      <c r="F144" s="164"/>
      <c r="G144" s="164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</row>
    <row r="145" spans="1:28" ht="15.6">
      <c r="A145" s="164"/>
      <c r="B145" s="164"/>
      <c r="C145" s="164"/>
      <c r="D145" s="164"/>
      <c r="E145" s="164"/>
      <c r="F145" s="164"/>
      <c r="G145" s="164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</row>
    <row r="146" spans="1:28" ht="15.6">
      <c r="A146" s="164"/>
      <c r="B146" s="164"/>
      <c r="C146" s="164"/>
      <c r="D146" s="164"/>
      <c r="E146" s="164"/>
      <c r="F146" s="164"/>
      <c r="G146" s="164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</row>
    <row r="147" spans="1:28" ht="15.6">
      <c r="A147" s="164"/>
      <c r="B147" s="164"/>
      <c r="C147" s="164"/>
      <c r="D147" s="164"/>
      <c r="E147" s="164"/>
      <c r="F147" s="164"/>
      <c r="G147" s="164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</row>
    <row r="148" spans="1:28" ht="15.6">
      <c r="A148" s="164"/>
      <c r="B148" s="164"/>
      <c r="C148" s="164"/>
      <c r="D148" s="164"/>
      <c r="E148" s="164"/>
      <c r="F148" s="164"/>
      <c r="G148" s="164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</row>
    <row r="149" spans="1:28" ht="15.6">
      <c r="A149" s="164"/>
      <c r="B149" s="164"/>
      <c r="C149" s="164"/>
      <c r="D149" s="164"/>
      <c r="E149" s="164"/>
      <c r="F149" s="164"/>
      <c r="G149" s="164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</row>
    <row r="150" spans="1:28" ht="15.6">
      <c r="A150" s="164"/>
      <c r="B150" s="164"/>
      <c r="C150" s="164"/>
      <c r="D150" s="164"/>
      <c r="E150" s="164"/>
      <c r="F150" s="164"/>
      <c r="G150" s="164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</row>
    <row r="151" spans="1:28" ht="15.6">
      <c r="A151" s="164"/>
      <c r="B151" s="164"/>
      <c r="C151" s="164"/>
      <c r="D151" s="164"/>
      <c r="E151" s="164"/>
      <c r="F151" s="164"/>
      <c r="G151" s="164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</row>
    <row r="152" spans="1:28" ht="15.6">
      <c r="A152" s="164"/>
      <c r="B152" s="164"/>
      <c r="C152" s="164"/>
      <c r="D152" s="164"/>
      <c r="E152" s="164"/>
      <c r="F152" s="164"/>
      <c r="G152" s="164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</row>
    <row r="153" spans="1:28" ht="15.6">
      <c r="A153" s="164"/>
      <c r="B153" s="164"/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</row>
    <row r="154" spans="1:28" ht="15.6">
      <c r="A154" s="164"/>
      <c r="B154" s="164"/>
      <c r="C154" s="164"/>
      <c r="D154" s="164"/>
      <c r="E154" s="164"/>
      <c r="F154" s="164"/>
      <c r="G154" s="164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</row>
    <row r="155" spans="1:28" ht="15.6">
      <c r="A155" s="164"/>
      <c r="B155" s="164"/>
      <c r="C155" s="164"/>
      <c r="D155" s="164"/>
      <c r="E155" s="164"/>
      <c r="F155" s="164"/>
      <c r="G155" s="164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</row>
    <row r="156" spans="1:28" ht="15.6">
      <c r="A156" s="164"/>
      <c r="B156" s="164"/>
      <c r="C156" s="164"/>
      <c r="D156" s="164"/>
      <c r="E156" s="164"/>
      <c r="F156" s="164"/>
      <c r="G156" s="164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/>
      <c r="AB156" s="164"/>
    </row>
    <row r="157" spans="1:28" ht="15.6">
      <c r="A157" s="164"/>
      <c r="B157" s="164"/>
      <c r="C157" s="164"/>
      <c r="D157" s="164"/>
      <c r="E157" s="164"/>
      <c r="F157" s="164"/>
      <c r="G157" s="164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/>
      <c r="AB157" s="164"/>
    </row>
    <row r="158" spans="1:28" ht="15.6">
      <c r="A158" s="164"/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</row>
    <row r="159" spans="1:28" ht="15.6">
      <c r="A159" s="164"/>
      <c r="B159" s="164"/>
      <c r="C159" s="164"/>
      <c r="D159" s="164"/>
      <c r="E159" s="164"/>
      <c r="F159" s="164"/>
      <c r="G159" s="164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/>
      <c r="AB159" s="164"/>
    </row>
    <row r="160" spans="1:28" ht="15.6">
      <c r="A160" s="164"/>
      <c r="B160" s="164"/>
      <c r="C160" s="164"/>
      <c r="D160" s="164"/>
      <c r="E160" s="164"/>
      <c r="F160" s="164"/>
      <c r="G160" s="164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/>
      <c r="AB160" s="164"/>
    </row>
    <row r="161" spans="1:28" ht="15.6">
      <c r="A161" s="164"/>
      <c r="B161" s="164"/>
      <c r="C161" s="164"/>
      <c r="D161" s="164"/>
      <c r="E161" s="164"/>
      <c r="F161" s="164"/>
      <c r="G161" s="164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/>
      <c r="AB161" s="164"/>
    </row>
    <row r="162" spans="1:28" ht="15.6">
      <c r="A162" s="164"/>
      <c r="B162" s="164"/>
      <c r="C162" s="164"/>
      <c r="D162" s="164"/>
      <c r="E162" s="164"/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/>
      <c r="AB162" s="164"/>
    </row>
    <row r="163" spans="1:28" ht="15.6">
      <c r="A163" s="164"/>
      <c r="B163" s="164"/>
      <c r="C163" s="164"/>
      <c r="D163" s="164"/>
      <c r="E163" s="164"/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</row>
    <row r="164" spans="1:28" ht="15.6">
      <c r="A164" s="164"/>
      <c r="B164" s="164"/>
      <c r="C164" s="164"/>
      <c r="D164" s="164"/>
      <c r="E164" s="164"/>
      <c r="F164" s="164"/>
      <c r="G164" s="164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/>
      <c r="AB164" s="164"/>
    </row>
    <row r="165" spans="1:28" ht="15.6">
      <c r="A165" s="164"/>
      <c r="B165" s="164"/>
      <c r="C165" s="164"/>
      <c r="D165" s="164"/>
      <c r="E165" s="164"/>
      <c r="F165" s="164"/>
      <c r="G165" s="164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/>
      <c r="AB165" s="164"/>
    </row>
    <row r="166" spans="1:28" ht="15.6">
      <c r="A166" s="164"/>
      <c r="B166" s="164"/>
      <c r="C166" s="164"/>
      <c r="D166" s="164"/>
      <c r="E166" s="164"/>
      <c r="F166" s="164"/>
      <c r="G166" s="164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/>
      <c r="AB166" s="164"/>
    </row>
    <row r="167" spans="1:28" ht="15.6">
      <c r="A167" s="164"/>
      <c r="B167" s="164"/>
      <c r="C167" s="164"/>
      <c r="D167" s="164"/>
      <c r="E167" s="164"/>
      <c r="F167" s="164"/>
      <c r="G167" s="164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/>
      <c r="AB167" s="164"/>
    </row>
    <row r="168" spans="1:28" ht="15.6">
      <c r="A168" s="164"/>
      <c r="B168" s="164"/>
      <c r="C168" s="164"/>
      <c r="D168" s="164"/>
      <c r="E168" s="164"/>
      <c r="F168" s="164"/>
      <c r="G168" s="164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</row>
    <row r="169" spans="1:28" ht="15.6">
      <c r="A169" s="164"/>
      <c r="B169" s="164"/>
      <c r="C169" s="164"/>
      <c r="D169" s="164"/>
      <c r="E169" s="164"/>
      <c r="F169" s="164"/>
      <c r="G169" s="164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</row>
    <row r="170" spans="1:28" ht="15.6">
      <c r="A170" s="164"/>
      <c r="B170" s="164"/>
      <c r="C170" s="164"/>
      <c r="D170" s="164"/>
      <c r="E170" s="164"/>
      <c r="F170" s="164"/>
      <c r="G170" s="164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  <c r="AA170" s="164"/>
      <c r="AB170" s="164"/>
    </row>
    <row r="171" spans="1:28" ht="15.6">
      <c r="A171" s="164"/>
      <c r="B171" s="164"/>
      <c r="C171" s="164"/>
      <c r="D171" s="164"/>
      <c r="E171" s="164"/>
      <c r="F171" s="164"/>
      <c r="G171" s="164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  <c r="AA171" s="164"/>
      <c r="AB171" s="164"/>
    </row>
    <row r="172" spans="1:28" ht="15.6">
      <c r="A172" s="164"/>
      <c r="B172" s="164"/>
      <c r="C172" s="164"/>
      <c r="D172" s="164"/>
      <c r="E172" s="164"/>
      <c r="F172" s="164"/>
      <c r="G172" s="164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  <c r="AA172" s="164"/>
      <c r="AB172" s="164"/>
    </row>
    <row r="173" spans="1:28" ht="15.6">
      <c r="A173" s="164"/>
      <c r="B173" s="164"/>
      <c r="C173" s="164"/>
      <c r="D173" s="164"/>
      <c r="E173" s="164"/>
      <c r="F173" s="164"/>
      <c r="G173" s="164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  <c r="AA173" s="164"/>
      <c r="AB173" s="164"/>
    </row>
    <row r="174" spans="1:28" ht="15.6">
      <c r="A174" s="164"/>
      <c r="B174" s="164"/>
      <c r="C174" s="164"/>
      <c r="D174" s="164"/>
      <c r="E174" s="164"/>
      <c r="F174" s="164"/>
      <c r="G174" s="164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  <c r="AA174" s="164"/>
      <c r="AB174" s="164"/>
    </row>
    <row r="175" spans="1:28" ht="15.6">
      <c r="A175" s="164"/>
      <c r="B175" s="164"/>
      <c r="C175" s="164"/>
      <c r="D175" s="164"/>
      <c r="E175" s="164"/>
      <c r="F175" s="164"/>
      <c r="G175" s="164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  <c r="AA175" s="164"/>
      <c r="AB175" s="164"/>
    </row>
    <row r="176" spans="1:28" ht="15.6">
      <c r="A176" s="164"/>
      <c r="B176" s="164"/>
      <c r="C176" s="164"/>
      <c r="D176" s="164"/>
      <c r="E176" s="164"/>
      <c r="F176" s="164"/>
      <c r="G176" s="164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  <c r="AA176" s="164"/>
      <c r="AB176" s="164"/>
    </row>
    <row r="177" spans="1:28" ht="15.6">
      <c r="A177" s="164"/>
      <c r="B177" s="164"/>
      <c r="C177" s="164"/>
      <c r="D177" s="164"/>
      <c r="E177" s="164"/>
      <c r="F177" s="164"/>
      <c r="G177" s="164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  <c r="AA177" s="164"/>
      <c r="AB177" s="164"/>
    </row>
    <row r="178" spans="1:28" ht="15.6">
      <c r="A178" s="164"/>
      <c r="B178" s="164"/>
      <c r="C178" s="164"/>
      <c r="D178" s="164"/>
      <c r="E178" s="164"/>
      <c r="F178" s="164"/>
      <c r="G178" s="164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  <c r="AA178" s="164"/>
      <c r="AB178" s="164"/>
    </row>
    <row r="179" spans="1:28" ht="15.6">
      <c r="A179" s="164"/>
      <c r="B179" s="164"/>
      <c r="C179" s="164"/>
      <c r="D179" s="164"/>
      <c r="E179" s="164"/>
      <c r="F179" s="164"/>
      <c r="G179" s="164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  <c r="AA179" s="164"/>
      <c r="AB179" s="164"/>
    </row>
    <row r="180" spans="1:28" ht="15.6">
      <c r="A180" s="164"/>
      <c r="B180" s="164"/>
      <c r="C180" s="164"/>
      <c r="D180" s="164"/>
      <c r="E180" s="164"/>
      <c r="F180" s="164"/>
      <c r="G180" s="164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  <c r="AA180" s="164"/>
      <c r="AB180" s="164"/>
    </row>
    <row r="181" spans="1:28" ht="15.6">
      <c r="A181" s="164"/>
      <c r="B181" s="164"/>
      <c r="C181" s="164"/>
      <c r="D181" s="164"/>
      <c r="E181" s="164"/>
      <c r="F181" s="164"/>
      <c r="G181" s="164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  <c r="AA181" s="164"/>
      <c r="AB181" s="164"/>
    </row>
    <row r="182" spans="1:28" ht="15.6">
      <c r="A182" s="164"/>
      <c r="B182" s="164"/>
      <c r="C182" s="164"/>
      <c r="D182" s="164"/>
      <c r="E182" s="164"/>
      <c r="F182" s="164"/>
      <c r="G182" s="164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  <c r="AA182" s="164"/>
      <c r="AB182" s="164"/>
    </row>
    <row r="183" spans="1:28" ht="15.6">
      <c r="A183" s="164"/>
      <c r="B183" s="164"/>
      <c r="C183" s="164"/>
      <c r="D183" s="164"/>
      <c r="E183" s="164"/>
      <c r="F183" s="164"/>
      <c r="G183" s="164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  <c r="AA183" s="164"/>
      <c r="AB183" s="164"/>
    </row>
    <row r="184" spans="1:28" ht="15.6">
      <c r="A184" s="164"/>
      <c r="B184" s="164"/>
      <c r="C184" s="164"/>
      <c r="D184" s="164"/>
      <c r="E184" s="164"/>
      <c r="F184" s="164"/>
      <c r="G184" s="164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  <c r="AA184" s="164"/>
      <c r="AB184" s="164"/>
    </row>
    <row r="185" spans="1:28" ht="15.6">
      <c r="A185" s="164"/>
      <c r="B185" s="164"/>
      <c r="C185" s="164"/>
      <c r="D185" s="164"/>
      <c r="E185" s="164"/>
      <c r="F185" s="164"/>
      <c r="G185" s="164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</row>
    <row r="186" spans="1:28" ht="15.6">
      <c r="A186" s="164"/>
      <c r="B186" s="164"/>
      <c r="C186" s="16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</row>
    <row r="187" spans="1:28" ht="15.6">
      <c r="A187" s="164"/>
      <c r="B187" s="164"/>
      <c r="C187" s="16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</row>
    <row r="188" spans="1:28" ht="15.6">
      <c r="A188" s="164"/>
      <c r="B188" s="164"/>
      <c r="C188" s="164"/>
      <c r="D188" s="164"/>
      <c r="E188" s="164"/>
      <c r="F188" s="164"/>
      <c r="G188" s="164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</row>
    <row r="189" spans="1:28" ht="15.6">
      <c r="A189" s="164"/>
      <c r="B189" s="164"/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</row>
    <row r="190" spans="1:28" ht="15.6">
      <c r="A190" s="164"/>
      <c r="B190" s="164"/>
      <c r="C190" s="164"/>
      <c r="D190" s="164"/>
      <c r="E190" s="164"/>
      <c r="F190" s="164"/>
      <c r="G190" s="164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</row>
    <row r="191" spans="1:28" ht="15.6">
      <c r="A191" s="164"/>
      <c r="B191" s="164"/>
      <c r="C191" s="164"/>
      <c r="D191" s="164"/>
      <c r="E191" s="164"/>
      <c r="F191" s="164"/>
      <c r="G191" s="164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  <c r="AA191" s="164"/>
      <c r="AB191" s="164"/>
    </row>
    <row r="192" spans="1:28" ht="15.6">
      <c r="A192" s="164"/>
      <c r="B192" s="164"/>
      <c r="C192" s="164"/>
      <c r="D192" s="164"/>
      <c r="E192" s="164"/>
      <c r="F192" s="164"/>
      <c r="G192" s="164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  <c r="AA192" s="164"/>
      <c r="AB192" s="164"/>
    </row>
    <row r="193" spans="1:28" ht="15.6">
      <c r="A193" s="164"/>
      <c r="B193" s="164"/>
      <c r="C193" s="164"/>
      <c r="D193" s="164"/>
      <c r="E193" s="164"/>
      <c r="F193" s="164"/>
      <c r="G193" s="164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  <c r="AA193" s="164"/>
      <c r="AB193" s="164"/>
    </row>
    <row r="194" spans="1:28" ht="15.6">
      <c r="A194" s="164"/>
      <c r="B194" s="164"/>
      <c r="C194" s="164"/>
      <c r="D194" s="164"/>
      <c r="E194" s="164"/>
      <c r="F194" s="164"/>
      <c r="G194" s="164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  <c r="AA194" s="164"/>
      <c r="AB194" s="164"/>
    </row>
    <row r="195" spans="1:28" ht="15.6">
      <c r="A195" s="164"/>
      <c r="B195" s="164"/>
      <c r="C195" s="164"/>
      <c r="D195" s="164"/>
      <c r="E195" s="164"/>
      <c r="F195" s="164"/>
      <c r="G195" s="164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  <c r="AA195" s="164"/>
      <c r="AB195" s="164"/>
    </row>
    <row r="196" spans="1:28" ht="15.6">
      <c r="A196" s="164"/>
      <c r="B196" s="164"/>
      <c r="C196" s="164"/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  <c r="AA196" s="164"/>
      <c r="AB196" s="164"/>
    </row>
    <row r="197" spans="1:28" ht="15.6">
      <c r="A197" s="164"/>
      <c r="B197" s="164"/>
      <c r="C197" s="164"/>
      <c r="D197" s="164"/>
      <c r="E197" s="164"/>
      <c r="F197" s="164"/>
      <c r="G197" s="164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  <c r="AA197" s="164"/>
      <c r="AB197" s="164"/>
    </row>
    <row r="198" spans="1:28" ht="15.6">
      <c r="A198" s="164"/>
      <c r="B198" s="164"/>
      <c r="C198" s="164"/>
      <c r="D198" s="164"/>
      <c r="E198" s="164"/>
      <c r="F198" s="164"/>
      <c r="G198" s="164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  <c r="AA198" s="164"/>
      <c r="AB198" s="164"/>
    </row>
    <row r="199" spans="1:28" ht="15.6">
      <c r="A199" s="164"/>
      <c r="B199" s="164"/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</row>
    <row r="200" spans="1:28" ht="15.6">
      <c r="A200" s="164"/>
      <c r="B200" s="164"/>
      <c r="C200" s="164"/>
      <c r="D200" s="164"/>
      <c r="E200" s="164"/>
      <c r="F200" s="164"/>
      <c r="G200" s="164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  <c r="AA200" s="164"/>
      <c r="AB200" s="164"/>
    </row>
    <row r="201" spans="1:28" ht="15.6">
      <c r="A201" s="164"/>
      <c r="B201" s="164"/>
      <c r="C201" s="164"/>
      <c r="D201" s="164"/>
      <c r="E201" s="164"/>
      <c r="F201" s="164"/>
      <c r="G201" s="164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  <c r="AA201" s="164"/>
      <c r="AB201" s="164"/>
    </row>
    <row r="202" spans="1:28" ht="15.6">
      <c r="A202" s="164"/>
      <c r="B202" s="164"/>
      <c r="C202" s="164"/>
      <c r="D202" s="164"/>
      <c r="E202" s="164"/>
      <c r="F202" s="164"/>
      <c r="G202" s="164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  <c r="AA202" s="164"/>
      <c r="AB202" s="164"/>
    </row>
    <row r="203" spans="1:28" ht="15.6">
      <c r="A203" s="164"/>
      <c r="B203" s="164"/>
      <c r="C203" s="164"/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  <c r="AA203" s="164"/>
      <c r="AB203" s="164"/>
    </row>
    <row r="204" spans="1:28" ht="15.6">
      <c r="A204" s="164"/>
      <c r="B204" s="164"/>
      <c r="C204" s="164"/>
      <c r="D204" s="164"/>
      <c r="E204" s="164"/>
      <c r="F204" s="164"/>
      <c r="G204" s="164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  <c r="AA204" s="164"/>
      <c r="AB204" s="164"/>
    </row>
    <row r="205" spans="1:28" ht="15.6">
      <c r="A205" s="164"/>
      <c r="B205" s="164"/>
      <c r="C205" s="164"/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  <c r="AA205" s="164"/>
      <c r="AB205" s="164"/>
    </row>
    <row r="206" spans="1:28" ht="15.6">
      <c r="A206" s="164"/>
      <c r="B206" s="164"/>
      <c r="C206" s="164"/>
      <c r="D206" s="164"/>
      <c r="E206" s="164"/>
      <c r="F206" s="164"/>
      <c r="G206" s="164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  <c r="AA206" s="164"/>
      <c r="AB206" s="164"/>
    </row>
    <row r="207" spans="1:28" ht="15.6">
      <c r="A207" s="164"/>
      <c r="B207" s="164"/>
      <c r="C207" s="164"/>
      <c r="D207" s="164"/>
      <c r="E207" s="164"/>
      <c r="F207" s="164"/>
      <c r="G207" s="164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  <c r="AA207" s="164"/>
      <c r="AB207" s="164"/>
    </row>
    <row r="208" spans="1:28" ht="15.6">
      <c r="A208" s="164"/>
      <c r="B208" s="164"/>
      <c r="C208" s="164"/>
      <c r="D208" s="164"/>
      <c r="E208" s="164"/>
      <c r="F208" s="164"/>
      <c r="G208" s="164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  <c r="AA208" s="164"/>
      <c r="AB208" s="164"/>
    </row>
    <row r="209" spans="1:28" ht="15.6">
      <c r="A209" s="164"/>
      <c r="B209" s="164"/>
      <c r="C209" s="164"/>
      <c r="D209" s="164"/>
      <c r="E209" s="164"/>
      <c r="F209" s="164"/>
      <c r="G209" s="164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  <c r="AA209" s="164"/>
      <c r="AB209" s="164"/>
    </row>
    <row r="210" spans="1:28" ht="15.6">
      <c r="A210" s="164"/>
      <c r="B210" s="164"/>
      <c r="C210" s="164"/>
      <c r="D210" s="164"/>
      <c r="E210" s="164"/>
      <c r="F210" s="164"/>
      <c r="G210" s="164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</row>
    <row r="211" spans="1:28" ht="15.6">
      <c r="A211" s="164"/>
      <c r="B211" s="164"/>
      <c r="C211" s="164"/>
      <c r="D211" s="164"/>
      <c r="E211" s="164"/>
      <c r="F211" s="164"/>
      <c r="G211" s="164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  <c r="AA211" s="164"/>
      <c r="AB211" s="164"/>
    </row>
    <row r="212" spans="1:28" ht="15.6">
      <c r="A212" s="164"/>
      <c r="B212" s="164"/>
      <c r="C212" s="164"/>
      <c r="D212" s="164"/>
      <c r="E212" s="164"/>
      <c r="F212" s="164"/>
      <c r="G212" s="164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  <c r="AA212" s="164"/>
      <c r="AB212" s="164"/>
    </row>
    <row r="213" spans="1:28" ht="15.6">
      <c r="A213" s="164"/>
      <c r="B213" s="164"/>
      <c r="C213" s="164"/>
      <c r="D213" s="164"/>
      <c r="E213" s="164"/>
      <c r="F213" s="164"/>
      <c r="G213" s="164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  <c r="AA213" s="164"/>
      <c r="AB213" s="164"/>
    </row>
    <row r="214" spans="1:28" ht="15.6">
      <c r="A214" s="164"/>
      <c r="B214" s="164"/>
      <c r="C214" s="164"/>
      <c r="D214" s="164"/>
      <c r="E214" s="164"/>
      <c r="F214" s="164"/>
      <c r="G214" s="164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</row>
    <row r="215" spans="1:28" ht="15.6">
      <c r="A215" s="164"/>
      <c r="B215" s="164"/>
      <c r="C215" s="164"/>
      <c r="D215" s="164"/>
      <c r="E215" s="164"/>
      <c r="F215" s="164"/>
      <c r="G215" s="164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  <c r="AA215" s="164"/>
      <c r="AB215" s="164"/>
    </row>
    <row r="216" spans="1:28" ht="15.6">
      <c r="A216" s="164"/>
      <c r="B216" s="164"/>
      <c r="C216" s="164"/>
      <c r="D216" s="164"/>
      <c r="E216" s="164"/>
      <c r="F216" s="164"/>
      <c r="G216" s="164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</row>
    <row r="217" spans="1:28" ht="15.6">
      <c r="A217" s="164"/>
      <c r="B217" s="164"/>
      <c r="C217" s="164"/>
      <c r="D217" s="164"/>
      <c r="E217" s="164"/>
      <c r="F217" s="164"/>
      <c r="G217" s="164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  <c r="AA217" s="164"/>
      <c r="AB217" s="164"/>
    </row>
    <row r="218" spans="1:28" ht="15.6">
      <c r="A218" s="164"/>
      <c r="B218" s="164"/>
      <c r="C218" s="164"/>
      <c r="D218" s="164"/>
      <c r="E218" s="164"/>
      <c r="F218" s="164"/>
      <c r="G218" s="164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</row>
    <row r="219" spans="1:28" ht="15.6">
      <c r="A219" s="164"/>
      <c r="B219" s="164"/>
      <c r="C219" s="164"/>
      <c r="D219" s="164"/>
      <c r="E219" s="164"/>
      <c r="F219" s="164"/>
      <c r="G219" s="164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  <c r="AA219" s="164"/>
      <c r="AB219" s="164"/>
    </row>
    <row r="220" spans="1:28" ht="15.6">
      <c r="A220" s="164"/>
      <c r="B220" s="164"/>
      <c r="C220" s="164"/>
      <c r="D220" s="164"/>
      <c r="E220" s="164"/>
      <c r="F220" s="164"/>
      <c r="G220" s="164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  <c r="AA220" s="164"/>
      <c r="AB220" s="164"/>
    </row>
    <row r="221" spans="1:28" ht="15.6">
      <c r="A221" s="164"/>
      <c r="B221" s="164"/>
      <c r="C221" s="164"/>
      <c r="D221" s="164"/>
      <c r="E221" s="164"/>
      <c r="F221" s="164"/>
      <c r="G221" s="164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  <c r="AA221" s="164"/>
      <c r="AB221" s="164"/>
    </row>
    <row r="222" spans="1:28" ht="15.6">
      <c r="A222" s="164"/>
      <c r="B222" s="164"/>
      <c r="C222" s="164"/>
      <c r="D222" s="164"/>
      <c r="E222" s="164"/>
      <c r="F222" s="164"/>
      <c r="G222" s="164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</row>
    <row r="223" spans="1:28" ht="15.6">
      <c r="A223" s="164"/>
      <c r="B223" s="164"/>
      <c r="C223" s="164"/>
      <c r="D223" s="164"/>
      <c r="E223" s="164"/>
      <c r="F223" s="164"/>
      <c r="G223" s="164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  <c r="AA223" s="164"/>
      <c r="AB223" s="164"/>
    </row>
    <row r="224" spans="1:28" ht="15.6">
      <c r="A224" s="164"/>
      <c r="B224" s="164"/>
      <c r="C224" s="164"/>
      <c r="D224" s="164"/>
      <c r="E224" s="164"/>
      <c r="F224" s="164"/>
      <c r="G224" s="164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</row>
    <row r="225" spans="1:28" ht="15.6">
      <c r="A225" s="164"/>
      <c r="B225" s="164"/>
      <c r="C225" s="164"/>
      <c r="D225" s="164"/>
      <c r="E225" s="164"/>
      <c r="F225" s="164"/>
      <c r="G225" s="164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  <c r="AA225" s="164"/>
      <c r="AB225" s="164"/>
    </row>
    <row r="226" spans="1:28" ht="15.6">
      <c r="A226" s="164"/>
      <c r="B226" s="164"/>
      <c r="C226" s="164"/>
      <c r="D226" s="164"/>
      <c r="E226" s="164"/>
      <c r="F226" s="164"/>
      <c r="G226" s="164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  <c r="AA226" s="164"/>
      <c r="AB226" s="164"/>
    </row>
    <row r="227" spans="1:28" ht="15.6">
      <c r="A227" s="164"/>
      <c r="B227" s="164"/>
      <c r="C227" s="164"/>
      <c r="D227" s="164"/>
      <c r="E227" s="164"/>
      <c r="F227" s="164"/>
      <c r="G227" s="164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  <c r="AA227" s="164"/>
      <c r="AB227" s="164"/>
    </row>
    <row r="228" spans="1:28" ht="15.6">
      <c r="A228" s="164"/>
      <c r="B228" s="164"/>
      <c r="C228" s="164"/>
      <c r="D228" s="164"/>
      <c r="E228" s="164"/>
      <c r="F228" s="164"/>
      <c r="G228" s="164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  <c r="AA228" s="164"/>
      <c r="AB228" s="164"/>
    </row>
    <row r="229" spans="1:28" ht="15.6">
      <c r="A229" s="164"/>
      <c r="B229" s="164"/>
      <c r="C229" s="164"/>
      <c r="D229" s="164"/>
      <c r="E229" s="164"/>
      <c r="F229" s="164"/>
      <c r="G229" s="164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  <c r="AA229" s="164"/>
      <c r="AB229" s="164"/>
    </row>
    <row r="230" spans="1:28" ht="15.6">
      <c r="A230" s="164"/>
      <c r="B230" s="164"/>
      <c r="C230" s="164"/>
      <c r="D230" s="164"/>
      <c r="E230" s="164"/>
      <c r="F230" s="164"/>
      <c r="G230" s="164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  <c r="AA230" s="164"/>
      <c r="AB230" s="164"/>
    </row>
    <row r="231" spans="1:28" ht="15.6">
      <c r="A231" s="164"/>
      <c r="B231" s="164"/>
      <c r="C231" s="164"/>
      <c r="D231" s="164"/>
      <c r="E231" s="164"/>
      <c r="F231" s="164"/>
      <c r="G231" s="164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  <c r="AA231" s="164"/>
      <c r="AB231" s="164"/>
    </row>
    <row r="232" spans="1:28" ht="15.6">
      <c r="A232" s="164"/>
      <c r="B232" s="164"/>
      <c r="C232" s="164"/>
      <c r="D232" s="164"/>
      <c r="E232" s="164"/>
      <c r="F232" s="164"/>
      <c r="G232" s="164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  <c r="AA232" s="164"/>
      <c r="AB232" s="164"/>
    </row>
    <row r="233" spans="1:28" ht="15.6">
      <c r="A233" s="164"/>
      <c r="B233" s="164"/>
      <c r="C233" s="164"/>
      <c r="D233" s="164"/>
      <c r="E233" s="164"/>
      <c r="F233" s="164"/>
      <c r="G233" s="164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  <c r="AA233" s="164"/>
      <c r="AB233" s="164"/>
    </row>
    <row r="234" spans="1:28" ht="15.6">
      <c r="A234" s="164"/>
      <c r="B234" s="164"/>
      <c r="C234" s="164"/>
      <c r="D234" s="164"/>
      <c r="E234" s="164"/>
      <c r="F234" s="164"/>
      <c r="G234" s="164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  <c r="AA234" s="164"/>
      <c r="AB234" s="164"/>
    </row>
    <row r="235" spans="1:28" ht="15.6">
      <c r="A235" s="164"/>
      <c r="B235" s="164"/>
      <c r="C235" s="164"/>
      <c r="D235" s="164"/>
      <c r="E235" s="164"/>
      <c r="F235" s="164"/>
      <c r="G235" s="164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  <c r="AA235" s="164"/>
      <c r="AB235" s="164"/>
    </row>
    <row r="236" spans="1:28" ht="15.6">
      <c r="A236" s="164"/>
      <c r="B236" s="164"/>
      <c r="C236" s="164"/>
      <c r="D236" s="164"/>
      <c r="E236" s="164"/>
      <c r="F236" s="164"/>
      <c r="G236" s="164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  <c r="AA236" s="164"/>
      <c r="AB236" s="164"/>
    </row>
    <row r="237" spans="1:28" ht="15.6">
      <c r="A237" s="164"/>
      <c r="B237" s="164"/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</row>
    <row r="238" spans="1:28" ht="15.6">
      <c r="A238" s="164"/>
      <c r="B238" s="164"/>
      <c r="C238" s="164"/>
      <c r="D238" s="164"/>
      <c r="E238" s="164"/>
      <c r="F238" s="164"/>
      <c r="G238" s="164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  <c r="AA238" s="164"/>
      <c r="AB238" s="164"/>
    </row>
    <row r="239" spans="1:28" ht="15.6">
      <c r="A239" s="164"/>
      <c r="B239" s="164"/>
      <c r="C239" s="164"/>
      <c r="D239" s="164"/>
      <c r="E239" s="164"/>
      <c r="F239" s="164"/>
      <c r="G239" s="164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  <c r="AA239" s="164"/>
      <c r="AB239" s="164"/>
    </row>
    <row r="240" spans="1:28" ht="15.6">
      <c r="A240" s="164"/>
      <c r="B240" s="164"/>
      <c r="C240" s="164"/>
      <c r="D240" s="164"/>
      <c r="E240" s="164"/>
      <c r="F240" s="164"/>
      <c r="G240" s="164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  <c r="AA240" s="164"/>
      <c r="AB240" s="164"/>
    </row>
    <row r="241" spans="1:28" ht="15.6">
      <c r="A241" s="164"/>
      <c r="B241" s="164"/>
      <c r="C241" s="164"/>
      <c r="D241" s="164"/>
      <c r="E241" s="164"/>
      <c r="F241" s="164"/>
      <c r="G241" s="164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  <c r="AA241" s="164"/>
      <c r="AB241" s="164"/>
    </row>
    <row r="242" spans="1:28" ht="15.6">
      <c r="A242" s="164"/>
      <c r="B242" s="164"/>
      <c r="C242" s="164"/>
      <c r="D242" s="164"/>
      <c r="E242" s="164"/>
      <c r="F242" s="164"/>
      <c r="G242" s="164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  <c r="AA242" s="164"/>
      <c r="AB242" s="164"/>
    </row>
    <row r="243" spans="1:28" ht="15.6">
      <c r="A243" s="164"/>
      <c r="B243" s="164"/>
      <c r="C243" s="164"/>
      <c r="D243" s="164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</row>
    <row r="244" spans="1:28" ht="15.6">
      <c r="A244" s="164"/>
      <c r="B244" s="164"/>
      <c r="C244" s="164"/>
      <c r="D244" s="164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</row>
    <row r="245" spans="1:28" ht="15.6">
      <c r="A245" s="164"/>
      <c r="B245" s="164"/>
      <c r="C245" s="164"/>
      <c r="D245" s="164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</row>
    <row r="246" spans="1:28" ht="15.6">
      <c r="A246" s="164"/>
      <c r="B246" s="164"/>
      <c r="C246" s="164"/>
      <c r="D246" s="164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</row>
    <row r="247" spans="1:28" ht="15.6">
      <c r="A247" s="164"/>
      <c r="B247" s="164"/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</row>
    <row r="248" spans="1:28" ht="15.6">
      <c r="A248" s="164"/>
      <c r="B248" s="164"/>
      <c r="C248" s="164"/>
      <c r="D248" s="164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</row>
    <row r="249" spans="1:28" ht="15.6">
      <c r="A249" s="164"/>
      <c r="B249" s="164"/>
      <c r="C249" s="164"/>
      <c r="D249" s="164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</row>
    <row r="250" spans="1:28" ht="15.6">
      <c r="A250" s="164"/>
      <c r="B250" s="164"/>
      <c r="C250" s="164"/>
      <c r="D250" s="164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</row>
    <row r="251" spans="1:28" ht="15.6">
      <c r="A251" s="164"/>
      <c r="B251" s="164"/>
      <c r="C251" s="164"/>
      <c r="D251" s="164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</row>
    <row r="252" spans="1:28" ht="15.6">
      <c r="A252" s="164"/>
      <c r="B252" s="164"/>
      <c r="C252" s="164"/>
      <c r="D252" s="164"/>
      <c r="E252" s="164"/>
      <c r="F252" s="164"/>
      <c r="G252" s="164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  <c r="AA252" s="164"/>
      <c r="AB252" s="164"/>
    </row>
    <row r="253" spans="1:28" ht="15.6">
      <c r="A253" s="164"/>
      <c r="B253" s="164"/>
      <c r="C253" s="164"/>
      <c r="D253" s="164"/>
      <c r="E253" s="164"/>
      <c r="F253" s="164"/>
      <c r="G253" s="164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  <c r="AA253" s="164"/>
      <c r="AB253" s="164"/>
    </row>
    <row r="254" spans="1:28" ht="15.6">
      <c r="A254" s="164"/>
      <c r="B254" s="164"/>
      <c r="C254" s="164"/>
      <c r="D254" s="164"/>
      <c r="E254" s="164"/>
      <c r="F254" s="164"/>
      <c r="G254" s="164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  <c r="AA254" s="164"/>
      <c r="AB254" s="164"/>
    </row>
    <row r="255" spans="1:28" ht="15.6">
      <c r="A255" s="164"/>
      <c r="B255" s="164"/>
      <c r="C255" s="164"/>
      <c r="D255" s="164"/>
      <c r="E255" s="164"/>
      <c r="F255" s="164"/>
      <c r="G255" s="164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  <c r="AA255" s="164"/>
      <c r="AB255" s="164"/>
    </row>
    <row r="256" spans="1:28" ht="15.6">
      <c r="A256" s="164"/>
      <c r="B256" s="164"/>
      <c r="C256" s="164"/>
      <c r="D256" s="164"/>
      <c r="E256" s="164"/>
      <c r="F256" s="164"/>
      <c r="G256" s="164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  <c r="AA256" s="164"/>
      <c r="AB256" s="164"/>
    </row>
    <row r="257" spans="1:28" ht="15.6">
      <c r="A257" s="164"/>
      <c r="B257" s="164"/>
      <c r="C257" s="164"/>
      <c r="D257" s="164"/>
      <c r="E257" s="164"/>
      <c r="F257" s="164"/>
      <c r="G257" s="164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  <c r="AA257" s="164"/>
      <c r="AB257" s="164"/>
    </row>
    <row r="258" spans="1:28" ht="15.6">
      <c r="A258" s="164"/>
      <c r="B258" s="164"/>
      <c r="C258" s="164"/>
      <c r="D258" s="164"/>
      <c r="E258" s="164"/>
      <c r="F258" s="164"/>
      <c r="G258" s="164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</row>
    <row r="259" spans="1:28" ht="15.6">
      <c r="A259" s="164"/>
      <c r="B259" s="164"/>
      <c r="C259" s="164"/>
      <c r="D259" s="164"/>
      <c r="E259" s="164"/>
      <c r="F259" s="164"/>
      <c r="G259" s="164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</row>
    <row r="260" spans="1:28" ht="15.6">
      <c r="A260" s="164"/>
      <c r="B260" s="164"/>
      <c r="C260" s="16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</row>
    <row r="261" spans="1:28" ht="15.6">
      <c r="A261" s="164"/>
      <c r="B261" s="164"/>
      <c r="C261" s="16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</row>
    <row r="262" spans="1:28" ht="15.6">
      <c r="A262" s="164"/>
      <c r="B262" s="164"/>
      <c r="C262" s="16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</row>
    <row r="263" spans="1:28" ht="15.6">
      <c r="A263" s="164"/>
      <c r="B263" s="164"/>
      <c r="C263" s="164"/>
      <c r="D263" s="164"/>
      <c r="E263" s="164"/>
      <c r="F263" s="164"/>
      <c r="G263" s="164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  <c r="AA263" s="164"/>
      <c r="AB263" s="164"/>
    </row>
    <row r="264" spans="1:28" ht="15.6">
      <c r="A264" s="164"/>
      <c r="B264" s="164"/>
      <c r="C264" s="164"/>
      <c r="D264" s="164"/>
      <c r="E264" s="164"/>
      <c r="F264" s="164"/>
      <c r="G264" s="164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  <c r="AA264" s="164"/>
      <c r="AB264" s="164"/>
    </row>
    <row r="265" spans="1:28" ht="15.6">
      <c r="A265" s="164"/>
      <c r="B265" s="164"/>
      <c r="C265" s="164"/>
      <c r="D265" s="164"/>
      <c r="E265" s="164"/>
      <c r="F265" s="164"/>
      <c r="G265" s="164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  <c r="AA265" s="164"/>
      <c r="AB265" s="164"/>
    </row>
    <row r="266" spans="1:28" ht="15.6">
      <c r="A266" s="164"/>
      <c r="B266" s="164"/>
      <c r="C266" s="164"/>
      <c r="D266" s="164"/>
      <c r="E266" s="164"/>
      <c r="F266" s="164"/>
      <c r="G266" s="164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  <c r="AA266" s="164"/>
      <c r="AB266" s="164"/>
    </row>
    <row r="267" spans="1:28" ht="15.6">
      <c r="A267" s="164"/>
      <c r="B267" s="164"/>
      <c r="C267" s="164"/>
      <c r="D267" s="164"/>
      <c r="E267" s="164"/>
      <c r="F267" s="164"/>
      <c r="G267" s="164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  <c r="AA267" s="164"/>
      <c r="AB267" s="164"/>
    </row>
    <row r="268" spans="1:28" ht="15.6">
      <c r="A268" s="164"/>
      <c r="B268" s="164"/>
      <c r="C268" s="164"/>
      <c r="D268" s="164"/>
      <c r="E268" s="164"/>
      <c r="F268" s="164"/>
      <c r="G268" s="164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  <c r="AA268" s="164"/>
      <c r="AB268" s="164"/>
    </row>
    <row r="269" spans="1:28" ht="15.6">
      <c r="A269" s="164"/>
      <c r="B269" s="164"/>
      <c r="C269" s="164"/>
      <c r="D269" s="164"/>
      <c r="E269" s="164"/>
      <c r="F269" s="164"/>
      <c r="G269" s="164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  <c r="AA269" s="164"/>
      <c r="AB269" s="164"/>
    </row>
    <row r="270" spans="1:28" ht="15.6">
      <c r="A270" s="164"/>
      <c r="B270" s="164"/>
      <c r="C270" s="164"/>
      <c r="D270" s="164"/>
      <c r="E270" s="164"/>
      <c r="F270" s="164"/>
      <c r="G270" s="164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  <c r="AA270" s="164"/>
      <c r="AB270" s="164"/>
    </row>
    <row r="271" spans="1:28" ht="15.6">
      <c r="A271" s="164"/>
      <c r="B271" s="164"/>
      <c r="C271" s="164"/>
      <c r="D271" s="164"/>
      <c r="E271" s="164"/>
      <c r="F271" s="164"/>
      <c r="G271" s="164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  <c r="AA271" s="164"/>
      <c r="AB271" s="164"/>
    </row>
    <row r="272" spans="1:28" ht="15.6">
      <c r="A272" s="164"/>
      <c r="B272" s="164"/>
      <c r="C272" s="164"/>
      <c r="D272" s="164"/>
      <c r="E272" s="164"/>
      <c r="F272" s="164"/>
      <c r="G272" s="164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  <c r="AA272" s="164"/>
      <c r="AB272" s="164"/>
    </row>
    <row r="273" spans="1:28" ht="15.6">
      <c r="A273" s="164"/>
      <c r="B273" s="164"/>
      <c r="C273" s="164"/>
      <c r="D273" s="164"/>
      <c r="E273" s="164"/>
      <c r="F273" s="164"/>
      <c r="G273" s="164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  <c r="AA273" s="164"/>
      <c r="AB273" s="164"/>
    </row>
    <row r="274" spans="1:28" ht="15.6">
      <c r="A274" s="164"/>
      <c r="B274" s="164"/>
      <c r="C274" s="164"/>
      <c r="D274" s="164"/>
      <c r="E274" s="164"/>
      <c r="F274" s="164"/>
      <c r="G274" s="164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  <c r="AA274" s="164"/>
      <c r="AB274" s="164"/>
    </row>
    <row r="275" spans="1:28" ht="15.6">
      <c r="A275" s="164"/>
      <c r="B275" s="164"/>
      <c r="C275" s="164"/>
      <c r="D275" s="164"/>
      <c r="E275" s="164"/>
      <c r="F275" s="164"/>
      <c r="G275" s="164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  <c r="AA275" s="164"/>
      <c r="AB275" s="164"/>
    </row>
    <row r="276" spans="1:28" ht="15.6">
      <c r="A276" s="164"/>
      <c r="B276" s="164"/>
      <c r="C276" s="164"/>
      <c r="D276" s="164"/>
      <c r="E276" s="164"/>
      <c r="F276" s="164"/>
      <c r="G276" s="164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  <c r="AA276" s="164"/>
      <c r="AB276" s="164"/>
    </row>
    <row r="277" spans="1:28" ht="15.6">
      <c r="A277" s="164"/>
      <c r="B277" s="164"/>
      <c r="C277" s="164"/>
      <c r="D277" s="164"/>
      <c r="E277" s="164"/>
      <c r="F277" s="164"/>
      <c r="G277" s="164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  <c r="AA277" s="164"/>
      <c r="AB277" s="164"/>
    </row>
    <row r="278" spans="1:28" ht="15.6">
      <c r="A278" s="164"/>
      <c r="B278" s="164"/>
      <c r="C278" s="164"/>
      <c r="D278" s="164"/>
      <c r="E278" s="164"/>
      <c r="F278" s="164"/>
      <c r="G278" s="164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  <c r="AA278" s="164"/>
      <c r="AB278" s="164"/>
    </row>
    <row r="279" spans="1:28" ht="15.6">
      <c r="A279" s="164"/>
      <c r="B279" s="164"/>
      <c r="C279" s="164"/>
      <c r="D279" s="164"/>
      <c r="E279" s="164"/>
      <c r="F279" s="164"/>
      <c r="G279" s="164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  <c r="AA279" s="164"/>
      <c r="AB279" s="164"/>
    </row>
    <row r="280" spans="1:28" ht="15.6">
      <c r="A280" s="164"/>
      <c r="B280" s="164"/>
      <c r="C280" s="164"/>
      <c r="D280" s="164"/>
      <c r="E280" s="164"/>
      <c r="F280" s="164"/>
      <c r="G280" s="164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  <c r="AA280" s="164"/>
      <c r="AB280" s="164"/>
    </row>
    <row r="281" spans="1:28" ht="15.6">
      <c r="A281" s="164"/>
      <c r="B281" s="164"/>
      <c r="C281" s="164"/>
      <c r="D281" s="164"/>
      <c r="E281" s="164"/>
      <c r="F281" s="164"/>
      <c r="G281" s="164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  <c r="AA281" s="164"/>
      <c r="AB281" s="164"/>
    </row>
    <row r="282" spans="1:28" ht="15.6">
      <c r="A282" s="164"/>
      <c r="B282" s="164"/>
      <c r="C282" s="16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</row>
    <row r="283" spans="1:28" ht="15.6">
      <c r="A283" s="164"/>
      <c r="B283" s="164"/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</row>
    <row r="284" spans="1:28" ht="15.6">
      <c r="A284" s="164"/>
      <c r="B284" s="164"/>
      <c r="C284" s="164"/>
      <c r="D284" s="164"/>
      <c r="E284" s="164"/>
      <c r="F284" s="164"/>
      <c r="G284" s="164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  <c r="AA284" s="164"/>
      <c r="AB284" s="164"/>
    </row>
    <row r="285" spans="1:28" ht="15.6">
      <c r="A285" s="164"/>
      <c r="B285" s="164"/>
      <c r="C285" s="164"/>
      <c r="D285" s="164"/>
      <c r="E285" s="164"/>
      <c r="F285" s="164"/>
      <c r="G285" s="164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  <c r="AA285" s="164"/>
      <c r="AB285" s="164"/>
    </row>
    <row r="286" spans="1:28" ht="15.6">
      <c r="A286" s="164"/>
      <c r="B286" s="164"/>
      <c r="C286" s="164"/>
      <c r="D286" s="164"/>
      <c r="E286" s="164"/>
      <c r="F286" s="164"/>
      <c r="G286" s="164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  <c r="AA286" s="164"/>
      <c r="AB286" s="164"/>
    </row>
    <row r="287" spans="1:28" ht="15.6">
      <c r="A287" s="164"/>
      <c r="B287" s="164"/>
      <c r="C287" s="164"/>
      <c r="D287" s="164"/>
      <c r="E287" s="164"/>
      <c r="F287" s="164"/>
      <c r="G287" s="164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  <c r="AA287" s="164"/>
      <c r="AB287" s="164"/>
    </row>
    <row r="288" spans="1:28" ht="15.6">
      <c r="A288" s="164"/>
      <c r="B288" s="164"/>
      <c r="C288" s="164"/>
      <c r="D288" s="164"/>
      <c r="E288" s="164"/>
      <c r="F288" s="164"/>
      <c r="G288" s="164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  <c r="AA288" s="164"/>
      <c r="AB288" s="164"/>
    </row>
    <row r="289" spans="1:28" ht="15.6">
      <c r="A289" s="164"/>
      <c r="B289" s="164"/>
      <c r="C289" s="164"/>
      <c r="D289" s="164"/>
      <c r="E289" s="164"/>
      <c r="F289" s="164"/>
      <c r="G289" s="164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  <c r="AA289" s="164"/>
      <c r="AB289" s="164"/>
    </row>
    <row r="290" spans="1:28" ht="15.6">
      <c r="A290" s="164"/>
      <c r="B290" s="164"/>
      <c r="C290" s="164"/>
      <c r="D290" s="164"/>
      <c r="E290" s="164"/>
      <c r="F290" s="164"/>
      <c r="G290" s="164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  <c r="AA290" s="164"/>
      <c r="AB290" s="164"/>
    </row>
    <row r="291" spans="1:28" ht="15.6">
      <c r="A291" s="164"/>
      <c r="B291" s="164"/>
      <c r="C291" s="164"/>
      <c r="D291" s="164"/>
      <c r="E291" s="164"/>
      <c r="F291" s="164"/>
      <c r="G291" s="164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  <c r="AA291" s="164"/>
      <c r="AB291" s="164"/>
    </row>
    <row r="292" spans="1:28" ht="15.6">
      <c r="A292" s="164"/>
      <c r="B292" s="164"/>
      <c r="C292" s="164"/>
      <c r="D292" s="164"/>
      <c r="E292" s="164"/>
      <c r="F292" s="164"/>
      <c r="G292" s="164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  <c r="AA292" s="164"/>
      <c r="AB292" s="164"/>
    </row>
    <row r="293" spans="1:28" ht="15.6">
      <c r="A293" s="164"/>
      <c r="B293" s="164"/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</row>
    <row r="294" spans="1:28" ht="15.6">
      <c r="A294" s="164"/>
      <c r="B294" s="164"/>
      <c r="C294" s="164"/>
      <c r="D294" s="164"/>
      <c r="E294" s="164"/>
      <c r="F294" s="164"/>
      <c r="G294" s="164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  <c r="AA294" s="164"/>
      <c r="AB294" s="164"/>
    </row>
    <row r="295" spans="1:28" ht="15.6">
      <c r="A295" s="164"/>
      <c r="B295" s="164"/>
      <c r="C295" s="164"/>
      <c r="D295" s="164"/>
      <c r="E295" s="164"/>
      <c r="F295" s="164"/>
      <c r="G295" s="164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  <c r="AA295" s="164"/>
      <c r="AB295" s="164"/>
    </row>
    <row r="296" spans="1:28" ht="15.6">
      <c r="A296" s="164"/>
      <c r="B296" s="164"/>
      <c r="C296" s="164"/>
      <c r="D296" s="164"/>
      <c r="E296" s="164"/>
      <c r="F296" s="164"/>
      <c r="G296" s="164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  <c r="AA296" s="164"/>
      <c r="AB296" s="164"/>
    </row>
    <row r="297" spans="1:28" ht="15.6">
      <c r="A297" s="164"/>
      <c r="B297" s="164"/>
      <c r="C297" s="164"/>
      <c r="D297" s="164"/>
      <c r="E297" s="164"/>
      <c r="F297" s="164"/>
      <c r="G297" s="164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  <c r="AA297" s="164"/>
      <c r="AB297" s="164"/>
    </row>
    <row r="298" spans="1:28" ht="15.6">
      <c r="A298" s="164"/>
      <c r="B298" s="164"/>
      <c r="C298" s="164"/>
      <c r="D298" s="164"/>
      <c r="E298" s="164"/>
      <c r="F298" s="164"/>
      <c r="G298" s="164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  <c r="AA298" s="164"/>
      <c r="AB298" s="164"/>
    </row>
    <row r="299" spans="1:28" ht="15.6">
      <c r="A299" s="164"/>
      <c r="B299" s="164"/>
      <c r="C299" s="164"/>
      <c r="D299" s="164"/>
      <c r="E299" s="164"/>
      <c r="F299" s="164"/>
      <c r="G299" s="164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  <c r="AA299" s="164"/>
      <c r="AB299" s="164"/>
    </row>
    <row r="300" spans="1:28" ht="15.6">
      <c r="A300" s="164"/>
      <c r="B300" s="164"/>
      <c r="C300" s="164"/>
      <c r="D300" s="164"/>
      <c r="E300" s="164"/>
      <c r="F300" s="164"/>
      <c r="G300" s="164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  <c r="AA300" s="164"/>
      <c r="AB300" s="164"/>
    </row>
    <row r="301" spans="1:28" ht="15.6">
      <c r="A301" s="164"/>
      <c r="B301" s="164"/>
      <c r="C301" s="164"/>
      <c r="D301" s="164"/>
      <c r="E301" s="164"/>
      <c r="F301" s="164"/>
      <c r="G301" s="164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  <c r="AA301" s="164"/>
      <c r="AB301" s="164"/>
    </row>
    <row r="302" spans="1:28" ht="15.6">
      <c r="A302" s="164"/>
      <c r="B302" s="164"/>
      <c r="C302" s="164"/>
      <c r="D302" s="164"/>
      <c r="E302" s="164"/>
      <c r="F302" s="164"/>
      <c r="G302" s="164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  <c r="AA302" s="164"/>
      <c r="AB302" s="164"/>
    </row>
    <row r="303" spans="1:28" ht="15.6">
      <c r="A303" s="164"/>
      <c r="B303" s="164"/>
      <c r="C303" s="164"/>
      <c r="D303" s="164"/>
      <c r="E303" s="164"/>
      <c r="F303" s="164"/>
      <c r="G303" s="164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  <c r="AA303" s="164"/>
      <c r="AB303" s="164"/>
    </row>
    <row r="304" spans="1:28" ht="15.6">
      <c r="A304" s="164"/>
      <c r="B304" s="164"/>
      <c r="C304" s="164"/>
      <c r="D304" s="164"/>
      <c r="E304" s="164"/>
      <c r="F304" s="164"/>
      <c r="G304" s="164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  <c r="AA304" s="164"/>
      <c r="AB304" s="164"/>
    </row>
    <row r="305" spans="1:28" ht="15.6">
      <c r="A305" s="164"/>
      <c r="B305" s="164"/>
      <c r="C305" s="16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</row>
    <row r="306" spans="1:28" ht="15.6">
      <c r="A306" s="164"/>
      <c r="B306" s="164"/>
      <c r="C306" s="16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</row>
    <row r="307" spans="1:28" ht="15.6">
      <c r="A307" s="164"/>
      <c r="B307" s="164"/>
      <c r="C307" s="164"/>
      <c r="D307" s="164"/>
      <c r="E307" s="164"/>
      <c r="F307" s="164"/>
      <c r="G307" s="164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  <c r="AA307" s="164"/>
      <c r="AB307" s="164"/>
    </row>
    <row r="308" spans="1:28" ht="15.6">
      <c r="A308" s="164"/>
      <c r="B308" s="164"/>
      <c r="C308" s="164"/>
      <c r="D308" s="164"/>
      <c r="E308" s="164"/>
      <c r="F308" s="164"/>
      <c r="G308" s="164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  <c r="AA308" s="164"/>
      <c r="AB308" s="164"/>
    </row>
    <row r="309" spans="1:28" ht="15.6">
      <c r="A309" s="164"/>
      <c r="B309" s="164"/>
      <c r="C309" s="164"/>
      <c r="D309" s="164"/>
      <c r="E309" s="164"/>
      <c r="F309" s="164"/>
      <c r="G309" s="164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  <c r="AA309" s="164"/>
      <c r="AB309" s="164"/>
    </row>
    <row r="310" spans="1:28" ht="15.6">
      <c r="A310" s="164"/>
      <c r="B310" s="164"/>
      <c r="C310" s="164"/>
      <c r="D310" s="164"/>
      <c r="E310" s="164"/>
      <c r="F310" s="164"/>
      <c r="G310" s="164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  <c r="AA310" s="164"/>
      <c r="AB310" s="164"/>
    </row>
    <row r="311" spans="1:28" ht="15.6">
      <c r="A311" s="164"/>
      <c r="B311" s="164"/>
      <c r="C311" s="164"/>
      <c r="D311" s="164"/>
      <c r="E311" s="164"/>
      <c r="F311" s="164"/>
      <c r="G311" s="164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  <c r="AA311" s="164"/>
      <c r="AB311" s="164"/>
    </row>
    <row r="312" spans="1:28" ht="15.6">
      <c r="A312" s="164"/>
      <c r="B312" s="164"/>
      <c r="C312" s="164"/>
      <c r="D312" s="164"/>
      <c r="E312" s="164"/>
      <c r="F312" s="164"/>
      <c r="G312" s="164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  <c r="AA312" s="164"/>
      <c r="AB312" s="164"/>
    </row>
    <row r="313" spans="1:28" ht="15.6">
      <c r="A313" s="164"/>
      <c r="B313" s="164"/>
      <c r="C313" s="164"/>
      <c r="D313" s="164"/>
      <c r="E313" s="164"/>
      <c r="F313" s="164"/>
      <c r="G313" s="164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  <c r="AA313" s="164"/>
      <c r="AB313" s="164"/>
    </row>
    <row r="314" spans="1:28" ht="15.6">
      <c r="A314" s="164"/>
      <c r="B314" s="164"/>
      <c r="C314" s="164"/>
      <c r="D314" s="164"/>
      <c r="E314" s="164"/>
      <c r="F314" s="164"/>
      <c r="G314" s="164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  <c r="AA314" s="164"/>
      <c r="AB314" s="164"/>
    </row>
    <row r="315" spans="1:28" ht="15.6">
      <c r="A315" s="164"/>
      <c r="B315" s="164"/>
      <c r="C315" s="164"/>
      <c r="D315" s="164"/>
      <c r="E315" s="164"/>
      <c r="F315" s="164"/>
      <c r="G315" s="164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  <c r="AA315" s="164"/>
      <c r="AB315" s="164"/>
    </row>
    <row r="316" spans="1:28" ht="15.6">
      <c r="A316" s="164"/>
      <c r="B316" s="164"/>
      <c r="C316" s="164"/>
      <c r="D316" s="164"/>
      <c r="E316" s="164"/>
      <c r="F316" s="164"/>
      <c r="G316" s="164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  <c r="AA316" s="164"/>
      <c r="AB316" s="164"/>
    </row>
    <row r="317" spans="1:28" ht="15.6">
      <c r="A317" s="164"/>
      <c r="B317" s="164"/>
      <c r="C317" s="164"/>
      <c r="D317" s="164"/>
      <c r="E317" s="164"/>
      <c r="F317" s="164"/>
      <c r="G317" s="164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  <c r="AA317" s="164"/>
      <c r="AB317" s="164"/>
    </row>
    <row r="318" spans="1:28" ht="15.6">
      <c r="A318" s="164"/>
      <c r="B318" s="164"/>
      <c r="C318" s="164"/>
      <c r="D318" s="164"/>
      <c r="E318" s="164"/>
      <c r="F318" s="164"/>
      <c r="G318" s="164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  <c r="AA318" s="164"/>
      <c r="AB318" s="164"/>
    </row>
    <row r="319" spans="1:28" ht="15.6">
      <c r="A319" s="164"/>
      <c r="B319" s="164"/>
      <c r="C319" s="164"/>
      <c r="D319" s="164"/>
      <c r="E319" s="164"/>
      <c r="F319" s="164"/>
      <c r="G319" s="164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  <c r="AA319" s="164"/>
      <c r="AB319" s="164"/>
    </row>
    <row r="320" spans="1:28" ht="15.6">
      <c r="A320" s="164"/>
      <c r="B320" s="164"/>
      <c r="C320" s="164"/>
      <c r="D320" s="164"/>
      <c r="E320" s="164"/>
      <c r="F320" s="164"/>
      <c r="G320" s="164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  <c r="AA320" s="164"/>
      <c r="AB320" s="164"/>
    </row>
    <row r="321" spans="1:28" ht="15.6">
      <c r="A321" s="164"/>
      <c r="B321" s="164"/>
      <c r="C321" s="164"/>
      <c r="D321" s="164"/>
      <c r="E321" s="164"/>
      <c r="F321" s="164"/>
      <c r="G321" s="164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  <c r="AA321" s="164"/>
      <c r="AB321" s="164"/>
    </row>
    <row r="322" spans="1:28" ht="15.6">
      <c r="A322" s="164"/>
      <c r="B322" s="164"/>
      <c r="C322" s="164"/>
      <c r="D322" s="164"/>
      <c r="E322" s="164"/>
      <c r="F322" s="164"/>
      <c r="G322" s="164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  <c r="AA322" s="164"/>
      <c r="AB322" s="164"/>
    </row>
    <row r="323" spans="1:28" ht="15.6">
      <c r="A323" s="164"/>
      <c r="B323" s="164"/>
      <c r="C323" s="164"/>
      <c r="D323" s="164"/>
      <c r="E323" s="164"/>
      <c r="F323" s="164"/>
      <c r="G323" s="164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  <c r="AA323" s="164"/>
      <c r="AB323" s="164"/>
    </row>
    <row r="324" spans="1:28" ht="15.6">
      <c r="A324" s="164"/>
      <c r="B324" s="164"/>
      <c r="C324" s="164"/>
      <c r="D324" s="164"/>
      <c r="E324" s="164"/>
      <c r="F324" s="164"/>
      <c r="G324" s="164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  <c r="AA324" s="164"/>
      <c r="AB324" s="164"/>
    </row>
    <row r="325" spans="1:28" ht="15.6">
      <c r="A325" s="164"/>
      <c r="B325" s="164"/>
      <c r="C325" s="164"/>
      <c r="D325" s="164"/>
      <c r="E325" s="164"/>
      <c r="F325" s="164"/>
      <c r="G325" s="164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  <c r="AA325" s="164"/>
      <c r="AB325" s="164"/>
    </row>
    <row r="326" spans="1:28" ht="15.6">
      <c r="A326" s="164"/>
      <c r="B326" s="164"/>
      <c r="C326" s="164"/>
      <c r="D326" s="164"/>
      <c r="E326" s="164"/>
      <c r="F326" s="164"/>
      <c r="G326" s="164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  <c r="AA326" s="164"/>
      <c r="AB326" s="164"/>
    </row>
    <row r="327" spans="1:28" ht="15.6">
      <c r="A327" s="164"/>
      <c r="B327" s="164"/>
      <c r="C327" s="164"/>
      <c r="D327" s="164"/>
      <c r="E327" s="164"/>
      <c r="F327" s="164"/>
      <c r="G327" s="164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  <c r="AA327" s="164"/>
      <c r="AB327" s="164"/>
    </row>
    <row r="328" spans="1:28" ht="15.6">
      <c r="A328" s="164"/>
      <c r="B328" s="164"/>
      <c r="C328" s="164"/>
      <c r="D328" s="164"/>
      <c r="E328" s="164"/>
      <c r="F328" s="164"/>
      <c r="G328" s="164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  <c r="AA328" s="164"/>
      <c r="AB328" s="164"/>
    </row>
    <row r="329" spans="1:28" ht="15.6">
      <c r="A329" s="164"/>
      <c r="B329" s="164"/>
      <c r="C329" s="164"/>
      <c r="D329" s="164"/>
      <c r="E329" s="164"/>
      <c r="F329" s="164"/>
      <c r="G329" s="164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  <c r="AA329" s="164"/>
      <c r="AB329" s="164"/>
    </row>
    <row r="330" spans="1:28" ht="15.6">
      <c r="A330" s="164"/>
      <c r="B330" s="164"/>
      <c r="C330" s="164"/>
      <c r="D330" s="164"/>
      <c r="E330" s="164"/>
      <c r="F330" s="164"/>
      <c r="G330" s="164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  <c r="AA330" s="164"/>
      <c r="AB330" s="164"/>
    </row>
    <row r="331" spans="1:28" ht="15.6">
      <c r="A331" s="164"/>
      <c r="B331" s="164"/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</row>
    <row r="332" spans="1:28" ht="15.6">
      <c r="A332" s="164"/>
      <c r="B332" s="164"/>
      <c r="C332" s="164"/>
      <c r="D332" s="164"/>
      <c r="E332" s="164"/>
      <c r="F332" s="164"/>
      <c r="G332" s="164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  <c r="AA332" s="164"/>
      <c r="AB332" s="164"/>
    </row>
    <row r="333" spans="1:28" ht="15.6">
      <c r="A333" s="164"/>
      <c r="B333" s="164"/>
      <c r="C333" s="164"/>
      <c r="D333" s="164"/>
      <c r="E333" s="164"/>
      <c r="F333" s="164"/>
      <c r="G333" s="164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  <c r="AA333" s="164"/>
      <c r="AB333" s="164"/>
    </row>
    <row r="334" spans="1:28" ht="15.6">
      <c r="A334" s="164"/>
      <c r="B334" s="164"/>
      <c r="C334" s="164"/>
      <c r="D334" s="164"/>
      <c r="E334" s="164"/>
      <c r="F334" s="164"/>
      <c r="G334" s="164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  <c r="AA334" s="164"/>
      <c r="AB334" s="164"/>
    </row>
    <row r="335" spans="1:28" ht="15.6">
      <c r="A335" s="164"/>
      <c r="B335" s="164"/>
      <c r="C335" s="164"/>
      <c r="D335" s="164"/>
      <c r="E335" s="164"/>
      <c r="F335" s="164"/>
      <c r="G335" s="164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  <c r="AA335" s="164"/>
      <c r="AB335" s="164"/>
    </row>
    <row r="336" spans="1:28" ht="15.6">
      <c r="A336" s="164"/>
      <c r="B336" s="164"/>
      <c r="C336" s="164"/>
      <c r="D336" s="164"/>
      <c r="E336" s="164"/>
      <c r="F336" s="164"/>
      <c r="G336" s="164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  <c r="AA336" s="164"/>
      <c r="AB336" s="164"/>
    </row>
    <row r="337" spans="1:28" ht="15.6">
      <c r="A337" s="164"/>
      <c r="B337" s="164"/>
      <c r="C337" s="164"/>
      <c r="D337" s="164"/>
      <c r="E337" s="164"/>
      <c r="F337" s="164"/>
      <c r="G337" s="164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  <c r="AA337" s="164"/>
      <c r="AB337" s="164"/>
    </row>
    <row r="338" spans="1:28" ht="15.6">
      <c r="A338" s="164"/>
      <c r="B338" s="164"/>
      <c r="C338" s="164"/>
      <c r="D338" s="164"/>
      <c r="E338" s="164"/>
      <c r="F338" s="164"/>
      <c r="G338" s="164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  <c r="AA338" s="164"/>
      <c r="AB338" s="164"/>
    </row>
    <row r="339" spans="1:28" ht="15.6">
      <c r="A339" s="164"/>
      <c r="B339" s="164"/>
      <c r="C339" s="164"/>
      <c r="D339" s="164"/>
      <c r="E339" s="164"/>
      <c r="F339" s="164"/>
      <c r="G339" s="164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  <c r="AA339" s="164"/>
      <c r="AB339" s="164"/>
    </row>
    <row r="340" spans="1:28" ht="15.6">
      <c r="A340" s="164"/>
      <c r="B340" s="164"/>
      <c r="C340" s="164"/>
      <c r="D340" s="164"/>
      <c r="E340" s="164"/>
      <c r="F340" s="164"/>
      <c r="G340" s="164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  <c r="AA340" s="164"/>
      <c r="AB340" s="164"/>
    </row>
    <row r="341" spans="1:28" ht="15.6">
      <c r="A341" s="164"/>
      <c r="B341" s="164"/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</row>
    <row r="342" spans="1:28" ht="15.6">
      <c r="A342" s="164"/>
      <c r="B342" s="164"/>
      <c r="C342" s="164"/>
      <c r="D342" s="164"/>
      <c r="E342" s="164"/>
      <c r="F342" s="164"/>
      <c r="G342" s="164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  <c r="AA342" s="164"/>
      <c r="AB342" s="164"/>
    </row>
    <row r="343" spans="1:28" ht="15.6">
      <c r="A343" s="164"/>
      <c r="B343" s="164"/>
      <c r="C343" s="164"/>
      <c r="D343" s="164"/>
      <c r="E343" s="164"/>
      <c r="F343" s="164"/>
      <c r="G343" s="164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  <c r="AA343" s="164"/>
      <c r="AB343" s="164"/>
    </row>
    <row r="344" spans="1:28" ht="15.6">
      <c r="A344" s="164"/>
      <c r="B344" s="164"/>
      <c r="C344" s="164"/>
      <c r="D344" s="164"/>
      <c r="E344" s="164"/>
      <c r="F344" s="164"/>
      <c r="G344" s="164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  <c r="AA344" s="164"/>
      <c r="AB344" s="164"/>
    </row>
    <row r="345" spans="1:28" ht="15.6">
      <c r="A345" s="164"/>
      <c r="B345" s="164"/>
      <c r="C345" s="164"/>
      <c r="D345" s="164"/>
      <c r="E345" s="164"/>
      <c r="F345" s="164"/>
      <c r="G345" s="164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  <c r="AA345" s="164"/>
      <c r="AB345" s="164"/>
    </row>
    <row r="346" spans="1:28" ht="15.6">
      <c r="A346" s="164"/>
      <c r="B346" s="164"/>
      <c r="C346" s="164"/>
      <c r="D346" s="164"/>
      <c r="E346" s="164"/>
      <c r="F346" s="164"/>
      <c r="G346" s="164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  <c r="AA346" s="164"/>
      <c r="AB346" s="164"/>
    </row>
    <row r="347" spans="1:28" ht="15.6">
      <c r="A347" s="164"/>
      <c r="B347" s="164"/>
      <c r="C347" s="164"/>
      <c r="D347" s="164"/>
      <c r="E347" s="164"/>
      <c r="F347" s="164"/>
      <c r="G347" s="164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  <c r="AA347" s="164"/>
      <c r="AB347" s="164"/>
    </row>
    <row r="348" spans="1:28" ht="15.6">
      <c r="A348" s="164"/>
      <c r="B348" s="164"/>
      <c r="C348" s="164"/>
      <c r="D348" s="164"/>
      <c r="E348" s="164"/>
      <c r="F348" s="164"/>
      <c r="G348" s="164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  <c r="AA348" s="164"/>
      <c r="AB348" s="164"/>
    </row>
    <row r="349" spans="1:28" ht="15.6">
      <c r="A349" s="164"/>
      <c r="B349" s="164"/>
      <c r="C349" s="164"/>
      <c r="D349" s="164"/>
      <c r="E349" s="164"/>
      <c r="F349" s="164"/>
      <c r="G349" s="164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  <c r="AA349" s="164"/>
      <c r="AB349" s="164"/>
    </row>
    <row r="350" spans="1:28" ht="15.6">
      <c r="A350" s="164"/>
      <c r="B350" s="164"/>
      <c r="C350" s="164"/>
      <c r="D350" s="164"/>
      <c r="E350" s="164"/>
      <c r="F350" s="164"/>
      <c r="G350" s="164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  <c r="AA350" s="164"/>
      <c r="AB350" s="164"/>
    </row>
    <row r="351" spans="1:28" ht="15.6">
      <c r="A351" s="164"/>
      <c r="B351" s="164"/>
      <c r="C351" s="164"/>
      <c r="D351" s="164"/>
      <c r="E351" s="164"/>
      <c r="F351" s="164"/>
      <c r="G351" s="164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  <c r="AA351" s="164"/>
      <c r="AB351" s="164"/>
    </row>
    <row r="352" spans="1:28" ht="15.6">
      <c r="A352" s="164"/>
      <c r="B352" s="164"/>
      <c r="C352" s="164"/>
      <c r="D352" s="164"/>
      <c r="E352" s="164"/>
      <c r="F352" s="164"/>
      <c r="G352" s="164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  <c r="AA352" s="164"/>
      <c r="AB352" s="164"/>
    </row>
    <row r="353" spans="1:28" ht="15.6">
      <c r="A353" s="164"/>
      <c r="B353" s="164"/>
      <c r="C353" s="164"/>
      <c r="D353" s="164"/>
      <c r="E353" s="164"/>
      <c r="F353" s="164"/>
      <c r="G353" s="164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  <c r="AA353" s="164"/>
      <c r="AB353" s="164"/>
    </row>
    <row r="354" spans="1:28" ht="15.6">
      <c r="A354" s="164"/>
      <c r="B354" s="164"/>
      <c r="C354" s="164"/>
      <c r="D354" s="164"/>
      <c r="E354" s="164"/>
      <c r="F354" s="164"/>
      <c r="G354" s="164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  <c r="AA354" s="164"/>
      <c r="AB354" s="164"/>
    </row>
    <row r="355" spans="1:28" ht="15.6">
      <c r="A355" s="164"/>
      <c r="B355" s="164"/>
      <c r="C355" s="164"/>
      <c r="D355" s="164"/>
      <c r="E355" s="164"/>
      <c r="F355" s="164"/>
      <c r="G355" s="164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  <c r="AA355" s="164"/>
      <c r="AB355" s="164"/>
    </row>
    <row r="356" spans="1:28" ht="15.6">
      <c r="A356" s="164"/>
      <c r="B356" s="164"/>
      <c r="C356" s="164"/>
      <c r="D356" s="164"/>
      <c r="E356" s="164"/>
      <c r="F356" s="164"/>
      <c r="G356" s="164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  <c r="AA356" s="164"/>
      <c r="AB356" s="164"/>
    </row>
    <row r="357" spans="1:28" ht="15.6">
      <c r="A357" s="164"/>
      <c r="B357" s="164"/>
      <c r="C357" s="164"/>
      <c r="D357" s="164"/>
      <c r="E357" s="164"/>
      <c r="F357" s="164"/>
      <c r="G357" s="164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  <c r="AA357" s="164"/>
      <c r="AB357" s="164"/>
    </row>
    <row r="358" spans="1:28" ht="15.6">
      <c r="A358" s="164"/>
      <c r="B358" s="164"/>
      <c r="C358" s="164"/>
      <c r="D358" s="164"/>
      <c r="E358" s="164"/>
      <c r="F358" s="164"/>
      <c r="G358" s="164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  <c r="AA358" s="164"/>
      <c r="AB358" s="164"/>
    </row>
    <row r="359" spans="1:28" ht="15.6">
      <c r="A359" s="164"/>
      <c r="B359" s="164"/>
      <c r="C359" s="164"/>
      <c r="D359" s="164"/>
      <c r="E359" s="164"/>
      <c r="F359" s="164"/>
      <c r="G359" s="164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  <c r="AA359" s="164"/>
      <c r="AB359" s="164"/>
    </row>
    <row r="360" spans="1:28" ht="15.6">
      <c r="A360" s="164"/>
      <c r="B360" s="164"/>
      <c r="C360" s="164"/>
      <c r="D360" s="164"/>
      <c r="E360" s="164"/>
      <c r="F360" s="164"/>
      <c r="G360" s="164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  <c r="AA360" s="164"/>
      <c r="AB360" s="164"/>
    </row>
    <row r="361" spans="1:28" ht="15.6">
      <c r="A361" s="164"/>
      <c r="B361" s="164"/>
      <c r="C361" s="164"/>
      <c r="D361" s="164"/>
      <c r="E361" s="164"/>
      <c r="F361" s="164"/>
      <c r="G361" s="164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  <c r="AA361" s="164"/>
      <c r="AB361" s="164"/>
    </row>
    <row r="362" spans="1:28" ht="15.6">
      <c r="A362" s="164"/>
      <c r="B362" s="164"/>
      <c r="C362" s="164"/>
      <c r="D362" s="164"/>
      <c r="E362" s="164"/>
      <c r="F362" s="164"/>
      <c r="G362" s="164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  <c r="AA362" s="164"/>
      <c r="AB362" s="164"/>
    </row>
    <row r="363" spans="1:28" ht="15.6">
      <c r="A363" s="164"/>
      <c r="B363" s="164"/>
      <c r="C363" s="164"/>
      <c r="D363" s="164"/>
      <c r="E363" s="164"/>
      <c r="F363" s="164"/>
      <c r="G363" s="164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  <c r="AA363" s="164"/>
      <c r="AB363" s="164"/>
    </row>
    <row r="364" spans="1:28" ht="15.6">
      <c r="A364" s="164"/>
      <c r="B364" s="164"/>
      <c r="C364" s="164"/>
      <c r="D364" s="164"/>
      <c r="E364" s="164"/>
      <c r="F364" s="164"/>
      <c r="G364" s="164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  <c r="AA364" s="164"/>
      <c r="AB364" s="164"/>
    </row>
    <row r="365" spans="1:28" ht="15.6">
      <c r="A365" s="164"/>
      <c r="B365" s="164"/>
      <c r="C365" s="164"/>
      <c r="D365" s="164"/>
      <c r="E365" s="164"/>
      <c r="F365" s="164"/>
      <c r="G365" s="164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  <c r="AA365" s="164"/>
      <c r="AB365" s="164"/>
    </row>
    <row r="366" spans="1:28" ht="15.6">
      <c r="A366" s="164"/>
      <c r="B366" s="164"/>
      <c r="C366" s="164"/>
      <c r="D366" s="164"/>
      <c r="E366" s="164"/>
      <c r="F366" s="164"/>
      <c r="G366" s="164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  <c r="AA366" s="164"/>
      <c r="AB366" s="164"/>
    </row>
    <row r="367" spans="1:28" ht="15.6">
      <c r="A367" s="164"/>
      <c r="B367" s="164"/>
      <c r="C367" s="164"/>
      <c r="D367" s="164"/>
      <c r="E367" s="164"/>
      <c r="F367" s="164"/>
      <c r="G367" s="164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  <c r="AA367" s="164"/>
      <c r="AB367" s="164"/>
    </row>
    <row r="368" spans="1:28" ht="15.6">
      <c r="A368" s="164"/>
      <c r="B368" s="164"/>
      <c r="C368" s="164"/>
      <c r="D368" s="164"/>
      <c r="E368" s="164"/>
      <c r="F368" s="164"/>
      <c r="G368" s="164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  <c r="AA368" s="164"/>
      <c r="AB368" s="164"/>
    </row>
    <row r="369" spans="1:28" ht="15.6">
      <c r="A369" s="164"/>
      <c r="B369" s="164"/>
      <c r="C369" s="164"/>
      <c r="D369" s="164"/>
      <c r="E369" s="164"/>
      <c r="F369" s="164"/>
      <c r="G369" s="164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  <c r="AA369" s="164"/>
      <c r="AB369" s="164"/>
    </row>
    <row r="370" spans="1:28" ht="15.6">
      <c r="A370" s="164"/>
      <c r="B370" s="164"/>
      <c r="C370" s="164"/>
      <c r="D370" s="164"/>
      <c r="E370" s="164"/>
      <c r="F370" s="164"/>
      <c r="G370" s="164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  <c r="AA370" s="164"/>
      <c r="AB370" s="164"/>
    </row>
    <row r="371" spans="1:28" ht="15.6">
      <c r="A371" s="164"/>
      <c r="B371" s="164"/>
      <c r="C371" s="164"/>
      <c r="D371" s="164"/>
      <c r="E371" s="164"/>
      <c r="F371" s="164"/>
      <c r="G371" s="164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  <c r="AA371" s="164"/>
      <c r="AB371" s="164"/>
    </row>
    <row r="372" spans="1:28" ht="15.6">
      <c r="A372" s="164"/>
      <c r="B372" s="164"/>
      <c r="C372" s="164"/>
      <c r="D372" s="164"/>
      <c r="E372" s="164"/>
      <c r="F372" s="164"/>
      <c r="G372" s="164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  <c r="AA372" s="164"/>
      <c r="AB372" s="164"/>
    </row>
    <row r="373" spans="1:28" ht="15.6">
      <c r="A373" s="164"/>
      <c r="B373" s="164"/>
      <c r="C373" s="164"/>
      <c r="D373" s="164"/>
      <c r="E373" s="164"/>
      <c r="F373" s="164"/>
      <c r="G373" s="164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  <c r="AA373" s="164"/>
      <c r="AB373" s="164"/>
    </row>
    <row r="374" spans="1:28" ht="15.6">
      <c r="A374" s="164"/>
      <c r="B374" s="164"/>
      <c r="C374" s="164"/>
      <c r="D374" s="164"/>
      <c r="E374" s="164"/>
      <c r="F374" s="164"/>
      <c r="G374" s="164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  <c r="AA374" s="164"/>
      <c r="AB374" s="164"/>
    </row>
    <row r="375" spans="1:28" ht="15.6">
      <c r="A375" s="164"/>
      <c r="B375" s="164"/>
      <c r="C375" s="164"/>
      <c r="D375" s="164"/>
      <c r="E375" s="164"/>
      <c r="F375" s="164"/>
      <c r="G375" s="164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  <c r="AA375" s="164"/>
      <c r="AB375" s="164"/>
    </row>
    <row r="376" spans="1:28" ht="15.6">
      <c r="A376" s="164"/>
      <c r="B376" s="164"/>
      <c r="C376" s="164"/>
      <c r="D376" s="164"/>
      <c r="E376" s="164"/>
      <c r="F376" s="164"/>
      <c r="G376" s="164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  <c r="AA376" s="164"/>
      <c r="AB376" s="164"/>
    </row>
    <row r="377" spans="1:28" ht="15.6">
      <c r="A377" s="164"/>
      <c r="B377" s="164"/>
      <c r="C377" s="164"/>
      <c r="D377" s="164"/>
      <c r="E377" s="164"/>
      <c r="F377" s="164"/>
      <c r="G377" s="164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  <c r="AA377" s="164"/>
      <c r="AB377" s="164"/>
    </row>
    <row r="378" spans="1:28" ht="15.6">
      <c r="A378" s="164"/>
      <c r="B378" s="164"/>
      <c r="C378" s="164"/>
      <c r="D378" s="164"/>
      <c r="E378" s="164"/>
      <c r="F378" s="164"/>
      <c r="G378" s="164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  <c r="AA378" s="164"/>
      <c r="AB378" s="164"/>
    </row>
    <row r="379" spans="1:28" ht="15.6">
      <c r="A379" s="164"/>
      <c r="B379" s="164"/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</row>
    <row r="380" spans="1:28" ht="15.6">
      <c r="A380" s="164"/>
      <c r="B380" s="164"/>
      <c r="C380" s="164"/>
      <c r="D380" s="164"/>
      <c r="E380" s="164"/>
      <c r="F380" s="164"/>
      <c r="G380" s="164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  <c r="AA380" s="164"/>
      <c r="AB380" s="164"/>
    </row>
    <row r="381" spans="1:28" ht="15.6">
      <c r="A381" s="164"/>
      <c r="B381" s="164"/>
      <c r="C381" s="164"/>
      <c r="D381" s="164"/>
      <c r="E381" s="164"/>
      <c r="F381" s="164"/>
      <c r="G381" s="164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  <c r="AA381" s="164"/>
      <c r="AB381" s="164"/>
    </row>
    <row r="382" spans="1:28" ht="15.6">
      <c r="A382" s="164"/>
      <c r="B382" s="164"/>
      <c r="C382" s="164"/>
      <c r="D382" s="164"/>
      <c r="E382" s="164"/>
      <c r="F382" s="164"/>
      <c r="G382" s="164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  <c r="AA382" s="164"/>
      <c r="AB382" s="164"/>
    </row>
    <row r="383" spans="1:28" ht="15.6">
      <c r="A383" s="164"/>
      <c r="B383" s="164"/>
      <c r="C383" s="164"/>
      <c r="D383" s="164"/>
      <c r="E383" s="164"/>
      <c r="F383" s="164"/>
      <c r="G383" s="164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  <c r="AA383" s="164"/>
      <c r="AB383" s="164"/>
    </row>
    <row r="384" spans="1:28" ht="15.6">
      <c r="A384" s="164"/>
      <c r="B384" s="164"/>
      <c r="C384" s="164"/>
      <c r="D384" s="164"/>
      <c r="E384" s="164"/>
      <c r="F384" s="164"/>
      <c r="G384" s="164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  <c r="AA384" s="164"/>
      <c r="AB384" s="164"/>
    </row>
    <row r="385" spans="1:28" ht="15.6">
      <c r="A385" s="164"/>
      <c r="B385" s="164"/>
      <c r="C385" s="164"/>
      <c r="D385" s="164"/>
      <c r="E385" s="164"/>
      <c r="F385" s="164"/>
      <c r="G385" s="164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  <c r="AA385" s="164"/>
      <c r="AB385" s="164"/>
    </row>
    <row r="386" spans="1:28" ht="15.6">
      <c r="A386" s="164"/>
      <c r="B386" s="164"/>
      <c r="C386" s="164"/>
      <c r="D386" s="164"/>
      <c r="E386" s="164"/>
      <c r="F386" s="164"/>
      <c r="G386" s="164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  <c r="AA386" s="164"/>
      <c r="AB386" s="164"/>
    </row>
    <row r="387" spans="1:28" ht="15.6">
      <c r="A387" s="164"/>
      <c r="B387" s="164"/>
      <c r="C387" s="164"/>
      <c r="D387" s="164"/>
      <c r="E387" s="164"/>
      <c r="F387" s="164"/>
      <c r="G387" s="164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  <c r="AA387" s="164"/>
      <c r="AB387" s="164"/>
    </row>
    <row r="388" spans="1:28" ht="15.6">
      <c r="A388" s="164"/>
      <c r="B388" s="164"/>
      <c r="C388" s="164"/>
      <c r="D388" s="164"/>
      <c r="E388" s="164"/>
      <c r="F388" s="164"/>
      <c r="G388" s="164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  <c r="AA388" s="164"/>
      <c r="AB388" s="164"/>
    </row>
    <row r="389" spans="1:28" ht="15.6">
      <c r="A389" s="164"/>
      <c r="B389" s="164"/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</row>
    <row r="390" spans="1:28" ht="15.6">
      <c r="A390" s="164"/>
      <c r="B390" s="164"/>
      <c r="C390" s="164"/>
      <c r="D390" s="164"/>
      <c r="E390" s="164"/>
      <c r="F390" s="164"/>
      <c r="G390" s="164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  <c r="AA390" s="164"/>
      <c r="AB390" s="164"/>
    </row>
    <row r="391" spans="1:28" ht="15.6">
      <c r="A391" s="164"/>
      <c r="B391" s="164"/>
      <c r="C391" s="164"/>
      <c r="D391" s="164"/>
      <c r="E391" s="164"/>
      <c r="F391" s="164"/>
      <c r="G391" s="164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  <c r="AA391" s="164"/>
      <c r="AB391" s="164"/>
    </row>
    <row r="392" spans="1:28" ht="15.6">
      <c r="A392" s="164"/>
      <c r="B392" s="164"/>
      <c r="C392" s="164"/>
      <c r="D392" s="164"/>
      <c r="E392" s="164"/>
      <c r="F392" s="164"/>
      <c r="G392" s="164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  <c r="AA392" s="164"/>
      <c r="AB392" s="164"/>
    </row>
    <row r="393" spans="1:28" ht="15.6">
      <c r="A393" s="164"/>
      <c r="B393" s="164"/>
      <c r="C393" s="164"/>
      <c r="D393" s="164"/>
      <c r="E393" s="164"/>
      <c r="F393" s="164"/>
      <c r="G393" s="164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  <c r="AA393" s="164"/>
      <c r="AB393" s="164"/>
    </row>
    <row r="394" spans="1:28" ht="15.6">
      <c r="A394" s="164"/>
      <c r="B394" s="164"/>
      <c r="C394" s="164"/>
      <c r="D394" s="164"/>
      <c r="E394" s="164"/>
      <c r="F394" s="164"/>
      <c r="G394" s="164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  <c r="AA394" s="164"/>
      <c r="AB394" s="164"/>
    </row>
    <row r="395" spans="1:28" ht="15.6">
      <c r="A395" s="164"/>
      <c r="B395" s="164"/>
      <c r="C395" s="164"/>
      <c r="D395" s="164"/>
      <c r="E395" s="164"/>
      <c r="F395" s="164"/>
      <c r="G395" s="164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  <c r="AA395" s="164"/>
      <c r="AB395" s="164"/>
    </row>
    <row r="396" spans="1:28" ht="15.6">
      <c r="A396" s="164"/>
      <c r="B396" s="164"/>
      <c r="C396" s="164"/>
      <c r="D396" s="164"/>
      <c r="E396" s="164"/>
      <c r="F396" s="164"/>
      <c r="G396" s="164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  <c r="AA396" s="164"/>
      <c r="AB396" s="164"/>
    </row>
    <row r="397" spans="1:28" ht="15.6">
      <c r="A397" s="164"/>
      <c r="B397" s="164"/>
      <c r="C397" s="164"/>
      <c r="D397" s="164"/>
      <c r="E397" s="164"/>
      <c r="F397" s="164"/>
      <c r="G397" s="164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  <c r="AA397" s="164"/>
      <c r="AB397" s="164"/>
    </row>
    <row r="398" spans="1:28" ht="15.6">
      <c r="A398" s="164"/>
      <c r="B398" s="164"/>
      <c r="C398" s="164"/>
      <c r="D398" s="164"/>
      <c r="E398" s="164"/>
      <c r="F398" s="164"/>
      <c r="G398" s="164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  <c r="AA398" s="164"/>
      <c r="AB398" s="164"/>
    </row>
    <row r="399" spans="1:28" ht="15.6">
      <c r="A399" s="164"/>
      <c r="B399" s="164"/>
      <c r="C399" s="164"/>
      <c r="D399" s="164"/>
      <c r="E399" s="164"/>
      <c r="F399" s="164"/>
      <c r="G399" s="164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  <c r="AA399" s="164"/>
      <c r="AB399" s="164"/>
    </row>
    <row r="400" spans="1:28" ht="15.6">
      <c r="A400" s="164"/>
      <c r="B400" s="164"/>
      <c r="C400" s="164"/>
      <c r="D400" s="164"/>
      <c r="E400" s="164"/>
      <c r="F400" s="164"/>
      <c r="G400" s="164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  <c r="AA400" s="164"/>
      <c r="AB400" s="164"/>
    </row>
    <row r="401" spans="1:28" ht="15.6">
      <c r="A401" s="164"/>
      <c r="B401" s="164"/>
      <c r="C401" s="164"/>
      <c r="D401" s="164"/>
      <c r="E401" s="164"/>
      <c r="F401" s="164"/>
      <c r="G401" s="164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  <c r="AA401" s="164"/>
      <c r="AB401" s="164"/>
    </row>
    <row r="402" spans="1:28" ht="15.6">
      <c r="A402" s="164"/>
      <c r="B402" s="164"/>
      <c r="C402" s="164"/>
      <c r="D402" s="164"/>
      <c r="E402" s="164"/>
      <c r="F402" s="164"/>
      <c r="G402" s="164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  <c r="AA402" s="164"/>
      <c r="AB402" s="164"/>
    </row>
    <row r="403" spans="1:28" ht="15.6">
      <c r="A403" s="164"/>
      <c r="B403" s="164"/>
      <c r="C403" s="164"/>
      <c r="D403" s="164"/>
      <c r="E403" s="164"/>
      <c r="F403" s="164"/>
      <c r="G403" s="164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  <c r="AA403" s="164"/>
      <c r="AB403" s="164"/>
    </row>
    <row r="404" spans="1:28" ht="15.6">
      <c r="A404" s="164"/>
      <c r="B404" s="164"/>
      <c r="C404" s="164"/>
      <c r="D404" s="164"/>
      <c r="E404" s="164"/>
      <c r="F404" s="164"/>
      <c r="G404" s="164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  <c r="AA404" s="164"/>
      <c r="AB404" s="164"/>
    </row>
    <row r="405" spans="1:28" ht="15.6">
      <c r="A405" s="164"/>
      <c r="B405" s="164"/>
      <c r="C405" s="164"/>
      <c r="D405" s="164"/>
      <c r="E405" s="164"/>
      <c r="F405" s="164"/>
      <c r="G405" s="164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  <c r="AA405" s="164"/>
      <c r="AB405" s="164"/>
    </row>
    <row r="406" spans="1:28" ht="15.6">
      <c r="A406" s="164"/>
      <c r="B406" s="164"/>
      <c r="C406" s="164"/>
      <c r="D406" s="164"/>
      <c r="E406" s="164"/>
      <c r="F406" s="164"/>
      <c r="G406" s="164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  <c r="AA406" s="164"/>
      <c r="AB406" s="164"/>
    </row>
    <row r="407" spans="1:28" ht="15.6">
      <c r="A407" s="164"/>
      <c r="B407" s="164"/>
      <c r="C407" s="164"/>
      <c r="D407" s="164"/>
      <c r="E407" s="164"/>
      <c r="F407" s="164"/>
      <c r="G407" s="164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  <c r="AA407" s="164"/>
      <c r="AB407" s="164"/>
    </row>
    <row r="408" spans="1:28" ht="15.6">
      <c r="A408" s="164"/>
      <c r="B408" s="164"/>
      <c r="C408" s="164"/>
      <c r="D408" s="164"/>
      <c r="E408" s="164"/>
      <c r="F408" s="164"/>
      <c r="G408" s="164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  <c r="AA408" s="164"/>
      <c r="AB408" s="164"/>
    </row>
    <row r="409" spans="1:28" ht="15.6">
      <c r="A409" s="164"/>
      <c r="B409" s="164"/>
      <c r="C409" s="164"/>
      <c r="D409" s="164"/>
      <c r="E409" s="164"/>
      <c r="F409" s="164"/>
      <c r="G409" s="164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  <c r="AA409" s="164"/>
      <c r="AB409" s="164"/>
    </row>
    <row r="410" spans="1:28" ht="15.6">
      <c r="A410" s="164"/>
      <c r="B410" s="164"/>
      <c r="C410" s="164"/>
      <c r="D410" s="164"/>
      <c r="E410" s="164"/>
      <c r="F410" s="164"/>
      <c r="G410" s="164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  <c r="AA410" s="164"/>
      <c r="AB410" s="164"/>
    </row>
    <row r="411" spans="1:28" ht="15.6">
      <c r="A411" s="164"/>
      <c r="B411" s="164"/>
      <c r="C411" s="164"/>
      <c r="D411" s="164"/>
      <c r="E411" s="164"/>
      <c r="F411" s="164"/>
      <c r="G411" s="164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  <c r="AA411" s="164"/>
      <c r="AB411" s="164"/>
    </row>
    <row r="412" spans="1:28" ht="15.6">
      <c r="A412" s="164"/>
      <c r="B412" s="164"/>
      <c r="C412" s="164"/>
      <c r="D412" s="164"/>
      <c r="E412" s="164"/>
      <c r="F412" s="164"/>
      <c r="G412" s="164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  <c r="AA412" s="164"/>
      <c r="AB412" s="164"/>
    </row>
    <row r="413" spans="1:28" ht="15.6">
      <c r="A413" s="164"/>
      <c r="B413" s="164"/>
      <c r="C413" s="164"/>
      <c r="D413" s="164"/>
      <c r="E413" s="164"/>
      <c r="F413" s="164"/>
      <c r="G413" s="164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  <c r="AA413" s="164"/>
      <c r="AB413" s="164"/>
    </row>
    <row r="414" spans="1:28" ht="15.6">
      <c r="A414" s="164"/>
      <c r="B414" s="164"/>
      <c r="C414" s="164"/>
      <c r="D414" s="164"/>
      <c r="E414" s="164"/>
      <c r="F414" s="164"/>
      <c r="G414" s="164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  <c r="AA414" s="164"/>
      <c r="AB414" s="164"/>
    </row>
    <row r="415" spans="1:28" ht="15.6">
      <c r="A415" s="164"/>
      <c r="B415" s="164"/>
      <c r="C415" s="164"/>
      <c r="D415" s="164"/>
      <c r="E415" s="164"/>
      <c r="F415" s="164"/>
      <c r="G415" s="164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  <c r="AA415" s="164"/>
      <c r="AB415" s="164"/>
    </row>
    <row r="416" spans="1:28" ht="15.6">
      <c r="A416" s="164"/>
      <c r="B416" s="164"/>
      <c r="C416" s="164"/>
      <c r="D416" s="164"/>
      <c r="E416" s="164"/>
      <c r="F416" s="164"/>
      <c r="G416" s="164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  <c r="AA416" s="164"/>
      <c r="AB416" s="164"/>
    </row>
    <row r="417" spans="1:28" ht="15.6">
      <c r="A417" s="164"/>
      <c r="B417" s="164"/>
      <c r="C417" s="164"/>
      <c r="D417" s="164"/>
      <c r="E417" s="164"/>
      <c r="F417" s="164"/>
      <c r="G417" s="164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  <c r="AA417" s="164"/>
      <c r="AB417" s="164"/>
    </row>
    <row r="418" spans="1:28" ht="15.6">
      <c r="A418" s="164"/>
      <c r="B418" s="164"/>
      <c r="C418" s="164"/>
      <c r="D418" s="164"/>
      <c r="E418" s="164"/>
      <c r="F418" s="164"/>
      <c r="G418" s="164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  <c r="AA418" s="164"/>
      <c r="AB418" s="164"/>
    </row>
    <row r="419" spans="1:28" ht="15.6">
      <c r="A419" s="164"/>
      <c r="B419" s="164"/>
      <c r="C419" s="164"/>
      <c r="D419" s="164"/>
      <c r="E419" s="164"/>
      <c r="F419" s="164"/>
      <c r="G419" s="164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  <c r="AA419" s="164"/>
      <c r="AB419" s="164"/>
    </row>
    <row r="420" spans="1:28" ht="15.6">
      <c r="A420" s="164"/>
      <c r="B420" s="164"/>
      <c r="C420" s="164"/>
      <c r="D420" s="164"/>
      <c r="E420" s="164"/>
      <c r="F420" s="164"/>
      <c r="G420" s="164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  <c r="AA420" s="164"/>
      <c r="AB420" s="164"/>
    </row>
    <row r="421" spans="1:28" ht="15.6">
      <c r="A421" s="164"/>
      <c r="B421" s="164"/>
      <c r="C421" s="164"/>
      <c r="D421" s="164"/>
      <c r="E421" s="164"/>
      <c r="F421" s="164"/>
      <c r="G421" s="164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  <c r="AA421" s="164"/>
      <c r="AB421" s="164"/>
    </row>
    <row r="422" spans="1:28" ht="15.6">
      <c r="A422" s="164"/>
      <c r="B422" s="164"/>
      <c r="C422" s="164"/>
      <c r="D422" s="164"/>
      <c r="E422" s="164"/>
      <c r="F422" s="164"/>
      <c r="G422" s="164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  <c r="AA422" s="164"/>
      <c r="AB422" s="164"/>
    </row>
    <row r="423" spans="1:28" ht="15.6">
      <c r="A423" s="164"/>
      <c r="B423" s="164"/>
      <c r="C423" s="164"/>
      <c r="D423" s="164"/>
      <c r="E423" s="164"/>
      <c r="F423" s="164"/>
      <c r="G423" s="164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  <c r="AA423" s="164"/>
      <c r="AB423" s="164"/>
    </row>
    <row r="424" spans="1:28" ht="15.6">
      <c r="A424" s="164"/>
      <c r="B424" s="164"/>
      <c r="C424" s="164"/>
      <c r="D424" s="164"/>
      <c r="E424" s="164"/>
      <c r="F424" s="164"/>
      <c r="G424" s="164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  <c r="AA424" s="164"/>
      <c r="AB424" s="164"/>
    </row>
    <row r="425" spans="1:28" ht="15.6">
      <c r="A425" s="164"/>
      <c r="B425" s="164"/>
      <c r="C425" s="164"/>
      <c r="D425" s="164"/>
      <c r="E425" s="164"/>
      <c r="F425" s="164"/>
      <c r="G425" s="164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  <c r="AA425" s="164"/>
      <c r="AB425" s="164"/>
    </row>
    <row r="426" spans="1:28" ht="15.6">
      <c r="A426" s="164"/>
      <c r="B426" s="164"/>
      <c r="C426" s="164"/>
      <c r="D426" s="164"/>
      <c r="E426" s="164"/>
      <c r="F426" s="164"/>
      <c r="G426" s="164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  <c r="AA426" s="164"/>
      <c r="AB426" s="164"/>
    </row>
    <row r="427" spans="1:28" ht="15.6">
      <c r="A427" s="164"/>
      <c r="B427" s="164"/>
      <c r="C427" s="164"/>
      <c r="D427" s="164"/>
      <c r="E427" s="164"/>
      <c r="F427" s="164"/>
      <c r="G427" s="164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  <c r="AA427" s="164"/>
      <c r="AB427" s="164"/>
    </row>
    <row r="428" spans="1:28" ht="15.6">
      <c r="A428" s="164"/>
      <c r="B428" s="164"/>
      <c r="C428" s="164"/>
      <c r="D428" s="164"/>
      <c r="E428" s="164"/>
      <c r="F428" s="164"/>
      <c r="G428" s="164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  <c r="AA428" s="164"/>
      <c r="AB428" s="164"/>
    </row>
    <row r="429" spans="1:28" ht="15.6">
      <c r="A429" s="164"/>
      <c r="B429" s="164"/>
      <c r="C429" s="164"/>
      <c r="D429" s="164"/>
      <c r="E429" s="164"/>
      <c r="F429" s="164"/>
      <c r="G429" s="164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  <c r="AA429" s="164"/>
      <c r="AB429" s="164"/>
    </row>
    <row r="430" spans="1:28" ht="15.6">
      <c r="A430" s="164"/>
      <c r="B430" s="164"/>
      <c r="C430" s="164"/>
      <c r="D430" s="164"/>
      <c r="E430" s="164"/>
      <c r="F430" s="164"/>
      <c r="G430" s="164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  <c r="AA430" s="164"/>
      <c r="AB430" s="164"/>
    </row>
    <row r="431" spans="1:28" ht="15.6">
      <c r="A431" s="164"/>
      <c r="B431" s="164"/>
      <c r="C431" s="164"/>
      <c r="D431" s="164"/>
      <c r="E431" s="164"/>
      <c r="F431" s="164"/>
      <c r="G431" s="164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  <c r="AA431" s="164"/>
      <c r="AB431" s="164"/>
    </row>
    <row r="432" spans="1:28" ht="15.6">
      <c r="A432" s="164"/>
      <c r="B432" s="164"/>
      <c r="C432" s="164"/>
      <c r="D432" s="164"/>
      <c r="E432" s="164"/>
      <c r="F432" s="164"/>
      <c r="G432" s="164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  <c r="AA432" s="164"/>
      <c r="AB432" s="164"/>
    </row>
    <row r="433" spans="1:28" ht="15.6">
      <c r="A433" s="164"/>
      <c r="B433" s="164"/>
      <c r="C433" s="164"/>
      <c r="D433" s="164"/>
      <c r="E433" s="164"/>
      <c r="F433" s="164"/>
      <c r="G433" s="164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  <c r="AA433" s="164"/>
      <c r="AB433" s="164"/>
    </row>
    <row r="434" spans="1:28" ht="15.6">
      <c r="A434" s="164"/>
      <c r="B434" s="164"/>
      <c r="C434" s="164"/>
      <c r="D434" s="164"/>
      <c r="E434" s="164"/>
      <c r="F434" s="164"/>
      <c r="G434" s="164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  <c r="AA434" s="164"/>
      <c r="AB434" s="164"/>
    </row>
    <row r="435" spans="1:28" ht="15.6">
      <c r="A435" s="164"/>
      <c r="B435" s="164"/>
      <c r="C435" s="164"/>
      <c r="D435" s="164"/>
      <c r="E435" s="164"/>
      <c r="F435" s="164"/>
      <c r="G435" s="164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  <c r="AA435" s="164"/>
      <c r="AB435" s="164"/>
    </row>
    <row r="436" spans="1:28" ht="15.6">
      <c r="A436" s="164"/>
      <c r="B436" s="164"/>
      <c r="C436" s="164"/>
      <c r="D436" s="164"/>
      <c r="E436" s="164"/>
      <c r="F436" s="164"/>
      <c r="G436" s="164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  <c r="AA436" s="164"/>
      <c r="AB436" s="164"/>
    </row>
    <row r="437" spans="1:28" ht="15.6">
      <c r="A437" s="164"/>
      <c r="B437" s="164"/>
      <c r="C437" s="164"/>
      <c r="D437" s="164"/>
      <c r="E437" s="164"/>
      <c r="F437" s="164"/>
      <c r="G437" s="164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  <c r="AA437" s="164"/>
      <c r="AB437" s="164"/>
    </row>
    <row r="438" spans="1:28" ht="15.6">
      <c r="A438" s="164"/>
      <c r="B438" s="164"/>
      <c r="C438" s="164"/>
      <c r="D438" s="164"/>
      <c r="E438" s="164"/>
      <c r="F438" s="164"/>
      <c r="G438" s="164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  <c r="AA438" s="164"/>
      <c r="AB438" s="164"/>
    </row>
    <row r="439" spans="1:28" ht="15.6">
      <c r="A439" s="164"/>
      <c r="B439" s="164"/>
      <c r="C439" s="164"/>
      <c r="D439" s="164"/>
      <c r="E439" s="164"/>
      <c r="F439" s="164"/>
      <c r="G439" s="164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  <c r="AA439" s="164"/>
      <c r="AB439" s="164"/>
    </row>
    <row r="440" spans="1:28" ht="15.6">
      <c r="A440" s="164"/>
      <c r="B440" s="164"/>
      <c r="C440" s="164"/>
      <c r="D440" s="164"/>
      <c r="E440" s="164"/>
      <c r="F440" s="164"/>
      <c r="G440" s="164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  <c r="AA440" s="164"/>
      <c r="AB440" s="164"/>
    </row>
    <row r="441" spans="1:28" ht="15.6">
      <c r="A441" s="164"/>
      <c r="B441" s="164"/>
      <c r="C441" s="164"/>
      <c r="D441" s="164"/>
      <c r="E441" s="164"/>
      <c r="F441" s="164"/>
      <c r="G441" s="164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  <c r="AA441" s="164"/>
      <c r="AB441" s="164"/>
    </row>
    <row r="442" spans="1:28" ht="15.6">
      <c r="A442" s="164"/>
      <c r="B442" s="164"/>
      <c r="C442" s="164"/>
      <c r="D442" s="164"/>
      <c r="E442" s="164"/>
      <c r="F442" s="164"/>
      <c r="G442" s="164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  <c r="AA442" s="164"/>
      <c r="AB442" s="164"/>
    </row>
    <row r="443" spans="1:28" ht="15.6">
      <c r="A443" s="164"/>
      <c r="B443" s="164"/>
      <c r="C443" s="164"/>
      <c r="D443" s="164"/>
      <c r="E443" s="164"/>
      <c r="F443" s="164"/>
      <c r="G443" s="164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  <c r="AA443" s="164"/>
      <c r="AB443" s="164"/>
    </row>
    <row r="444" spans="1:28" ht="15.6">
      <c r="A444" s="164"/>
      <c r="B444" s="164"/>
      <c r="C444" s="164"/>
      <c r="D444" s="164"/>
      <c r="E444" s="164"/>
      <c r="F444" s="164"/>
      <c r="G444" s="164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  <c r="AA444" s="164"/>
      <c r="AB444" s="164"/>
    </row>
    <row r="445" spans="1:28" ht="15.6">
      <c r="A445" s="164"/>
      <c r="B445" s="164"/>
      <c r="C445" s="164"/>
      <c r="D445" s="164"/>
      <c r="E445" s="164"/>
      <c r="F445" s="164"/>
      <c r="G445" s="164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  <c r="AA445" s="164"/>
      <c r="AB445" s="164"/>
    </row>
    <row r="446" spans="1:28" ht="15.6">
      <c r="A446" s="164"/>
      <c r="B446" s="164"/>
      <c r="C446" s="164"/>
      <c r="D446" s="164"/>
      <c r="E446" s="164"/>
      <c r="F446" s="164"/>
      <c r="G446" s="164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  <c r="AA446" s="164"/>
      <c r="AB446" s="164"/>
    </row>
    <row r="447" spans="1:28" ht="15.6">
      <c r="A447" s="164"/>
      <c r="B447" s="164"/>
      <c r="C447" s="164"/>
      <c r="D447" s="164"/>
      <c r="E447" s="164"/>
      <c r="F447" s="164"/>
      <c r="G447" s="164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  <c r="AA447" s="164"/>
      <c r="AB447" s="164"/>
    </row>
    <row r="448" spans="1:28" ht="15.6">
      <c r="A448" s="164"/>
      <c r="B448" s="164"/>
      <c r="C448" s="164"/>
      <c r="D448" s="164"/>
      <c r="E448" s="164"/>
      <c r="F448" s="164"/>
      <c r="G448" s="164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  <c r="AA448" s="164"/>
      <c r="AB448" s="164"/>
    </row>
    <row r="449" spans="1:28" ht="15.6">
      <c r="A449" s="164"/>
      <c r="B449" s="164"/>
      <c r="C449" s="164"/>
      <c r="D449" s="164"/>
      <c r="E449" s="164"/>
      <c r="F449" s="164"/>
      <c r="G449" s="164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  <c r="AA449" s="164"/>
      <c r="AB449" s="164"/>
    </row>
    <row r="450" spans="1:28" ht="15.6">
      <c r="A450" s="164"/>
      <c r="B450" s="164"/>
      <c r="C450" s="164"/>
      <c r="D450" s="164"/>
      <c r="E450" s="164"/>
      <c r="F450" s="164"/>
      <c r="G450" s="164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  <c r="AA450" s="164"/>
      <c r="AB450" s="164"/>
    </row>
    <row r="451" spans="1:28" ht="15.6">
      <c r="A451" s="164"/>
      <c r="B451" s="164"/>
      <c r="C451" s="164"/>
      <c r="D451" s="164"/>
      <c r="E451" s="164"/>
      <c r="F451" s="164"/>
      <c r="G451" s="164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  <c r="AA451" s="164"/>
      <c r="AB451" s="164"/>
    </row>
    <row r="452" spans="1:28" ht="15.6">
      <c r="A452" s="164"/>
      <c r="B452" s="164"/>
      <c r="C452" s="164"/>
      <c r="D452" s="164"/>
      <c r="E452" s="164"/>
      <c r="F452" s="164"/>
      <c r="G452" s="164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  <c r="AA452" s="164"/>
      <c r="AB452" s="164"/>
    </row>
    <row r="453" spans="1:28" ht="15.6">
      <c r="A453" s="164"/>
      <c r="B453" s="164"/>
      <c r="C453" s="164"/>
      <c r="D453" s="164"/>
      <c r="E453" s="164"/>
      <c r="F453" s="164"/>
      <c r="G453" s="164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  <c r="AA453" s="164"/>
      <c r="AB453" s="164"/>
    </row>
    <row r="454" spans="1:28" ht="15.6">
      <c r="A454" s="164"/>
      <c r="B454" s="164"/>
      <c r="C454" s="164"/>
      <c r="D454" s="164"/>
      <c r="E454" s="164"/>
      <c r="F454" s="164"/>
      <c r="G454" s="164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  <c r="AA454" s="164"/>
      <c r="AB454" s="164"/>
    </row>
    <row r="455" spans="1:28" ht="15.6">
      <c r="A455" s="164"/>
      <c r="B455" s="164"/>
      <c r="C455" s="164"/>
      <c r="D455" s="164"/>
      <c r="E455" s="164"/>
      <c r="F455" s="164"/>
      <c r="G455" s="164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  <c r="AA455" s="164"/>
      <c r="AB455" s="164"/>
    </row>
    <row r="456" spans="1:28" ht="15.6">
      <c r="A456" s="164"/>
      <c r="B456" s="164"/>
      <c r="C456" s="164"/>
      <c r="D456" s="164"/>
      <c r="E456" s="164"/>
      <c r="F456" s="164"/>
      <c r="G456" s="164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  <c r="AA456" s="164"/>
      <c r="AB456" s="164"/>
    </row>
    <row r="457" spans="1:28" ht="15.6">
      <c r="A457" s="164"/>
      <c r="B457" s="164"/>
      <c r="C457" s="164"/>
      <c r="D457" s="164"/>
      <c r="E457" s="164"/>
      <c r="F457" s="164"/>
      <c r="G457" s="164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  <c r="AA457" s="164"/>
      <c r="AB457" s="164"/>
    </row>
    <row r="458" spans="1:28" ht="15.6">
      <c r="A458" s="164"/>
      <c r="B458" s="164"/>
      <c r="C458" s="164"/>
      <c r="D458" s="164"/>
      <c r="E458" s="164"/>
      <c r="F458" s="164"/>
      <c r="G458" s="164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  <c r="AA458" s="164"/>
      <c r="AB458" s="164"/>
    </row>
    <row r="459" spans="1:28" ht="15.6">
      <c r="A459" s="164"/>
      <c r="B459" s="164"/>
      <c r="C459" s="164"/>
      <c r="D459" s="164"/>
      <c r="E459" s="164"/>
      <c r="F459" s="164"/>
      <c r="G459" s="164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  <c r="AA459" s="164"/>
      <c r="AB459" s="164"/>
    </row>
    <row r="460" spans="1:28" ht="15.6">
      <c r="A460" s="164"/>
      <c r="B460" s="164"/>
      <c r="C460" s="164"/>
      <c r="D460" s="164"/>
      <c r="E460" s="164"/>
      <c r="F460" s="164"/>
      <c r="G460" s="164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  <c r="AA460" s="164"/>
      <c r="AB460" s="164"/>
    </row>
    <row r="461" spans="1:28" ht="15.6">
      <c r="A461" s="164"/>
      <c r="B461" s="164"/>
      <c r="C461" s="164"/>
      <c r="D461" s="164"/>
      <c r="E461" s="164"/>
      <c r="F461" s="164"/>
      <c r="G461" s="164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  <c r="AA461" s="164"/>
      <c r="AB461" s="164"/>
    </row>
    <row r="462" spans="1:28" ht="15.6">
      <c r="A462" s="164"/>
      <c r="B462" s="164"/>
      <c r="C462" s="164"/>
      <c r="D462" s="164"/>
      <c r="E462" s="164"/>
      <c r="F462" s="164"/>
      <c r="G462" s="164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  <c r="AA462" s="164"/>
      <c r="AB462" s="164"/>
    </row>
    <row r="463" spans="1:28" ht="15.6">
      <c r="A463" s="164"/>
      <c r="B463" s="164"/>
      <c r="C463" s="164"/>
      <c r="D463" s="164"/>
      <c r="E463" s="164"/>
      <c r="F463" s="164"/>
      <c r="G463" s="164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  <c r="AA463" s="164"/>
      <c r="AB463" s="164"/>
    </row>
    <row r="464" spans="1:28" ht="15.6">
      <c r="A464" s="164"/>
      <c r="B464" s="164"/>
      <c r="C464" s="164"/>
      <c r="D464" s="164"/>
      <c r="E464" s="164"/>
      <c r="F464" s="164"/>
      <c r="G464" s="164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  <c r="AA464" s="164"/>
      <c r="AB464" s="164"/>
    </row>
    <row r="465" spans="1:28" ht="15.6">
      <c r="A465" s="164"/>
      <c r="B465" s="164"/>
      <c r="C465" s="164"/>
      <c r="D465" s="164"/>
      <c r="E465" s="164"/>
      <c r="F465" s="164"/>
      <c r="G465" s="164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  <c r="AA465" s="164"/>
      <c r="AB465" s="164"/>
    </row>
    <row r="466" spans="1:28" ht="15.6">
      <c r="A466" s="164"/>
      <c r="B466" s="164"/>
      <c r="C466" s="164"/>
      <c r="D466" s="164"/>
      <c r="E466" s="164"/>
      <c r="F466" s="164"/>
      <c r="G466" s="164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  <c r="AA466" s="164"/>
      <c r="AB466" s="164"/>
    </row>
    <row r="467" spans="1:28" ht="15.6">
      <c r="A467" s="164"/>
      <c r="B467" s="164"/>
      <c r="C467" s="164"/>
      <c r="D467" s="164"/>
      <c r="E467" s="164"/>
      <c r="F467" s="164"/>
      <c r="G467" s="164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  <c r="AA467" s="164"/>
      <c r="AB467" s="164"/>
    </row>
    <row r="468" spans="1:28" ht="15.6">
      <c r="A468" s="164"/>
      <c r="B468" s="164"/>
      <c r="C468" s="164"/>
      <c r="D468" s="164"/>
      <c r="E468" s="164"/>
      <c r="F468" s="164"/>
      <c r="G468" s="164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  <c r="AA468" s="164"/>
      <c r="AB468" s="164"/>
    </row>
    <row r="469" spans="1:28" ht="15.6">
      <c r="A469" s="164"/>
      <c r="B469" s="164"/>
      <c r="C469" s="164"/>
      <c r="D469" s="164"/>
      <c r="E469" s="164"/>
      <c r="F469" s="164"/>
      <c r="G469" s="164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  <c r="AA469" s="164"/>
      <c r="AB469" s="164"/>
    </row>
    <row r="470" spans="1:28" ht="15.6">
      <c r="A470" s="164"/>
      <c r="B470" s="164"/>
      <c r="C470" s="164"/>
      <c r="D470" s="164"/>
      <c r="E470" s="164"/>
      <c r="F470" s="164"/>
      <c r="G470" s="164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  <c r="AA470" s="164"/>
      <c r="AB470" s="164"/>
    </row>
    <row r="471" spans="1:28" ht="15.6">
      <c r="A471" s="164"/>
      <c r="B471" s="164"/>
      <c r="C471" s="164"/>
      <c r="D471" s="164"/>
      <c r="E471" s="164"/>
      <c r="F471" s="164"/>
      <c r="G471" s="164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  <c r="AA471" s="164"/>
      <c r="AB471" s="164"/>
    </row>
    <row r="472" spans="1:28" ht="15.6">
      <c r="A472" s="164"/>
      <c r="B472" s="164"/>
      <c r="C472" s="164"/>
      <c r="D472" s="164"/>
      <c r="E472" s="164"/>
      <c r="F472" s="164"/>
      <c r="G472" s="164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  <c r="AA472" s="164"/>
      <c r="AB472" s="164"/>
    </row>
    <row r="473" spans="1:28" ht="15.6">
      <c r="A473" s="164"/>
      <c r="B473" s="164"/>
      <c r="C473" s="164"/>
      <c r="D473" s="164"/>
      <c r="E473" s="164"/>
      <c r="F473" s="164"/>
      <c r="G473" s="164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  <c r="AA473" s="164"/>
      <c r="AB473" s="164"/>
    </row>
    <row r="474" spans="1:28" ht="15.6">
      <c r="A474" s="164"/>
      <c r="B474" s="164"/>
      <c r="C474" s="164"/>
      <c r="D474" s="164"/>
      <c r="E474" s="164"/>
      <c r="F474" s="164"/>
      <c r="G474" s="164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  <c r="AA474" s="164"/>
      <c r="AB474" s="164"/>
    </row>
    <row r="475" spans="1:28" ht="15.6">
      <c r="A475" s="164"/>
      <c r="B475" s="164"/>
      <c r="C475" s="164"/>
      <c r="D475" s="164"/>
      <c r="E475" s="164"/>
      <c r="F475" s="164"/>
      <c r="G475" s="164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  <c r="AA475" s="164"/>
      <c r="AB475" s="164"/>
    </row>
    <row r="476" spans="1:28" ht="15.6">
      <c r="A476" s="164"/>
      <c r="B476" s="164"/>
      <c r="C476" s="164"/>
      <c r="D476" s="164"/>
      <c r="E476" s="164"/>
      <c r="F476" s="164"/>
      <c r="G476" s="164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  <c r="AA476" s="164"/>
      <c r="AB476" s="164"/>
    </row>
    <row r="477" spans="1:28" ht="15.6">
      <c r="A477" s="164"/>
      <c r="B477" s="164"/>
      <c r="C477" s="164"/>
      <c r="D477" s="164"/>
      <c r="E477" s="164"/>
      <c r="F477" s="164"/>
      <c r="G477" s="164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  <c r="AA477" s="164"/>
      <c r="AB477" s="164"/>
    </row>
    <row r="478" spans="1:28" ht="15.6">
      <c r="A478" s="164"/>
      <c r="B478" s="164"/>
      <c r="C478" s="164"/>
      <c r="D478" s="164"/>
      <c r="E478" s="164"/>
      <c r="F478" s="164"/>
      <c r="G478" s="164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  <c r="AA478" s="164"/>
      <c r="AB478" s="164"/>
    </row>
    <row r="479" spans="1:28" ht="15.6">
      <c r="A479" s="164"/>
      <c r="B479" s="164"/>
      <c r="C479" s="164"/>
      <c r="D479" s="164"/>
      <c r="E479" s="164"/>
      <c r="F479" s="164"/>
      <c r="G479" s="164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  <c r="AA479" s="164"/>
      <c r="AB479" s="164"/>
    </row>
    <row r="480" spans="1:28" ht="15.6">
      <c r="A480" s="164"/>
      <c r="B480" s="164"/>
      <c r="C480" s="164"/>
      <c r="D480" s="164"/>
      <c r="E480" s="164"/>
      <c r="F480" s="164"/>
      <c r="G480" s="164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  <c r="AA480" s="164"/>
      <c r="AB480" s="164"/>
    </row>
    <row r="481" spans="1:28" ht="15.6">
      <c r="A481" s="164"/>
      <c r="B481" s="164"/>
      <c r="C481" s="164"/>
      <c r="D481" s="164"/>
      <c r="E481" s="164"/>
      <c r="F481" s="164"/>
      <c r="G481" s="164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  <c r="AA481" s="164"/>
      <c r="AB481" s="164"/>
    </row>
    <row r="482" spans="1:28" ht="15.6">
      <c r="A482" s="164"/>
      <c r="B482" s="164"/>
      <c r="C482" s="164"/>
      <c r="D482" s="164"/>
      <c r="E482" s="164"/>
      <c r="F482" s="164"/>
      <c r="G482" s="164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  <c r="AA482" s="164"/>
      <c r="AB482" s="164"/>
    </row>
    <row r="483" spans="1:28" ht="15.6">
      <c r="A483" s="164"/>
      <c r="B483" s="164"/>
      <c r="C483" s="164"/>
      <c r="D483" s="164"/>
      <c r="E483" s="164"/>
      <c r="F483" s="164"/>
      <c r="G483" s="164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  <c r="AA483" s="164"/>
      <c r="AB483" s="164"/>
    </row>
    <row r="484" spans="1:28" ht="15.6">
      <c r="A484" s="164"/>
      <c r="B484" s="164"/>
      <c r="C484" s="164"/>
      <c r="D484" s="164"/>
      <c r="E484" s="164"/>
      <c r="F484" s="164"/>
      <c r="G484" s="164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  <c r="AA484" s="164"/>
      <c r="AB484" s="164"/>
    </row>
    <row r="485" spans="1:28" ht="15.6">
      <c r="A485" s="164"/>
      <c r="B485" s="164"/>
      <c r="C485" s="164"/>
      <c r="D485" s="164"/>
      <c r="E485" s="164"/>
      <c r="F485" s="164"/>
      <c r="G485" s="164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  <c r="AA485" s="164"/>
      <c r="AB485" s="164"/>
    </row>
    <row r="486" spans="1:28" ht="15.6">
      <c r="A486" s="164"/>
      <c r="B486" s="164"/>
      <c r="C486" s="164"/>
      <c r="D486" s="164"/>
      <c r="E486" s="164"/>
      <c r="F486" s="164"/>
      <c r="G486" s="164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  <c r="AA486" s="164"/>
      <c r="AB486" s="164"/>
    </row>
    <row r="487" spans="1:28" ht="15.6">
      <c r="A487" s="164"/>
      <c r="B487" s="164"/>
      <c r="C487" s="164"/>
      <c r="D487" s="164"/>
      <c r="E487" s="164"/>
      <c r="F487" s="164"/>
      <c r="G487" s="164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  <c r="AA487" s="164"/>
      <c r="AB487" s="164"/>
    </row>
    <row r="488" spans="1:28" ht="15.6">
      <c r="A488" s="164"/>
      <c r="B488" s="164"/>
      <c r="C488" s="164"/>
      <c r="D488" s="164"/>
      <c r="E488" s="164"/>
      <c r="F488" s="164"/>
      <c r="G488" s="164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  <c r="AA488" s="164"/>
      <c r="AB488" s="164"/>
    </row>
    <row r="489" spans="1:28" ht="15.6">
      <c r="A489" s="164"/>
      <c r="B489" s="164"/>
      <c r="C489" s="164"/>
      <c r="D489" s="164"/>
      <c r="E489" s="164"/>
      <c r="F489" s="164"/>
      <c r="G489" s="164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  <c r="AA489" s="164"/>
      <c r="AB489" s="164"/>
    </row>
    <row r="490" spans="1:28" ht="15.6">
      <c r="A490" s="164"/>
      <c r="B490" s="164"/>
      <c r="C490" s="164"/>
      <c r="D490" s="164"/>
      <c r="E490" s="164"/>
      <c r="F490" s="164"/>
      <c r="G490" s="164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  <c r="AA490" s="164"/>
      <c r="AB490" s="164"/>
    </row>
    <row r="491" spans="1:28" ht="15.6">
      <c r="A491" s="164"/>
      <c r="B491" s="164"/>
      <c r="C491" s="164"/>
      <c r="D491" s="164"/>
      <c r="E491" s="164"/>
      <c r="F491" s="164"/>
      <c r="G491" s="164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  <c r="AA491" s="164"/>
      <c r="AB491" s="164"/>
    </row>
    <row r="492" spans="1:28" ht="15.6">
      <c r="A492" s="164"/>
      <c r="B492" s="164"/>
      <c r="C492" s="164"/>
      <c r="D492" s="164"/>
      <c r="E492" s="164"/>
      <c r="F492" s="164"/>
      <c r="G492" s="164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  <c r="AA492" s="164"/>
      <c r="AB492" s="164"/>
    </row>
    <row r="493" spans="1:28" ht="15.6">
      <c r="A493" s="164"/>
      <c r="B493" s="164"/>
      <c r="C493" s="164"/>
      <c r="D493" s="164"/>
      <c r="E493" s="164"/>
      <c r="F493" s="164"/>
      <c r="G493" s="164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  <c r="AA493" s="164"/>
      <c r="AB493" s="164"/>
    </row>
    <row r="494" spans="1:28" ht="15.6">
      <c r="A494" s="164"/>
      <c r="B494" s="164"/>
      <c r="C494" s="164"/>
      <c r="D494" s="164"/>
      <c r="E494" s="164"/>
      <c r="F494" s="164"/>
      <c r="G494" s="164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  <c r="AA494" s="164"/>
      <c r="AB494" s="164"/>
    </row>
    <row r="495" spans="1:28" ht="15.6">
      <c r="A495" s="164"/>
      <c r="B495" s="164"/>
      <c r="C495" s="164"/>
      <c r="D495" s="164"/>
      <c r="E495" s="164"/>
      <c r="F495" s="164"/>
      <c r="G495" s="164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  <c r="AA495" s="164"/>
      <c r="AB495" s="164"/>
    </row>
    <row r="496" spans="1:28" ht="15.6">
      <c r="A496" s="164"/>
      <c r="B496" s="164"/>
      <c r="C496" s="164"/>
      <c r="D496" s="164"/>
      <c r="E496" s="164"/>
      <c r="F496" s="164"/>
      <c r="G496" s="164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  <c r="AA496" s="164"/>
      <c r="AB496" s="164"/>
    </row>
    <row r="497" spans="1:28" ht="15.6">
      <c r="A497" s="164"/>
      <c r="B497" s="164"/>
      <c r="C497" s="164"/>
      <c r="D497" s="164"/>
      <c r="E497" s="164"/>
      <c r="F497" s="164"/>
      <c r="G497" s="164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  <c r="AA497" s="164"/>
      <c r="AB497" s="164"/>
    </row>
    <row r="498" spans="1:28" ht="15.6">
      <c r="A498" s="164"/>
      <c r="B498" s="164"/>
      <c r="C498" s="164"/>
      <c r="D498" s="164"/>
      <c r="E498" s="164"/>
      <c r="F498" s="164"/>
      <c r="G498" s="164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  <c r="AA498" s="164"/>
      <c r="AB498" s="164"/>
    </row>
    <row r="499" spans="1:28" ht="15.6">
      <c r="A499" s="164"/>
      <c r="B499" s="164"/>
      <c r="C499" s="164"/>
      <c r="D499" s="164"/>
      <c r="E499" s="164"/>
      <c r="F499" s="164"/>
      <c r="G499" s="164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  <c r="AA499" s="164"/>
      <c r="AB499" s="164"/>
    </row>
    <row r="500" spans="1:28" ht="15.6">
      <c r="A500" s="164"/>
      <c r="B500" s="164"/>
      <c r="C500" s="164"/>
      <c r="D500" s="164"/>
      <c r="E500" s="164"/>
      <c r="F500" s="164"/>
      <c r="G500" s="164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  <c r="AA500" s="164"/>
      <c r="AB500" s="164"/>
    </row>
    <row r="501" spans="1:28" ht="15.6">
      <c r="A501" s="164"/>
      <c r="B501" s="164"/>
      <c r="C501" s="164"/>
      <c r="D501" s="164"/>
      <c r="E501" s="164"/>
      <c r="F501" s="164"/>
      <c r="G501" s="164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  <c r="AA501" s="164"/>
      <c r="AB501" s="164"/>
    </row>
    <row r="502" spans="1:28" ht="15.6">
      <c r="A502" s="164"/>
      <c r="B502" s="164"/>
      <c r="C502" s="164"/>
      <c r="D502" s="164"/>
      <c r="E502" s="164"/>
      <c r="F502" s="164"/>
      <c r="G502" s="164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  <c r="AA502" s="164"/>
      <c r="AB502" s="164"/>
    </row>
    <row r="503" spans="1:28" ht="15.6">
      <c r="A503" s="164"/>
      <c r="B503" s="164"/>
      <c r="C503" s="164"/>
      <c r="D503" s="164"/>
      <c r="E503" s="164"/>
      <c r="F503" s="164"/>
      <c r="G503" s="164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  <c r="AA503" s="164"/>
      <c r="AB503" s="164"/>
    </row>
    <row r="504" spans="1:28" ht="15.6">
      <c r="A504" s="164"/>
      <c r="B504" s="164"/>
      <c r="C504" s="164"/>
      <c r="D504" s="164"/>
      <c r="E504" s="164"/>
      <c r="F504" s="164"/>
      <c r="G504" s="164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  <c r="AA504" s="164"/>
      <c r="AB504" s="164"/>
    </row>
    <row r="505" spans="1:28" ht="15.6">
      <c r="A505" s="164"/>
      <c r="B505" s="164"/>
      <c r="C505" s="164"/>
      <c r="D505" s="164"/>
      <c r="E505" s="164"/>
      <c r="F505" s="164"/>
      <c r="G505" s="164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  <c r="AA505" s="164"/>
      <c r="AB505" s="164"/>
    </row>
    <row r="506" spans="1:28" ht="15.6">
      <c r="A506" s="164"/>
      <c r="B506" s="164"/>
      <c r="C506" s="164"/>
      <c r="D506" s="164"/>
      <c r="E506" s="164"/>
      <c r="F506" s="164"/>
      <c r="G506" s="164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  <c r="AA506" s="164"/>
      <c r="AB506" s="164"/>
    </row>
    <row r="507" spans="1:28" ht="15.6">
      <c r="A507" s="164"/>
      <c r="B507" s="164"/>
      <c r="C507" s="164"/>
      <c r="D507" s="164"/>
      <c r="E507" s="164"/>
      <c r="F507" s="164"/>
      <c r="G507" s="164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  <c r="AA507" s="164"/>
      <c r="AB507" s="164"/>
    </row>
    <row r="508" spans="1:28" ht="15.6">
      <c r="A508" s="164"/>
      <c r="B508" s="164"/>
      <c r="C508" s="164"/>
      <c r="D508" s="164"/>
      <c r="E508" s="164"/>
      <c r="F508" s="164"/>
      <c r="G508" s="164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  <c r="AA508" s="164"/>
      <c r="AB508" s="164"/>
    </row>
    <row r="509" spans="1:28" ht="15.6">
      <c r="A509" s="164"/>
      <c r="B509" s="164"/>
      <c r="C509" s="164"/>
      <c r="D509" s="164"/>
      <c r="E509" s="164"/>
      <c r="F509" s="164"/>
      <c r="G509" s="164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  <c r="AA509" s="164"/>
      <c r="AB509" s="164"/>
    </row>
    <row r="510" spans="1:28" ht="15.6">
      <c r="A510" s="164"/>
      <c r="B510" s="164"/>
      <c r="C510" s="164"/>
      <c r="D510" s="164"/>
      <c r="E510" s="164"/>
      <c r="F510" s="164"/>
      <c r="G510" s="164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  <c r="AA510" s="164"/>
      <c r="AB510" s="164"/>
    </row>
    <row r="511" spans="1:28" ht="15.6">
      <c r="A511" s="164"/>
      <c r="B511" s="164"/>
      <c r="C511" s="164"/>
      <c r="D511" s="164"/>
      <c r="E511" s="164"/>
      <c r="F511" s="164"/>
      <c r="G511" s="164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  <c r="AA511" s="164"/>
      <c r="AB511" s="164"/>
    </row>
    <row r="512" spans="1:28" ht="15.6">
      <c r="A512" s="164"/>
      <c r="B512" s="164"/>
      <c r="C512" s="164"/>
      <c r="D512" s="164"/>
      <c r="E512" s="164"/>
      <c r="F512" s="164"/>
      <c r="G512" s="164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  <c r="AA512" s="164"/>
      <c r="AB512" s="164"/>
    </row>
    <row r="513" spans="1:28" ht="15.6">
      <c r="A513" s="164"/>
      <c r="B513" s="164"/>
      <c r="C513" s="164"/>
      <c r="D513" s="164"/>
      <c r="E513" s="164"/>
      <c r="F513" s="164"/>
      <c r="G513" s="164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  <c r="AA513" s="164"/>
      <c r="AB513" s="164"/>
    </row>
    <row r="514" spans="1:28" ht="15.6">
      <c r="A514" s="164"/>
      <c r="B514" s="164"/>
      <c r="C514" s="164"/>
      <c r="D514" s="164"/>
      <c r="E514" s="164"/>
      <c r="F514" s="164"/>
      <c r="G514" s="164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  <c r="AA514" s="164"/>
      <c r="AB514" s="164"/>
    </row>
    <row r="515" spans="1:28" ht="15.6">
      <c r="A515" s="164"/>
      <c r="B515" s="164"/>
      <c r="C515" s="164"/>
      <c r="D515" s="164"/>
      <c r="E515" s="164"/>
      <c r="F515" s="164"/>
      <c r="G515" s="164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  <c r="AA515" s="164"/>
      <c r="AB515" s="164"/>
    </row>
    <row r="516" spans="1:28" ht="15.6">
      <c r="A516" s="164"/>
      <c r="B516" s="164"/>
      <c r="C516" s="164"/>
      <c r="D516" s="164"/>
      <c r="E516" s="164"/>
      <c r="F516" s="164"/>
      <c r="G516" s="164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  <c r="AA516" s="164"/>
      <c r="AB516" s="164"/>
    </row>
    <row r="517" spans="1:28" ht="15.6">
      <c r="A517" s="164"/>
      <c r="B517" s="164"/>
      <c r="C517" s="164"/>
      <c r="D517" s="164"/>
      <c r="E517" s="164"/>
      <c r="F517" s="164"/>
      <c r="G517" s="164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  <c r="AA517" s="164"/>
      <c r="AB517" s="164"/>
    </row>
    <row r="518" spans="1:28" ht="15.6">
      <c r="A518" s="164"/>
      <c r="B518" s="164"/>
      <c r="C518" s="164"/>
      <c r="D518" s="164"/>
      <c r="E518" s="164"/>
      <c r="F518" s="164"/>
      <c r="G518" s="164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  <c r="AA518" s="164"/>
      <c r="AB518" s="164"/>
    </row>
    <row r="519" spans="1:28" ht="15.6">
      <c r="A519" s="164"/>
      <c r="B519" s="164"/>
      <c r="C519" s="164"/>
      <c r="D519" s="164"/>
      <c r="E519" s="164"/>
      <c r="F519" s="164"/>
      <c r="G519" s="164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  <c r="AA519" s="164"/>
      <c r="AB519" s="164"/>
    </row>
    <row r="520" spans="1:28" ht="15.6">
      <c r="A520" s="164"/>
      <c r="B520" s="164"/>
      <c r="C520" s="164"/>
      <c r="D520" s="164"/>
      <c r="E520" s="164"/>
      <c r="F520" s="164"/>
      <c r="G520" s="164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  <c r="AA520" s="164"/>
      <c r="AB520" s="164"/>
    </row>
    <row r="521" spans="1:28" ht="15.6">
      <c r="A521" s="164"/>
      <c r="B521" s="164"/>
      <c r="C521" s="164"/>
      <c r="D521" s="164"/>
      <c r="E521" s="164"/>
      <c r="F521" s="164"/>
      <c r="G521" s="164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  <c r="AA521" s="164"/>
      <c r="AB521" s="164"/>
    </row>
    <row r="522" spans="1:28" ht="15.6">
      <c r="A522" s="164"/>
      <c r="B522" s="164"/>
      <c r="C522" s="164"/>
      <c r="D522" s="164"/>
      <c r="E522" s="164"/>
      <c r="F522" s="164"/>
      <c r="G522" s="164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  <c r="AA522" s="164"/>
      <c r="AB522" s="164"/>
    </row>
    <row r="523" spans="1:28" ht="15.6">
      <c r="A523" s="164"/>
      <c r="B523" s="164"/>
      <c r="C523" s="164"/>
      <c r="D523" s="164"/>
      <c r="E523" s="164"/>
      <c r="F523" s="164"/>
      <c r="G523" s="164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  <c r="AA523" s="164"/>
      <c r="AB523" s="164"/>
    </row>
    <row r="524" spans="1:28" ht="15.6">
      <c r="A524" s="164"/>
      <c r="B524" s="164"/>
      <c r="C524" s="164"/>
      <c r="D524" s="164"/>
      <c r="E524" s="164"/>
      <c r="F524" s="164"/>
      <c r="G524" s="164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  <c r="AA524" s="164"/>
      <c r="AB524" s="164"/>
    </row>
    <row r="525" spans="1:28" ht="15.6">
      <c r="A525" s="164"/>
      <c r="B525" s="164"/>
      <c r="C525" s="164"/>
      <c r="D525" s="164"/>
      <c r="E525" s="164"/>
      <c r="F525" s="164"/>
      <c r="G525" s="164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  <c r="AA525" s="164"/>
      <c r="AB525" s="164"/>
    </row>
    <row r="526" spans="1:28" ht="15.6">
      <c r="A526" s="164"/>
      <c r="B526" s="164"/>
      <c r="C526" s="164"/>
      <c r="D526" s="164"/>
      <c r="E526" s="164"/>
      <c r="F526" s="164"/>
      <c r="G526" s="164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  <c r="AA526" s="164"/>
      <c r="AB526" s="164"/>
    </row>
    <row r="527" spans="1:28" ht="15.6">
      <c r="A527" s="164"/>
      <c r="B527" s="164"/>
      <c r="C527" s="164"/>
      <c r="D527" s="164"/>
      <c r="E527" s="164"/>
      <c r="F527" s="164"/>
      <c r="G527" s="164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  <c r="AA527" s="164"/>
      <c r="AB527" s="164"/>
    </row>
    <row r="528" spans="1:28" ht="15.6">
      <c r="A528" s="164"/>
      <c r="B528" s="164"/>
      <c r="C528" s="164"/>
      <c r="D528" s="164"/>
      <c r="E528" s="164"/>
      <c r="F528" s="164"/>
      <c r="G528" s="164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</row>
    <row r="529" spans="1:28" ht="15.6">
      <c r="A529" s="164"/>
      <c r="B529" s="164"/>
      <c r="C529" s="164"/>
      <c r="D529" s="164"/>
      <c r="E529" s="164"/>
      <c r="F529" s="164"/>
      <c r="G529" s="164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</row>
    <row r="530" spans="1:28" ht="15.6">
      <c r="A530" s="164"/>
      <c r="B530" s="164"/>
      <c r="C530" s="164"/>
      <c r="D530" s="164"/>
      <c r="E530" s="164"/>
      <c r="F530" s="164"/>
      <c r="G530" s="164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  <c r="AA530" s="164"/>
      <c r="AB530" s="164"/>
    </row>
    <row r="531" spans="1:28" ht="15.6">
      <c r="A531" s="164"/>
      <c r="B531" s="164"/>
      <c r="C531" s="164"/>
      <c r="D531" s="164"/>
      <c r="E531" s="164"/>
      <c r="F531" s="164"/>
      <c r="G531" s="164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</row>
    <row r="532" spans="1:28" ht="15.6">
      <c r="A532" s="164"/>
      <c r="B532" s="164"/>
      <c r="C532" s="164"/>
      <c r="D532" s="164"/>
      <c r="E532" s="164"/>
      <c r="F532" s="164"/>
      <c r="G532" s="164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</row>
    <row r="533" spans="1:28" ht="15.6">
      <c r="A533" s="164"/>
      <c r="B533" s="164"/>
      <c r="C533" s="164"/>
      <c r="D533" s="164"/>
      <c r="E533" s="164"/>
      <c r="F533" s="164"/>
      <c r="G533" s="164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  <c r="AA533" s="164"/>
      <c r="AB533" s="164"/>
    </row>
    <row r="534" spans="1:28" ht="15.6">
      <c r="A534" s="164"/>
      <c r="B534" s="164"/>
      <c r="C534" s="164"/>
      <c r="D534" s="164"/>
      <c r="E534" s="164"/>
      <c r="F534" s="164"/>
      <c r="G534" s="164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  <c r="AA534" s="164"/>
      <c r="AB534" s="164"/>
    </row>
    <row r="535" spans="1:28" ht="15.6">
      <c r="A535" s="164"/>
      <c r="B535" s="164"/>
      <c r="C535" s="164"/>
      <c r="D535" s="164"/>
      <c r="E535" s="164"/>
      <c r="F535" s="164"/>
      <c r="G535" s="164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  <c r="AA535" s="164"/>
      <c r="AB535" s="164"/>
    </row>
    <row r="536" spans="1:28" ht="15.6">
      <c r="A536" s="164"/>
      <c r="B536" s="164"/>
      <c r="C536" s="164"/>
      <c r="D536" s="164"/>
      <c r="E536" s="164"/>
      <c r="F536" s="164"/>
      <c r="G536" s="164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  <c r="AA536" s="164"/>
      <c r="AB536" s="164"/>
    </row>
    <row r="537" spans="1:28" ht="15.6">
      <c r="A537" s="164"/>
      <c r="B537" s="164"/>
      <c r="C537" s="164"/>
      <c r="D537" s="164"/>
      <c r="E537" s="164"/>
      <c r="F537" s="164"/>
      <c r="G537" s="164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  <c r="AA537" s="164"/>
      <c r="AB537" s="164"/>
    </row>
    <row r="538" spans="1:28" ht="15.6">
      <c r="A538" s="164"/>
      <c r="B538" s="164"/>
      <c r="C538" s="164"/>
      <c r="D538" s="164"/>
      <c r="E538" s="164"/>
      <c r="F538" s="164"/>
      <c r="G538" s="164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  <c r="AA538" s="164"/>
      <c r="AB538" s="164"/>
    </row>
    <row r="539" spans="1:28" ht="15.6">
      <c r="A539" s="164"/>
      <c r="B539" s="164"/>
      <c r="C539" s="164"/>
      <c r="D539" s="164"/>
      <c r="E539" s="164"/>
      <c r="F539" s="164"/>
      <c r="G539" s="164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  <c r="AA539" s="164"/>
      <c r="AB539" s="164"/>
    </row>
    <row r="540" spans="1:28" ht="15.6">
      <c r="A540" s="164"/>
      <c r="B540" s="164"/>
      <c r="C540" s="164"/>
      <c r="D540" s="164"/>
      <c r="E540" s="164"/>
      <c r="F540" s="164"/>
      <c r="G540" s="164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  <c r="AA540" s="164"/>
      <c r="AB540" s="164"/>
    </row>
    <row r="541" spans="1:28" ht="15.6">
      <c r="A541" s="164"/>
      <c r="B541" s="164"/>
      <c r="C541" s="164"/>
      <c r="D541" s="164"/>
      <c r="E541" s="164"/>
      <c r="F541" s="164"/>
      <c r="G541" s="164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  <c r="AA541" s="164"/>
      <c r="AB541" s="164"/>
    </row>
    <row r="542" spans="1:28" ht="15.6">
      <c r="A542" s="164"/>
      <c r="B542" s="164"/>
      <c r="C542" s="164"/>
      <c r="D542" s="164"/>
      <c r="E542" s="164"/>
      <c r="F542" s="164"/>
      <c r="G542" s="164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  <c r="AA542" s="164"/>
      <c r="AB542" s="164"/>
    </row>
    <row r="543" spans="1:28" ht="15.6">
      <c r="A543" s="164"/>
      <c r="B543" s="164"/>
      <c r="C543" s="164"/>
      <c r="D543" s="164"/>
      <c r="E543" s="164"/>
      <c r="F543" s="164"/>
      <c r="G543" s="164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  <c r="AA543" s="164"/>
      <c r="AB543" s="164"/>
    </row>
    <row r="544" spans="1:28" ht="15.6">
      <c r="A544" s="164"/>
      <c r="B544" s="164"/>
      <c r="C544" s="164"/>
      <c r="D544" s="164"/>
      <c r="E544" s="164"/>
      <c r="F544" s="164"/>
      <c r="G544" s="164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  <c r="AA544" s="164"/>
      <c r="AB544" s="164"/>
    </row>
    <row r="545" spans="1:28" ht="15.6">
      <c r="A545" s="164"/>
      <c r="B545" s="164"/>
      <c r="C545" s="164"/>
      <c r="D545" s="164"/>
      <c r="E545" s="164"/>
      <c r="F545" s="164"/>
      <c r="G545" s="164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  <c r="AA545" s="164"/>
      <c r="AB545" s="164"/>
    </row>
    <row r="546" spans="1:28" ht="15.6">
      <c r="A546" s="164"/>
      <c r="B546" s="164"/>
      <c r="C546" s="164"/>
      <c r="D546" s="164"/>
      <c r="E546" s="164"/>
      <c r="F546" s="164"/>
      <c r="G546" s="164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  <c r="AA546" s="164"/>
      <c r="AB546" s="164"/>
    </row>
    <row r="547" spans="1:28" ht="15.6">
      <c r="A547" s="164"/>
      <c r="B547" s="164"/>
      <c r="C547" s="164"/>
      <c r="D547" s="164"/>
      <c r="E547" s="164"/>
      <c r="F547" s="164"/>
      <c r="G547" s="164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  <c r="AA547" s="164"/>
      <c r="AB547" s="164"/>
    </row>
    <row r="548" spans="1:28" ht="15.6">
      <c r="A548" s="164"/>
      <c r="B548" s="164"/>
      <c r="C548" s="164"/>
      <c r="D548" s="164"/>
      <c r="E548" s="164"/>
      <c r="F548" s="164"/>
      <c r="G548" s="164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  <c r="AA548" s="164"/>
      <c r="AB548" s="164"/>
    </row>
    <row r="549" spans="1:28" ht="15.6">
      <c r="A549" s="164"/>
      <c r="B549" s="164"/>
      <c r="C549" s="164"/>
      <c r="D549" s="164"/>
      <c r="E549" s="164"/>
      <c r="F549" s="164"/>
      <c r="G549" s="164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  <c r="AA549" s="164"/>
      <c r="AB549" s="164"/>
    </row>
    <row r="550" spans="1:28" ht="15.6">
      <c r="A550" s="164"/>
      <c r="B550" s="164"/>
      <c r="C550" s="164"/>
      <c r="D550" s="164"/>
      <c r="E550" s="164"/>
      <c r="F550" s="164"/>
      <c r="G550" s="164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  <c r="AA550" s="164"/>
      <c r="AB550" s="164"/>
    </row>
    <row r="551" spans="1:28" ht="15.6">
      <c r="A551" s="164"/>
      <c r="B551" s="164"/>
      <c r="C551" s="164"/>
      <c r="D551" s="164"/>
      <c r="E551" s="164"/>
      <c r="F551" s="164"/>
      <c r="G551" s="164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  <c r="AA551" s="164"/>
      <c r="AB551" s="164"/>
    </row>
    <row r="552" spans="1:28" ht="15.6">
      <c r="A552" s="164"/>
      <c r="B552" s="164"/>
      <c r="C552" s="164"/>
      <c r="D552" s="164"/>
      <c r="E552" s="164"/>
      <c r="F552" s="164"/>
      <c r="G552" s="164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  <c r="AA552" s="164"/>
      <c r="AB552" s="164"/>
    </row>
    <row r="553" spans="1:28" ht="15.6">
      <c r="A553" s="164"/>
      <c r="B553" s="164"/>
      <c r="C553" s="164"/>
      <c r="D553" s="164"/>
      <c r="E553" s="164"/>
      <c r="F553" s="164"/>
      <c r="G553" s="164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  <c r="AA553" s="164"/>
      <c r="AB553" s="164"/>
    </row>
    <row r="554" spans="1:28" ht="15.6">
      <c r="A554" s="164"/>
      <c r="B554" s="164"/>
      <c r="C554" s="164"/>
      <c r="D554" s="164"/>
      <c r="E554" s="164"/>
      <c r="F554" s="164"/>
      <c r="G554" s="164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  <c r="AA554" s="164"/>
      <c r="AB554" s="164"/>
    </row>
    <row r="555" spans="1:28" ht="15.6">
      <c r="A555" s="164"/>
      <c r="B555" s="164"/>
      <c r="C555" s="164"/>
      <c r="D555" s="164"/>
      <c r="E555" s="164"/>
      <c r="F555" s="164"/>
      <c r="G555" s="164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  <c r="AA555" s="164"/>
      <c r="AB555" s="164"/>
    </row>
    <row r="556" spans="1:28" ht="15.6">
      <c r="A556" s="164"/>
      <c r="B556" s="164"/>
      <c r="C556" s="164"/>
      <c r="D556" s="164"/>
      <c r="E556" s="164"/>
      <c r="F556" s="164"/>
      <c r="G556" s="164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  <c r="AA556" s="164"/>
      <c r="AB556" s="164"/>
    </row>
    <row r="557" spans="1:28" ht="15.6">
      <c r="A557" s="164"/>
      <c r="B557" s="164"/>
      <c r="C557" s="164"/>
      <c r="D557" s="164"/>
      <c r="E557" s="164"/>
      <c r="F557" s="164"/>
      <c r="G557" s="164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  <c r="AA557" s="164"/>
      <c r="AB557" s="164"/>
    </row>
    <row r="558" spans="1:28" ht="15.6">
      <c r="A558" s="164"/>
      <c r="B558" s="164"/>
      <c r="C558" s="164"/>
      <c r="D558" s="164"/>
      <c r="E558" s="164"/>
      <c r="F558" s="164"/>
      <c r="G558" s="164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  <c r="AA558" s="164"/>
      <c r="AB558" s="164"/>
    </row>
    <row r="559" spans="1:28" ht="15.6">
      <c r="A559" s="164"/>
      <c r="B559" s="164"/>
      <c r="C559" s="164"/>
      <c r="D559" s="164"/>
      <c r="E559" s="164"/>
      <c r="F559" s="164"/>
      <c r="G559" s="164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  <c r="AA559" s="164"/>
      <c r="AB559" s="164"/>
    </row>
    <row r="560" spans="1:28" ht="15.6">
      <c r="A560" s="164"/>
      <c r="B560" s="164"/>
      <c r="C560" s="164"/>
      <c r="D560" s="164"/>
      <c r="E560" s="164"/>
      <c r="F560" s="164"/>
      <c r="G560" s="164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  <c r="AA560" s="164"/>
      <c r="AB560" s="164"/>
    </row>
    <row r="561" spans="1:28" ht="15.6">
      <c r="A561" s="164"/>
      <c r="B561" s="164"/>
      <c r="C561" s="164"/>
      <c r="D561" s="164"/>
      <c r="E561" s="164"/>
      <c r="F561" s="164"/>
      <c r="G561" s="164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  <c r="AA561" s="164"/>
      <c r="AB561" s="164"/>
    </row>
    <row r="562" spans="1:28" ht="15.6">
      <c r="A562" s="164"/>
      <c r="B562" s="164"/>
      <c r="C562" s="164"/>
      <c r="D562" s="164"/>
      <c r="E562" s="164"/>
      <c r="F562" s="164"/>
      <c r="G562" s="164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  <c r="AA562" s="164"/>
      <c r="AB562" s="164"/>
    </row>
    <row r="563" spans="1:28" ht="15.6">
      <c r="A563" s="164"/>
      <c r="B563" s="164"/>
      <c r="C563" s="164"/>
      <c r="D563" s="164"/>
      <c r="E563" s="164"/>
      <c r="F563" s="164"/>
      <c r="G563" s="164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  <c r="AA563" s="164"/>
      <c r="AB563" s="164"/>
    </row>
    <row r="564" spans="1:28" ht="15.6">
      <c r="A564" s="164"/>
      <c r="B564" s="164"/>
      <c r="C564" s="164"/>
      <c r="D564" s="164"/>
      <c r="E564" s="164"/>
      <c r="F564" s="164"/>
      <c r="G564" s="164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  <c r="AA564" s="164"/>
      <c r="AB564" s="164"/>
    </row>
    <row r="565" spans="1:28" ht="15.6">
      <c r="A565" s="164"/>
      <c r="B565" s="164"/>
      <c r="C565" s="164"/>
      <c r="D565" s="164"/>
      <c r="E565" s="164"/>
      <c r="F565" s="164"/>
      <c r="G565" s="164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  <c r="AA565" s="164"/>
      <c r="AB565" s="164"/>
    </row>
    <row r="566" spans="1:28" ht="15.6">
      <c r="A566" s="164"/>
      <c r="B566" s="164"/>
      <c r="C566" s="164"/>
      <c r="D566" s="164"/>
      <c r="E566" s="164"/>
      <c r="F566" s="164"/>
      <c r="G566" s="164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  <c r="AA566" s="164"/>
      <c r="AB566" s="164"/>
    </row>
    <row r="567" spans="1:28" ht="15.6">
      <c r="A567" s="164"/>
      <c r="B567" s="164"/>
      <c r="C567" s="164"/>
      <c r="D567" s="164"/>
      <c r="E567" s="164"/>
      <c r="F567" s="164"/>
      <c r="G567" s="164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  <c r="AA567" s="164"/>
      <c r="AB567" s="164"/>
    </row>
    <row r="568" spans="1:28" ht="15.6">
      <c r="A568" s="164"/>
      <c r="B568" s="164"/>
      <c r="C568" s="164"/>
      <c r="D568" s="164"/>
      <c r="E568" s="164"/>
      <c r="F568" s="164"/>
      <c r="G568" s="164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  <c r="AA568" s="164"/>
      <c r="AB568" s="164"/>
    </row>
    <row r="569" spans="1:28" ht="15.6">
      <c r="A569" s="164"/>
      <c r="B569" s="164"/>
      <c r="C569" s="164"/>
      <c r="D569" s="164"/>
      <c r="E569" s="164"/>
      <c r="F569" s="164"/>
      <c r="G569" s="164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  <c r="AA569" s="164"/>
      <c r="AB569" s="164"/>
    </row>
    <row r="570" spans="1:28" ht="15.6">
      <c r="A570" s="164"/>
      <c r="B570" s="164"/>
      <c r="C570" s="164"/>
      <c r="D570" s="164"/>
      <c r="E570" s="164"/>
      <c r="F570" s="164"/>
      <c r="G570" s="164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  <c r="AA570" s="164"/>
      <c r="AB570" s="164"/>
    </row>
    <row r="571" spans="1:28" ht="15.6">
      <c r="A571" s="164"/>
      <c r="B571" s="164"/>
      <c r="C571" s="164"/>
      <c r="D571" s="164"/>
      <c r="E571" s="164"/>
      <c r="F571" s="164"/>
      <c r="G571" s="164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  <c r="AA571" s="164"/>
      <c r="AB571" s="164"/>
    </row>
    <row r="572" spans="1:28" ht="15.6">
      <c r="A572" s="164"/>
      <c r="B572" s="164"/>
      <c r="C572" s="164"/>
      <c r="D572" s="164"/>
      <c r="E572" s="164"/>
      <c r="F572" s="164"/>
      <c r="G572" s="164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  <c r="AA572" s="164"/>
      <c r="AB572" s="164"/>
    </row>
    <row r="573" spans="1:28" ht="15.6">
      <c r="A573" s="164"/>
      <c r="B573" s="164"/>
      <c r="C573" s="164"/>
      <c r="D573" s="164"/>
      <c r="E573" s="164"/>
      <c r="F573" s="164"/>
      <c r="G573" s="164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  <c r="AA573" s="164"/>
      <c r="AB573" s="164"/>
    </row>
    <row r="574" spans="1:28" ht="15.6">
      <c r="A574" s="164"/>
      <c r="B574" s="164"/>
      <c r="C574" s="164"/>
      <c r="D574" s="164"/>
      <c r="E574" s="164"/>
      <c r="F574" s="164"/>
      <c r="G574" s="164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  <c r="AA574" s="164"/>
      <c r="AB574" s="164"/>
    </row>
    <row r="575" spans="1:28" ht="15.6">
      <c r="A575" s="164"/>
      <c r="B575" s="164"/>
      <c r="C575" s="164"/>
      <c r="D575" s="164"/>
      <c r="E575" s="164"/>
      <c r="F575" s="164"/>
      <c r="G575" s="164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  <c r="AA575" s="164"/>
      <c r="AB575" s="164"/>
    </row>
    <row r="576" spans="1:28" ht="15.6">
      <c r="A576" s="164"/>
      <c r="B576" s="164"/>
      <c r="C576" s="164"/>
      <c r="D576" s="164"/>
      <c r="E576" s="164"/>
      <c r="F576" s="164"/>
      <c r="G576" s="164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  <c r="AA576" s="164"/>
      <c r="AB576" s="164"/>
    </row>
    <row r="577" spans="1:28" ht="15.6">
      <c r="A577" s="164"/>
      <c r="B577" s="164"/>
      <c r="C577" s="164"/>
      <c r="D577" s="164"/>
      <c r="E577" s="164"/>
      <c r="F577" s="164"/>
      <c r="G577" s="164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  <c r="AA577" s="164"/>
      <c r="AB577" s="164"/>
    </row>
    <row r="578" spans="1:28" ht="15.6">
      <c r="A578" s="164"/>
      <c r="B578" s="164"/>
      <c r="C578" s="164"/>
      <c r="D578" s="164"/>
      <c r="E578" s="164"/>
      <c r="F578" s="164"/>
      <c r="G578" s="164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  <c r="AA578" s="164"/>
      <c r="AB578" s="164"/>
    </row>
    <row r="579" spans="1:28" ht="15.6">
      <c r="A579" s="164"/>
      <c r="B579" s="164"/>
      <c r="C579" s="164"/>
      <c r="D579" s="164"/>
      <c r="E579" s="164"/>
      <c r="F579" s="164"/>
      <c r="G579" s="164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  <c r="AA579" s="164"/>
      <c r="AB579" s="164"/>
    </row>
    <row r="580" spans="1:28" ht="15.6">
      <c r="A580" s="164"/>
      <c r="B580" s="164"/>
      <c r="C580" s="164"/>
      <c r="D580" s="164"/>
      <c r="E580" s="164"/>
      <c r="F580" s="164"/>
      <c r="G580" s="164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  <c r="AA580" s="164"/>
      <c r="AB580" s="164"/>
    </row>
    <row r="581" spans="1:28" ht="15.6">
      <c r="A581" s="164"/>
      <c r="B581" s="164"/>
      <c r="C581" s="164"/>
      <c r="D581" s="164"/>
      <c r="E581" s="164"/>
      <c r="F581" s="164"/>
      <c r="G581" s="164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  <c r="AA581" s="164"/>
      <c r="AB581" s="164"/>
    </row>
    <row r="582" spans="1:28" ht="15.6">
      <c r="A582" s="164"/>
      <c r="B582" s="164"/>
      <c r="C582" s="164"/>
      <c r="D582" s="164"/>
      <c r="E582" s="164"/>
      <c r="F582" s="164"/>
      <c r="G582" s="164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  <c r="AA582" s="164"/>
      <c r="AB582" s="164"/>
    </row>
    <row r="583" spans="1:28" ht="15.6">
      <c r="A583" s="164"/>
      <c r="B583" s="164"/>
      <c r="C583" s="164"/>
      <c r="D583" s="164"/>
      <c r="E583" s="164"/>
      <c r="F583" s="164"/>
      <c r="G583" s="164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  <c r="AA583" s="164"/>
      <c r="AB583" s="164"/>
    </row>
    <row r="584" spans="1:28" ht="15.6">
      <c r="A584" s="164"/>
      <c r="B584" s="164"/>
      <c r="C584" s="164"/>
      <c r="D584" s="164"/>
      <c r="E584" s="164"/>
      <c r="F584" s="164"/>
      <c r="G584" s="164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  <c r="AA584" s="164"/>
      <c r="AB584" s="164"/>
    </row>
    <row r="585" spans="1:28" ht="15.6">
      <c r="A585" s="164"/>
      <c r="B585" s="164"/>
      <c r="C585" s="164"/>
      <c r="D585" s="164"/>
      <c r="E585" s="164"/>
      <c r="F585" s="164"/>
      <c r="G585" s="164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  <c r="AA585" s="164"/>
      <c r="AB585" s="164"/>
    </row>
    <row r="586" spans="1:28" ht="15.6">
      <c r="A586" s="164"/>
      <c r="B586" s="164"/>
      <c r="C586" s="164"/>
      <c r="D586" s="164"/>
      <c r="E586" s="164"/>
      <c r="F586" s="164"/>
      <c r="G586" s="164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  <c r="AA586" s="164"/>
      <c r="AB586" s="164"/>
    </row>
    <row r="587" spans="1:28" ht="15.6">
      <c r="A587" s="164"/>
      <c r="B587" s="164"/>
      <c r="C587" s="164"/>
      <c r="D587" s="164"/>
      <c r="E587" s="164"/>
      <c r="F587" s="164"/>
      <c r="G587" s="164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  <c r="AA587" s="164"/>
      <c r="AB587" s="164"/>
    </row>
    <row r="588" spans="1:28" ht="15.6">
      <c r="A588" s="164"/>
      <c r="B588" s="164"/>
      <c r="C588" s="164"/>
      <c r="D588" s="164"/>
      <c r="E588" s="164"/>
      <c r="F588" s="164"/>
      <c r="G588" s="164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  <c r="AA588" s="164"/>
      <c r="AB588" s="164"/>
    </row>
    <row r="589" spans="1:28" ht="15.6">
      <c r="A589" s="164"/>
      <c r="B589" s="164"/>
      <c r="C589" s="164"/>
      <c r="D589" s="164"/>
      <c r="E589" s="164"/>
      <c r="F589" s="164"/>
      <c r="G589" s="164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  <c r="AA589" s="164"/>
      <c r="AB589" s="164"/>
    </row>
    <row r="590" spans="1:28" ht="15.6">
      <c r="A590" s="164"/>
      <c r="B590" s="164"/>
      <c r="C590" s="164"/>
      <c r="D590" s="164"/>
      <c r="E590" s="164"/>
      <c r="F590" s="164"/>
      <c r="G590" s="164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  <c r="AA590" s="164"/>
      <c r="AB590" s="164"/>
    </row>
    <row r="591" spans="1:28" ht="15.6">
      <c r="A591" s="164"/>
      <c r="B591" s="164"/>
      <c r="C591" s="164"/>
      <c r="D591" s="164"/>
      <c r="E591" s="164"/>
      <c r="F591" s="164"/>
      <c r="G591" s="164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</row>
    <row r="592" spans="1:28" ht="15.6">
      <c r="A592" s="164"/>
      <c r="B592" s="164"/>
      <c r="C592" s="164"/>
      <c r="D592" s="164"/>
      <c r="E592" s="164"/>
      <c r="F592" s="164"/>
      <c r="G592" s="164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</row>
    <row r="593" spans="1:28" ht="15.6">
      <c r="A593" s="164"/>
      <c r="B593" s="164"/>
      <c r="C593" s="164"/>
      <c r="D593" s="164"/>
      <c r="E593" s="164"/>
      <c r="F593" s="164"/>
      <c r="G593" s="164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  <c r="AA593" s="164"/>
      <c r="AB593" s="164"/>
    </row>
    <row r="594" spans="1:28" ht="15.6">
      <c r="A594" s="164"/>
      <c r="B594" s="164"/>
      <c r="C594" s="164"/>
      <c r="D594" s="164"/>
      <c r="E594" s="164"/>
      <c r="F594" s="164"/>
      <c r="G594" s="164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</row>
    <row r="595" spans="1:28" ht="15.6">
      <c r="A595" s="164"/>
      <c r="B595" s="164"/>
      <c r="C595" s="164"/>
      <c r="D595" s="164"/>
      <c r="E595" s="164"/>
      <c r="F595" s="164"/>
      <c r="G595" s="164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  <c r="AA595" s="164"/>
      <c r="AB595" s="164"/>
    </row>
    <row r="596" spans="1:28" ht="15.6">
      <c r="A596" s="164"/>
      <c r="B596" s="164"/>
      <c r="C596" s="164"/>
      <c r="D596" s="164"/>
      <c r="E596" s="164"/>
      <c r="F596" s="164"/>
      <c r="G596" s="164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  <c r="AA596" s="164"/>
      <c r="AB596" s="164"/>
    </row>
    <row r="597" spans="1:28" ht="15.6">
      <c r="A597" s="164"/>
      <c r="B597" s="164"/>
      <c r="C597" s="164"/>
      <c r="D597" s="164"/>
      <c r="E597" s="164"/>
      <c r="F597" s="164"/>
      <c r="G597" s="164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  <c r="AA597" s="164"/>
      <c r="AB597" s="164"/>
    </row>
    <row r="598" spans="1:28" ht="15.6">
      <c r="A598" s="164"/>
      <c r="B598" s="164"/>
      <c r="C598" s="164"/>
      <c r="D598" s="164"/>
      <c r="E598" s="164"/>
      <c r="F598" s="164"/>
      <c r="G598" s="164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  <c r="AA598" s="164"/>
      <c r="AB598" s="164"/>
    </row>
    <row r="599" spans="1:28" ht="15.6">
      <c r="A599" s="164"/>
      <c r="B599" s="164"/>
      <c r="C599" s="164"/>
      <c r="D599" s="164"/>
      <c r="E599" s="164"/>
      <c r="F599" s="164"/>
      <c r="G599" s="164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  <c r="AA599" s="164"/>
      <c r="AB599" s="164"/>
    </row>
    <row r="600" spans="1:28" ht="15.6">
      <c r="A600" s="164"/>
      <c r="B600" s="164"/>
      <c r="C600" s="164"/>
      <c r="D600" s="164"/>
      <c r="E600" s="164"/>
      <c r="F600" s="164"/>
      <c r="G600" s="164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  <c r="AA600" s="164"/>
      <c r="AB600" s="164"/>
    </row>
    <row r="601" spans="1:28" ht="15.6">
      <c r="A601" s="164"/>
      <c r="B601" s="164"/>
      <c r="C601" s="164"/>
      <c r="D601" s="164"/>
      <c r="E601" s="164"/>
      <c r="F601" s="164"/>
      <c r="G601" s="164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  <c r="AA601" s="164"/>
      <c r="AB601" s="164"/>
    </row>
    <row r="602" spans="1:28" ht="15.6">
      <c r="A602" s="164"/>
      <c r="B602" s="164"/>
      <c r="C602" s="164"/>
      <c r="D602" s="164"/>
      <c r="E602" s="164"/>
      <c r="F602" s="164"/>
      <c r="G602" s="164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  <c r="AA602" s="164"/>
      <c r="AB602" s="164"/>
    </row>
    <row r="603" spans="1:28" ht="15.6">
      <c r="A603" s="164"/>
      <c r="B603" s="164"/>
      <c r="C603" s="164"/>
      <c r="D603" s="164"/>
      <c r="E603" s="164"/>
      <c r="F603" s="164"/>
      <c r="G603" s="164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  <c r="AA603" s="164"/>
      <c r="AB603" s="164"/>
    </row>
    <row r="604" spans="1:28" ht="15.6">
      <c r="A604" s="164"/>
      <c r="B604" s="164"/>
      <c r="C604" s="164"/>
      <c r="D604" s="164"/>
      <c r="E604" s="164"/>
      <c r="F604" s="164"/>
      <c r="G604" s="164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  <c r="AA604" s="164"/>
      <c r="AB604" s="164"/>
    </row>
    <row r="605" spans="1:28" ht="15.6">
      <c r="A605" s="164"/>
      <c r="B605" s="164"/>
      <c r="C605" s="164"/>
      <c r="D605" s="164"/>
      <c r="E605" s="164"/>
      <c r="F605" s="164"/>
      <c r="G605" s="164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  <c r="AA605" s="164"/>
      <c r="AB605" s="164"/>
    </row>
    <row r="606" spans="1:28" ht="15.6">
      <c r="A606" s="164"/>
      <c r="B606" s="164"/>
      <c r="C606" s="164"/>
      <c r="D606" s="164"/>
      <c r="E606" s="164"/>
      <c r="F606" s="164"/>
      <c r="G606" s="164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  <c r="AA606" s="164"/>
      <c r="AB606" s="164"/>
    </row>
    <row r="607" spans="1:28" ht="15.6">
      <c r="A607" s="164"/>
      <c r="B607" s="164"/>
      <c r="C607" s="164"/>
      <c r="D607" s="164"/>
      <c r="E607" s="164"/>
      <c r="F607" s="164"/>
      <c r="G607" s="164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  <c r="AA607" s="164"/>
      <c r="AB607" s="164"/>
    </row>
    <row r="608" spans="1:28" ht="15.6">
      <c r="A608" s="164"/>
      <c r="B608" s="164"/>
      <c r="C608" s="164"/>
      <c r="D608" s="164"/>
      <c r="E608" s="164"/>
      <c r="F608" s="164"/>
      <c r="G608" s="164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  <c r="AA608" s="164"/>
      <c r="AB608" s="164"/>
    </row>
    <row r="609" spans="1:28" ht="15.6">
      <c r="A609" s="164"/>
      <c r="B609" s="164"/>
      <c r="C609" s="164"/>
      <c r="D609" s="164"/>
      <c r="E609" s="164"/>
      <c r="F609" s="164"/>
      <c r="G609" s="164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  <c r="AA609" s="164"/>
      <c r="AB609" s="164"/>
    </row>
    <row r="610" spans="1:28" ht="15.6">
      <c r="A610" s="164"/>
      <c r="B610" s="164"/>
      <c r="C610" s="164"/>
      <c r="D610" s="164"/>
      <c r="E610" s="164"/>
      <c r="F610" s="164"/>
      <c r="G610" s="164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  <c r="AA610" s="164"/>
      <c r="AB610" s="164"/>
    </row>
    <row r="611" spans="1:28" ht="15.6">
      <c r="A611" s="164"/>
      <c r="B611" s="164"/>
      <c r="C611" s="164"/>
      <c r="D611" s="164"/>
      <c r="E611" s="164"/>
      <c r="F611" s="164"/>
      <c r="G611" s="164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  <c r="AA611" s="164"/>
      <c r="AB611" s="164"/>
    </row>
    <row r="612" spans="1:28" ht="15.6">
      <c r="A612" s="164"/>
      <c r="B612" s="164"/>
      <c r="C612" s="164"/>
      <c r="D612" s="164"/>
      <c r="E612" s="164"/>
      <c r="F612" s="164"/>
      <c r="G612" s="164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  <c r="AA612" s="164"/>
      <c r="AB612" s="164"/>
    </row>
    <row r="613" spans="1:28" ht="15.6">
      <c r="A613" s="164"/>
      <c r="B613" s="164"/>
      <c r="C613" s="164"/>
      <c r="D613" s="164"/>
      <c r="E613" s="164"/>
      <c r="F613" s="164"/>
      <c r="G613" s="164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  <c r="AA613" s="164"/>
      <c r="AB613" s="164"/>
    </row>
    <row r="614" spans="1:28" ht="15.6">
      <c r="A614" s="164"/>
      <c r="B614" s="164"/>
      <c r="C614" s="164"/>
      <c r="D614" s="164"/>
      <c r="E614" s="164"/>
      <c r="F614" s="164"/>
      <c r="G614" s="164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  <c r="AA614" s="164"/>
      <c r="AB614" s="164"/>
    </row>
    <row r="615" spans="1:28" ht="15.6">
      <c r="A615" s="164"/>
      <c r="B615" s="164"/>
      <c r="C615" s="164"/>
      <c r="D615" s="164"/>
      <c r="E615" s="164"/>
      <c r="F615" s="164"/>
      <c r="G615" s="164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  <c r="AA615" s="164"/>
      <c r="AB615" s="164"/>
    </row>
    <row r="616" spans="1:28" ht="15.6">
      <c r="A616" s="164"/>
      <c r="B616" s="164"/>
      <c r="C616" s="164"/>
      <c r="D616" s="164"/>
      <c r="E616" s="164"/>
      <c r="F616" s="164"/>
      <c r="G616" s="164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  <c r="AA616" s="164"/>
      <c r="AB616" s="164"/>
    </row>
    <row r="617" spans="1:28" ht="15.6">
      <c r="A617" s="164"/>
      <c r="B617" s="164"/>
      <c r="C617" s="164"/>
      <c r="D617" s="164"/>
      <c r="E617" s="164"/>
      <c r="F617" s="164"/>
      <c r="G617" s="164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  <c r="AA617" s="164"/>
      <c r="AB617" s="164"/>
    </row>
    <row r="618" spans="1:28" ht="15.6">
      <c r="A618" s="164"/>
      <c r="B618" s="164"/>
      <c r="C618" s="164"/>
      <c r="D618" s="164"/>
      <c r="E618" s="164"/>
      <c r="F618" s="164"/>
      <c r="G618" s="164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  <c r="AA618" s="164"/>
      <c r="AB618" s="164"/>
    </row>
    <row r="619" spans="1:28" ht="15.6">
      <c r="A619" s="164"/>
      <c r="B619" s="164"/>
      <c r="C619" s="164"/>
      <c r="D619" s="164"/>
      <c r="E619" s="164"/>
      <c r="F619" s="164"/>
      <c r="G619" s="164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  <c r="AA619" s="164"/>
      <c r="AB619" s="164"/>
    </row>
    <row r="620" spans="1:28" ht="15.6">
      <c r="A620" s="164"/>
      <c r="B620" s="164"/>
      <c r="C620" s="164"/>
      <c r="D620" s="164"/>
      <c r="E620" s="164"/>
      <c r="F620" s="164"/>
      <c r="G620" s="164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  <c r="AA620" s="164"/>
      <c r="AB620" s="164"/>
    </row>
    <row r="621" spans="1:28" ht="15.6">
      <c r="A621" s="164"/>
      <c r="B621" s="164"/>
      <c r="C621" s="164"/>
      <c r="D621" s="164"/>
      <c r="E621" s="164"/>
      <c r="F621" s="164"/>
      <c r="G621" s="164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  <c r="AA621" s="164"/>
      <c r="AB621" s="164"/>
    </row>
    <row r="622" spans="1:28" ht="15.6">
      <c r="A622" s="164"/>
      <c r="B622" s="164"/>
      <c r="C622" s="164"/>
      <c r="D622" s="164"/>
      <c r="E622" s="164"/>
      <c r="F622" s="164"/>
      <c r="G622" s="164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  <c r="AA622" s="164"/>
      <c r="AB622" s="164"/>
    </row>
    <row r="623" spans="1:28" ht="15.6">
      <c r="A623" s="164"/>
      <c r="B623" s="164"/>
      <c r="C623" s="164"/>
      <c r="D623" s="164"/>
      <c r="E623" s="164"/>
      <c r="F623" s="164"/>
      <c r="G623" s="164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  <c r="AA623" s="164"/>
      <c r="AB623" s="164"/>
    </row>
    <row r="624" spans="1:28" ht="15.6">
      <c r="A624" s="164"/>
      <c r="B624" s="164"/>
      <c r="C624" s="164"/>
      <c r="D624" s="164"/>
      <c r="E624" s="164"/>
      <c r="F624" s="164"/>
      <c r="G624" s="164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  <c r="AA624" s="164"/>
      <c r="AB624" s="164"/>
    </row>
    <row r="625" spans="1:28" ht="15.6">
      <c r="A625" s="164"/>
      <c r="B625" s="164"/>
      <c r="C625" s="164"/>
      <c r="D625" s="164"/>
      <c r="E625" s="164"/>
      <c r="F625" s="164"/>
      <c r="G625" s="164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  <c r="AA625" s="164"/>
      <c r="AB625" s="164"/>
    </row>
    <row r="626" spans="1:28" ht="15.6">
      <c r="A626" s="164"/>
      <c r="B626" s="164"/>
      <c r="C626" s="164"/>
      <c r="D626" s="164"/>
      <c r="E626" s="164"/>
      <c r="F626" s="164"/>
      <c r="G626" s="164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  <c r="AA626" s="164"/>
      <c r="AB626" s="164"/>
    </row>
    <row r="627" spans="1:28" ht="15.6">
      <c r="A627" s="164"/>
      <c r="B627" s="164"/>
      <c r="C627" s="164"/>
      <c r="D627" s="164"/>
      <c r="E627" s="164"/>
      <c r="F627" s="164"/>
      <c r="G627" s="164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  <c r="AA627" s="164"/>
      <c r="AB627" s="164"/>
    </row>
    <row r="628" spans="1:28" ht="15.6">
      <c r="A628" s="164"/>
      <c r="B628" s="164"/>
      <c r="C628" s="164"/>
      <c r="D628" s="164"/>
      <c r="E628" s="164"/>
      <c r="F628" s="164"/>
      <c r="G628" s="164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  <c r="AA628" s="164"/>
      <c r="AB628" s="164"/>
    </row>
    <row r="629" spans="1:28" ht="15.6">
      <c r="A629" s="164"/>
      <c r="B629" s="164"/>
      <c r="C629" s="164"/>
      <c r="D629" s="164"/>
      <c r="E629" s="164"/>
      <c r="F629" s="164"/>
      <c r="G629" s="164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  <c r="AA629" s="164"/>
      <c r="AB629" s="164"/>
    </row>
    <row r="630" spans="1:28" ht="15.6">
      <c r="A630" s="164"/>
      <c r="B630" s="164"/>
      <c r="C630" s="164"/>
      <c r="D630" s="164"/>
      <c r="E630" s="164"/>
      <c r="F630" s="164"/>
      <c r="G630" s="164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  <c r="AA630" s="164"/>
      <c r="AB630" s="164"/>
    </row>
    <row r="631" spans="1:28" ht="15.6">
      <c r="A631" s="164"/>
      <c r="B631" s="164"/>
      <c r="C631" s="164"/>
      <c r="D631" s="164"/>
      <c r="E631" s="164"/>
      <c r="F631" s="164"/>
      <c r="G631" s="164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  <c r="AA631" s="164"/>
      <c r="AB631" s="164"/>
    </row>
    <row r="632" spans="1:28" ht="15.6">
      <c r="A632" s="164"/>
      <c r="B632" s="164"/>
      <c r="C632" s="164"/>
      <c r="D632" s="164"/>
      <c r="E632" s="164"/>
      <c r="F632" s="164"/>
      <c r="G632" s="164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  <c r="AA632" s="164"/>
      <c r="AB632" s="164"/>
    </row>
    <row r="633" spans="1:28" ht="15.6">
      <c r="A633" s="164"/>
      <c r="B633" s="164"/>
      <c r="C633" s="164"/>
      <c r="D633" s="164"/>
      <c r="E633" s="164"/>
      <c r="F633" s="164"/>
      <c r="G633" s="164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  <c r="AA633" s="164"/>
      <c r="AB633" s="164"/>
    </row>
    <row r="634" spans="1:28" ht="15.6">
      <c r="A634" s="164"/>
      <c r="B634" s="164"/>
      <c r="C634" s="164"/>
      <c r="D634" s="164"/>
      <c r="E634" s="164"/>
      <c r="F634" s="164"/>
      <c r="G634" s="164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  <c r="AA634" s="164"/>
      <c r="AB634" s="164"/>
    </row>
    <row r="635" spans="1:28" ht="15.6">
      <c r="A635" s="164"/>
      <c r="B635" s="164"/>
      <c r="C635" s="164"/>
      <c r="D635" s="164"/>
      <c r="E635" s="164"/>
      <c r="F635" s="164"/>
      <c r="G635" s="164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  <c r="AA635" s="164"/>
      <c r="AB635" s="164"/>
    </row>
    <row r="636" spans="1:28" ht="15.6">
      <c r="A636" s="164"/>
      <c r="B636" s="164"/>
      <c r="C636" s="164"/>
      <c r="D636" s="164"/>
      <c r="E636" s="164"/>
      <c r="F636" s="164"/>
      <c r="G636" s="164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  <c r="AA636" s="164"/>
      <c r="AB636" s="164"/>
    </row>
    <row r="637" spans="1:28" ht="15.6">
      <c r="A637" s="164"/>
      <c r="B637" s="164"/>
      <c r="C637" s="164"/>
      <c r="D637" s="164"/>
      <c r="E637" s="164"/>
      <c r="F637" s="164"/>
      <c r="G637" s="164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  <c r="AA637" s="164"/>
      <c r="AB637" s="164"/>
    </row>
    <row r="638" spans="1:28" ht="15.6">
      <c r="A638" s="164"/>
      <c r="B638" s="164"/>
      <c r="C638" s="164"/>
      <c r="D638" s="164"/>
      <c r="E638" s="164"/>
      <c r="F638" s="164"/>
      <c r="G638" s="164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  <c r="AA638" s="164"/>
      <c r="AB638" s="164"/>
    </row>
    <row r="639" spans="1:28" ht="15.6">
      <c r="A639" s="164"/>
      <c r="B639" s="164"/>
      <c r="C639" s="164"/>
      <c r="D639" s="164"/>
      <c r="E639" s="164"/>
      <c r="F639" s="164"/>
      <c r="G639" s="164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  <c r="AA639" s="164"/>
      <c r="AB639" s="164"/>
    </row>
    <row r="640" spans="1:28" ht="15.6">
      <c r="A640" s="164"/>
      <c r="B640" s="164"/>
      <c r="C640" s="164"/>
      <c r="D640" s="164"/>
      <c r="E640" s="164"/>
      <c r="F640" s="164"/>
      <c r="G640" s="164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  <c r="AA640" s="164"/>
      <c r="AB640" s="164"/>
    </row>
    <row r="641" spans="1:28" ht="15.6">
      <c r="A641" s="164"/>
      <c r="B641" s="164"/>
      <c r="C641" s="164"/>
      <c r="D641" s="164"/>
      <c r="E641" s="164"/>
      <c r="F641" s="164"/>
      <c r="G641" s="164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  <c r="AA641" s="164"/>
      <c r="AB641" s="164"/>
    </row>
    <row r="642" spans="1:28" ht="15.6">
      <c r="A642" s="164"/>
      <c r="B642" s="164"/>
      <c r="C642" s="164"/>
      <c r="D642" s="164"/>
      <c r="E642" s="164"/>
      <c r="F642" s="164"/>
      <c r="G642" s="164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  <c r="AA642" s="164"/>
      <c r="AB642" s="164"/>
    </row>
    <row r="643" spans="1:28" ht="15.6">
      <c r="A643" s="164"/>
      <c r="B643" s="164"/>
      <c r="C643" s="164"/>
      <c r="D643" s="164"/>
      <c r="E643" s="164"/>
      <c r="F643" s="164"/>
      <c r="G643" s="164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  <c r="AA643" s="164"/>
      <c r="AB643" s="164"/>
    </row>
    <row r="644" spans="1:28" ht="15.6">
      <c r="A644" s="164"/>
      <c r="B644" s="164"/>
      <c r="C644" s="164"/>
      <c r="D644" s="164"/>
      <c r="E644" s="164"/>
      <c r="F644" s="164"/>
      <c r="G644" s="164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  <c r="AA644" s="164"/>
      <c r="AB644" s="164"/>
    </row>
    <row r="645" spans="1:28" ht="15.6">
      <c r="A645" s="164"/>
      <c r="B645" s="164"/>
      <c r="C645" s="164"/>
      <c r="D645" s="164"/>
      <c r="E645" s="164"/>
      <c r="F645" s="164"/>
      <c r="G645" s="164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  <c r="AA645" s="164"/>
      <c r="AB645" s="164"/>
    </row>
    <row r="646" spans="1:28" ht="15.6">
      <c r="A646" s="164"/>
      <c r="B646" s="164"/>
      <c r="C646" s="164"/>
      <c r="D646" s="164"/>
      <c r="E646" s="164"/>
      <c r="F646" s="164"/>
      <c r="G646" s="164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  <c r="AA646" s="164"/>
      <c r="AB646" s="164"/>
    </row>
    <row r="647" spans="1:28" ht="15.6">
      <c r="A647" s="164"/>
      <c r="B647" s="164"/>
      <c r="C647" s="164"/>
      <c r="D647" s="164"/>
      <c r="E647" s="164"/>
      <c r="F647" s="164"/>
      <c r="G647" s="164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  <c r="AA647" s="164"/>
      <c r="AB647" s="164"/>
    </row>
    <row r="648" spans="1:28" ht="15.6">
      <c r="A648" s="164"/>
      <c r="B648" s="164"/>
      <c r="C648" s="164"/>
      <c r="D648" s="164"/>
      <c r="E648" s="164"/>
      <c r="F648" s="164"/>
      <c r="G648" s="164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  <c r="AA648" s="164"/>
      <c r="AB648" s="164"/>
    </row>
    <row r="649" spans="1:28" ht="15.6">
      <c r="A649" s="164"/>
      <c r="B649" s="164"/>
      <c r="C649" s="164"/>
      <c r="D649" s="164"/>
      <c r="E649" s="164"/>
      <c r="F649" s="164"/>
      <c r="G649" s="164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  <c r="AA649" s="164"/>
      <c r="AB649" s="164"/>
    </row>
    <row r="650" spans="1:28" ht="15.6">
      <c r="A650" s="164"/>
      <c r="B650" s="164"/>
      <c r="C650" s="164"/>
      <c r="D650" s="164"/>
      <c r="E650" s="164"/>
      <c r="F650" s="164"/>
      <c r="G650" s="164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  <c r="AA650" s="164"/>
      <c r="AB650" s="164"/>
    </row>
    <row r="651" spans="1:28" ht="15.6">
      <c r="A651" s="164"/>
      <c r="B651" s="164"/>
      <c r="C651" s="164"/>
      <c r="D651" s="164"/>
      <c r="E651" s="164"/>
      <c r="F651" s="164"/>
      <c r="G651" s="164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  <c r="AA651" s="164"/>
      <c r="AB651" s="164"/>
    </row>
    <row r="652" spans="1:28" ht="15.6">
      <c r="A652" s="164"/>
      <c r="B652" s="164"/>
      <c r="C652" s="164"/>
      <c r="D652" s="164"/>
      <c r="E652" s="164"/>
      <c r="F652" s="164"/>
      <c r="G652" s="164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  <c r="AA652" s="164"/>
      <c r="AB652" s="164"/>
    </row>
    <row r="653" spans="1:28" ht="15.6">
      <c r="A653" s="164"/>
      <c r="B653" s="164"/>
      <c r="C653" s="164"/>
      <c r="D653" s="164"/>
      <c r="E653" s="164"/>
      <c r="F653" s="164"/>
      <c r="G653" s="164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  <c r="AA653" s="164"/>
      <c r="AB653" s="164"/>
    </row>
    <row r="654" spans="1:28" ht="15.6">
      <c r="A654" s="164"/>
      <c r="B654" s="164"/>
      <c r="C654" s="164"/>
      <c r="D654" s="164"/>
      <c r="E654" s="164"/>
      <c r="F654" s="164"/>
      <c r="G654" s="164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  <c r="AA654" s="164"/>
      <c r="AB654" s="164"/>
    </row>
    <row r="655" spans="1:28" ht="15.6">
      <c r="A655" s="164"/>
      <c r="B655" s="164"/>
      <c r="C655" s="164"/>
      <c r="D655" s="164"/>
      <c r="E655" s="164"/>
      <c r="F655" s="164"/>
      <c r="G655" s="164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  <c r="AA655" s="164"/>
      <c r="AB655" s="164"/>
    </row>
    <row r="656" spans="1:28" ht="15.6">
      <c r="A656" s="164"/>
      <c r="B656" s="164"/>
      <c r="C656" s="164"/>
      <c r="D656" s="164"/>
      <c r="E656" s="164"/>
      <c r="F656" s="164"/>
      <c r="G656" s="164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  <c r="AA656" s="164"/>
      <c r="AB656" s="164"/>
    </row>
    <row r="657" spans="1:28" ht="15.6">
      <c r="A657" s="164"/>
      <c r="B657" s="164"/>
      <c r="C657" s="164"/>
      <c r="D657" s="164"/>
      <c r="E657" s="164"/>
      <c r="F657" s="164"/>
      <c r="G657" s="164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  <c r="AA657" s="164"/>
      <c r="AB657" s="164"/>
    </row>
    <row r="658" spans="1:28" ht="15.6">
      <c r="A658" s="164"/>
      <c r="B658" s="164"/>
      <c r="C658" s="164"/>
      <c r="D658" s="164"/>
      <c r="E658" s="164"/>
      <c r="F658" s="164"/>
      <c r="G658" s="164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  <c r="AA658" s="164"/>
      <c r="AB658" s="164"/>
    </row>
    <row r="659" spans="1:28" ht="15.6">
      <c r="A659" s="164"/>
      <c r="B659" s="164"/>
      <c r="C659" s="164"/>
      <c r="D659" s="164"/>
      <c r="E659" s="164"/>
      <c r="F659" s="164"/>
      <c r="G659" s="164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  <c r="AA659" s="164"/>
      <c r="AB659" s="164"/>
    </row>
    <row r="660" spans="1:28" ht="15.6">
      <c r="A660" s="164"/>
      <c r="B660" s="164"/>
      <c r="C660" s="164"/>
      <c r="D660" s="164"/>
      <c r="E660" s="164"/>
      <c r="F660" s="164"/>
      <c r="G660" s="164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  <c r="AA660" s="164"/>
      <c r="AB660" s="164"/>
    </row>
    <row r="661" spans="1:28" ht="15.6">
      <c r="A661" s="164"/>
      <c r="B661" s="164"/>
      <c r="C661" s="164"/>
      <c r="D661" s="164"/>
      <c r="E661" s="164"/>
      <c r="F661" s="164"/>
      <c r="G661" s="164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  <c r="AA661" s="164"/>
      <c r="AB661" s="164"/>
    </row>
    <row r="662" spans="1:28" ht="15.6">
      <c r="A662" s="164"/>
      <c r="B662" s="164"/>
      <c r="C662" s="164"/>
      <c r="D662" s="164"/>
      <c r="E662" s="164"/>
      <c r="F662" s="164"/>
      <c r="G662" s="164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  <c r="AA662" s="164"/>
      <c r="AB662" s="164"/>
    </row>
    <row r="663" spans="1:28" ht="15.6">
      <c r="A663" s="164"/>
      <c r="B663" s="164"/>
      <c r="C663" s="164"/>
      <c r="D663" s="164"/>
      <c r="E663" s="164"/>
      <c r="F663" s="164"/>
      <c r="G663" s="164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  <c r="AA663" s="164"/>
      <c r="AB663" s="164"/>
    </row>
    <row r="664" spans="1:28" ht="15.6">
      <c r="A664" s="164"/>
      <c r="B664" s="164"/>
      <c r="C664" s="164"/>
      <c r="D664" s="164"/>
      <c r="E664" s="164"/>
      <c r="F664" s="164"/>
      <c r="G664" s="164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  <c r="AA664" s="164"/>
      <c r="AB664" s="164"/>
    </row>
    <row r="665" spans="1:28" ht="15.6">
      <c r="A665" s="164"/>
      <c r="B665" s="164"/>
      <c r="C665" s="164"/>
      <c r="D665" s="164"/>
      <c r="E665" s="164"/>
      <c r="F665" s="164"/>
      <c r="G665" s="164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  <c r="AA665" s="164"/>
      <c r="AB665" s="164"/>
    </row>
    <row r="666" spans="1:28" ht="15.6">
      <c r="A666" s="164"/>
      <c r="B666" s="164"/>
      <c r="C666" s="164"/>
      <c r="D666" s="164"/>
      <c r="E666" s="164"/>
      <c r="F666" s="164"/>
      <c r="G666" s="164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  <c r="AA666" s="164"/>
      <c r="AB666" s="164"/>
    </row>
    <row r="667" spans="1:28" ht="15.6">
      <c r="A667" s="164"/>
      <c r="B667" s="164"/>
      <c r="C667" s="164"/>
      <c r="D667" s="164"/>
      <c r="E667" s="164"/>
      <c r="F667" s="164"/>
      <c r="G667" s="164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  <c r="AA667" s="164"/>
      <c r="AB667" s="164"/>
    </row>
    <row r="668" spans="1:28" ht="15.6">
      <c r="A668" s="164"/>
      <c r="B668" s="164"/>
      <c r="C668" s="164"/>
      <c r="D668" s="164"/>
      <c r="E668" s="164"/>
      <c r="F668" s="164"/>
      <c r="G668" s="164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  <c r="AA668" s="164"/>
      <c r="AB668" s="164"/>
    </row>
    <row r="669" spans="1:28" ht="15.6">
      <c r="A669" s="164"/>
      <c r="B669" s="164"/>
      <c r="C669" s="164"/>
      <c r="D669" s="164"/>
      <c r="E669" s="164"/>
      <c r="F669" s="164"/>
      <c r="G669" s="164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  <c r="AA669" s="164"/>
      <c r="AB669" s="164"/>
    </row>
    <row r="670" spans="1:28" ht="15.6">
      <c r="A670" s="164"/>
      <c r="B670" s="164"/>
      <c r="C670" s="164"/>
      <c r="D670" s="164"/>
      <c r="E670" s="164"/>
      <c r="F670" s="164"/>
      <c r="G670" s="164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  <c r="AA670" s="164"/>
      <c r="AB670" s="164"/>
    </row>
    <row r="671" spans="1:28" ht="15.6">
      <c r="A671" s="164"/>
      <c r="B671" s="164"/>
      <c r="C671" s="164"/>
      <c r="D671" s="164"/>
      <c r="E671" s="164"/>
      <c r="F671" s="164"/>
      <c r="G671" s="164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  <c r="AA671" s="164"/>
      <c r="AB671" s="164"/>
    </row>
    <row r="672" spans="1:28" ht="15.6">
      <c r="A672" s="164"/>
      <c r="B672" s="164"/>
      <c r="C672" s="164"/>
      <c r="D672" s="164"/>
      <c r="E672" s="164"/>
      <c r="F672" s="164"/>
      <c r="G672" s="164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  <c r="AA672" s="164"/>
      <c r="AB672" s="164"/>
    </row>
    <row r="673" spans="1:28" ht="15.6">
      <c r="A673" s="164"/>
      <c r="B673" s="164"/>
      <c r="C673" s="164"/>
      <c r="D673" s="164"/>
      <c r="E673" s="164"/>
      <c r="F673" s="164"/>
      <c r="G673" s="164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  <c r="AA673" s="164"/>
      <c r="AB673" s="164"/>
    </row>
    <row r="674" spans="1:28" ht="15.6">
      <c r="A674" s="164"/>
      <c r="B674" s="164"/>
      <c r="C674" s="164"/>
      <c r="D674" s="164"/>
      <c r="E674" s="164"/>
      <c r="F674" s="164"/>
      <c r="G674" s="164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  <c r="AA674" s="164"/>
      <c r="AB674" s="164"/>
    </row>
    <row r="675" spans="1:28" ht="15.6">
      <c r="A675" s="164"/>
      <c r="B675" s="164"/>
      <c r="C675" s="164"/>
      <c r="D675" s="164"/>
      <c r="E675" s="164"/>
      <c r="F675" s="164"/>
      <c r="G675" s="164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  <c r="AA675" s="164"/>
      <c r="AB675" s="164"/>
    </row>
    <row r="676" spans="1:28" ht="15.6">
      <c r="A676" s="164"/>
      <c r="B676" s="164"/>
      <c r="C676" s="164"/>
      <c r="D676" s="164"/>
      <c r="E676" s="164"/>
      <c r="F676" s="164"/>
      <c r="G676" s="164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  <c r="AA676" s="164"/>
      <c r="AB676" s="164"/>
    </row>
    <row r="677" spans="1:28" ht="15.6">
      <c r="A677" s="164"/>
      <c r="B677" s="164"/>
      <c r="C677" s="164"/>
      <c r="D677" s="164"/>
      <c r="E677" s="164"/>
      <c r="F677" s="164"/>
      <c r="G677" s="164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  <c r="AA677" s="164"/>
      <c r="AB677" s="164"/>
    </row>
    <row r="678" spans="1:28" ht="15.6">
      <c r="A678" s="164"/>
      <c r="B678" s="164"/>
      <c r="C678" s="164"/>
      <c r="D678" s="164"/>
      <c r="E678" s="164"/>
      <c r="F678" s="164"/>
      <c r="G678" s="164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  <c r="AA678" s="164"/>
      <c r="AB678" s="164"/>
    </row>
    <row r="679" spans="1:28" ht="15.6">
      <c r="A679" s="164"/>
      <c r="B679" s="164"/>
      <c r="C679" s="164"/>
      <c r="D679" s="164"/>
      <c r="E679" s="164"/>
      <c r="F679" s="164"/>
      <c r="G679" s="164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  <c r="AA679" s="164"/>
      <c r="AB679" s="164"/>
    </row>
    <row r="680" spans="1:28" ht="15.6">
      <c r="A680" s="164"/>
      <c r="B680" s="164"/>
      <c r="C680" s="164"/>
      <c r="D680" s="164"/>
      <c r="E680" s="164"/>
      <c r="F680" s="164"/>
      <c r="G680" s="164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  <c r="AA680" s="164"/>
      <c r="AB680" s="164"/>
    </row>
    <row r="681" spans="1:28" ht="15.6">
      <c r="A681" s="164"/>
      <c r="B681" s="164"/>
      <c r="C681" s="164"/>
      <c r="D681" s="164"/>
      <c r="E681" s="164"/>
      <c r="F681" s="164"/>
      <c r="G681" s="164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  <c r="AA681" s="164"/>
      <c r="AB681" s="164"/>
    </row>
    <row r="682" spans="1:28" ht="15.6">
      <c r="A682" s="164"/>
      <c r="B682" s="164"/>
      <c r="C682" s="164"/>
      <c r="D682" s="164"/>
      <c r="E682" s="164"/>
      <c r="F682" s="164"/>
      <c r="G682" s="164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  <c r="AA682" s="164"/>
      <c r="AB682" s="164"/>
    </row>
    <row r="683" spans="1:28" ht="15.6">
      <c r="A683" s="164"/>
      <c r="B683" s="164"/>
      <c r="C683" s="164"/>
      <c r="D683" s="164"/>
      <c r="E683" s="164"/>
      <c r="F683" s="164"/>
      <c r="G683" s="164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  <c r="AA683" s="164"/>
      <c r="AB683" s="164"/>
    </row>
    <row r="684" spans="1:28" ht="15.6">
      <c r="A684" s="164"/>
      <c r="B684" s="164"/>
      <c r="C684" s="164"/>
      <c r="D684" s="164"/>
      <c r="E684" s="164"/>
      <c r="F684" s="164"/>
      <c r="G684" s="164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  <c r="AA684" s="164"/>
      <c r="AB684" s="164"/>
    </row>
    <row r="685" spans="1:28" ht="15.6">
      <c r="A685" s="164"/>
      <c r="B685" s="164"/>
      <c r="C685" s="164"/>
      <c r="D685" s="164"/>
      <c r="E685" s="164"/>
      <c r="F685" s="164"/>
      <c r="G685" s="164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  <c r="AA685" s="164"/>
      <c r="AB685" s="164"/>
    </row>
    <row r="686" spans="1:28" ht="15.6">
      <c r="A686" s="164"/>
      <c r="B686" s="164"/>
      <c r="C686" s="164"/>
      <c r="D686" s="164"/>
      <c r="E686" s="164"/>
      <c r="F686" s="164"/>
      <c r="G686" s="164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  <c r="AA686" s="164"/>
      <c r="AB686" s="164"/>
    </row>
    <row r="687" spans="1:28" ht="15.6">
      <c r="A687" s="164"/>
      <c r="B687" s="164"/>
      <c r="C687" s="164"/>
      <c r="D687" s="164"/>
      <c r="E687" s="164"/>
      <c r="F687" s="164"/>
      <c r="G687" s="164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  <c r="AA687" s="164"/>
      <c r="AB687" s="164"/>
    </row>
    <row r="688" spans="1:28" ht="15.6">
      <c r="A688" s="164"/>
      <c r="B688" s="164"/>
      <c r="C688" s="164"/>
      <c r="D688" s="164"/>
      <c r="E688" s="164"/>
      <c r="F688" s="164"/>
      <c r="G688" s="164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  <c r="AA688" s="164"/>
      <c r="AB688" s="164"/>
    </row>
    <row r="689" spans="1:28" ht="15.6">
      <c r="A689" s="164"/>
      <c r="B689" s="164"/>
      <c r="C689" s="164"/>
      <c r="D689" s="164"/>
      <c r="E689" s="164"/>
      <c r="F689" s="164"/>
      <c r="G689" s="164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  <c r="AA689" s="164"/>
      <c r="AB689" s="164"/>
    </row>
    <row r="690" spans="1:28" ht="15.6">
      <c r="A690" s="164"/>
      <c r="B690" s="164"/>
      <c r="C690" s="164"/>
      <c r="D690" s="164"/>
      <c r="E690" s="164"/>
      <c r="F690" s="164"/>
      <c r="G690" s="164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  <c r="AA690" s="164"/>
      <c r="AB690" s="164"/>
    </row>
    <row r="691" spans="1:28" ht="15.6">
      <c r="A691" s="164"/>
      <c r="B691" s="164"/>
      <c r="C691" s="164"/>
      <c r="D691" s="164"/>
      <c r="E691" s="164"/>
      <c r="F691" s="164"/>
      <c r="G691" s="164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  <c r="AA691" s="164"/>
      <c r="AB691" s="164"/>
    </row>
    <row r="692" spans="1:28" ht="15.6">
      <c r="A692" s="164"/>
      <c r="B692" s="164"/>
      <c r="C692" s="164"/>
      <c r="D692" s="164"/>
      <c r="E692" s="164"/>
      <c r="F692" s="164"/>
      <c r="G692" s="164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  <c r="AA692" s="164"/>
      <c r="AB692" s="164"/>
    </row>
    <row r="693" spans="1:28" ht="15.6">
      <c r="A693" s="164"/>
      <c r="B693" s="164"/>
      <c r="C693" s="164"/>
      <c r="D693" s="164"/>
      <c r="E693" s="164"/>
      <c r="F693" s="164"/>
      <c r="G693" s="164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  <c r="AA693" s="164"/>
      <c r="AB693" s="164"/>
    </row>
    <row r="694" spans="1:28" ht="15.6">
      <c r="A694" s="164"/>
      <c r="B694" s="164"/>
      <c r="C694" s="164"/>
      <c r="D694" s="164"/>
      <c r="E694" s="164"/>
      <c r="F694" s="164"/>
      <c r="G694" s="164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  <c r="AA694" s="164"/>
      <c r="AB694" s="164"/>
    </row>
    <row r="695" spans="1:28" ht="15.6">
      <c r="A695" s="164"/>
      <c r="B695" s="164"/>
      <c r="C695" s="164"/>
      <c r="D695" s="164"/>
      <c r="E695" s="164"/>
      <c r="F695" s="164"/>
      <c r="G695" s="164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  <c r="AA695" s="164"/>
      <c r="AB695" s="164"/>
    </row>
    <row r="696" spans="1:28" ht="15.6">
      <c r="A696" s="164"/>
      <c r="B696" s="164"/>
      <c r="C696" s="164"/>
      <c r="D696" s="164"/>
      <c r="E696" s="164"/>
      <c r="F696" s="164"/>
      <c r="G696" s="164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  <c r="AA696" s="164"/>
      <c r="AB696" s="164"/>
    </row>
    <row r="697" spans="1:28" ht="15.6">
      <c r="A697" s="164"/>
      <c r="B697" s="164"/>
      <c r="C697" s="164"/>
      <c r="D697" s="164"/>
      <c r="E697" s="164"/>
      <c r="F697" s="164"/>
      <c r="G697" s="164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  <c r="AA697" s="164"/>
      <c r="AB697" s="164"/>
    </row>
    <row r="698" spans="1:28" ht="15.6">
      <c r="A698" s="164"/>
      <c r="B698" s="164"/>
      <c r="C698" s="164"/>
      <c r="D698" s="164"/>
      <c r="E698" s="164"/>
      <c r="F698" s="164"/>
      <c r="G698" s="164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  <c r="AA698" s="164"/>
      <c r="AB698" s="164"/>
    </row>
    <row r="699" spans="1:28" ht="15.6">
      <c r="A699" s="164"/>
      <c r="B699" s="164"/>
      <c r="C699" s="164"/>
      <c r="D699" s="164"/>
      <c r="E699" s="164"/>
      <c r="F699" s="164"/>
      <c r="G699" s="164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  <c r="AA699" s="164"/>
      <c r="AB699" s="164"/>
    </row>
    <row r="700" spans="1:28" ht="15.6">
      <c r="A700" s="164"/>
      <c r="B700" s="164"/>
      <c r="C700" s="164"/>
      <c r="D700" s="164"/>
      <c r="E700" s="164"/>
      <c r="F700" s="164"/>
      <c r="G700" s="164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  <c r="AA700" s="164"/>
      <c r="AB700" s="164"/>
    </row>
    <row r="701" spans="1:28" ht="15.6">
      <c r="A701" s="164"/>
      <c r="B701" s="164"/>
      <c r="C701" s="164"/>
      <c r="D701" s="164"/>
      <c r="E701" s="164"/>
      <c r="F701" s="164"/>
      <c r="G701" s="164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  <c r="AA701" s="164"/>
      <c r="AB701" s="164"/>
    </row>
    <row r="702" spans="1:28" ht="15.6">
      <c r="A702" s="164"/>
      <c r="B702" s="164"/>
      <c r="C702" s="164"/>
      <c r="D702" s="164"/>
      <c r="E702" s="164"/>
      <c r="F702" s="164"/>
      <c r="G702" s="164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  <c r="AA702" s="164"/>
      <c r="AB702" s="164"/>
    </row>
    <row r="703" spans="1:28" ht="15.6">
      <c r="A703" s="164"/>
      <c r="B703" s="164"/>
      <c r="C703" s="164"/>
      <c r="D703" s="164"/>
      <c r="E703" s="164"/>
      <c r="F703" s="164"/>
      <c r="G703" s="164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  <c r="AA703" s="164"/>
      <c r="AB703" s="164"/>
    </row>
    <row r="704" spans="1:28" ht="15.6">
      <c r="A704" s="164"/>
      <c r="B704" s="164"/>
      <c r="C704" s="164"/>
      <c r="D704" s="164"/>
      <c r="E704" s="164"/>
      <c r="F704" s="164"/>
      <c r="G704" s="164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  <c r="AA704" s="164"/>
      <c r="AB704" s="164"/>
    </row>
    <row r="705" spans="1:28" ht="15.6">
      <c r="A705" s="164"/>
      <c r="B705" s="164"/>
      <c r="C705" s="164"/>
      <c r="D705" s="164"/>
      <c r="E705" s="164"/>
      <c r="F705" s="164"/>
      <c r="G705" s="164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  <c r="AA705" s="164"/>
      <c r="AB705" s="164"/>
    </row>
    <row r="706" spans="1:28" ht="15.6">
      <c r="A706" s="164"/>
      <c r="B706" s="164"/>
      <c r="C706" s="164"/>
      <c r="D706" s="164"/>
      <c r="E706" s="164"/>
      <c r="F706" s="164"/>
      <c r="G706" s="164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  <c r="AA706" s="164"/>
      <c r="AB706" s="164"/>
    </row>
    <row r="707" spans="1:28" ht="15.6">
      <c r="A707" s="164"/>
      <c r="B707" s="164"/>
      <c r="C707" s="164"/>
      <c r="D707" s="164"/>
      <c r="E707" s="164"/>
      <c r="F707" s="164"/>
      <c r="G707" s="164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  <c r="AA707" s="164"/>
      <c r="AB707" s="164"/>
    </row>
    <row r="708" spans="1:28" ht="15.6">
      <c r="A708" s="164"/>
      <c r="B708" s="164"/>
      <c r="C708" s="164"/>
      <c r="D708" s="164"/>
      <c r="E708" s="164"/>
      <c r="F708" s="164"/>
      <c r="G708" s="164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  <c r="AA708" s="164"/>
      <c r="AB708" s="164"/>
    </row>
    <row r="709" spans="1:28" ht="15.6">
      <c r="A709" s="164"/>
      <c r="B709" s="164"/>
      <c r="C709" s="164"/>
      <c r="D709" s="164"/>
      <c r="E709" s="164"/>
      <c r="F709" s="164"/>
      <c r="G709" s="164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  <c r="AA709" s="164"/>
      <c r="AB709" s="164"/>
    </row>
    <row r="710" spans="1:28" ht="15.6">
      <c r="A710" s="164"/>
      <c r="B710" s="164"/>
      <c r="C710" s="164"/>
      <c r="D710" s="164"/>
      <c r="E710" s="164"/>
      <c r="F710" s="164"/>
      <c r="G710" s="164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  <c r="AA710" s="164"/>
      <c r="AB710" s="164"/>
    </row>
    <row r="711" spans="1:28" ht="15.6">
      <c r="A711" s="164"/>
      <c r="B711" s="164"/>
      <c r="C711" s="164"/>
      <c r="D711" s="164"/>
      <c r="E711" s="164"/>
      <c r="F711" s="164"/>
      <c r="G711" s="164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  <c r="AA711" s="164"/>
      <c r="AB711" s="164"/>
    </row>
    <row r="712" spans="1:28" ht="15.6">
      <c r="A712" s="164"/>
      <c r="B712" s="164"/>
      <c r="C712" s="164"/>
      <c r="D712" s="164"/>
      <c r="E712" s="164"/>
      <c r="F712" s="164"/>
      <c r="G712" s="164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  <c r="AA712" s="164"/>
      <c r="AB712" s="164"/>
    </row>
    <row r="713" spans="1:28" ht="15.6">
      <c r="A713" s="164"/>
      <c r="B713" s="164"/>
      <c r="C713" s="164"/>
      <c r="D713" s="164"/>
      <c r="E713" s="164"/>
      <c r="F713" s="164"/>
      <c r="G713" s="164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  <c r="AA713" s="164"/>
      <c r="AB713" s="164"/>
    </row>
    <row r="714" spans="1:28" ht="15.6">
      <c r="A714" s="164"/>
      <c r="B714" s="164"/>
      <c r="C714" s="164"/>
      <c r="D714" s="164"/>
      <c r="E714" s="164"/>
      <c r="F714" s="164"/>
      <c r="G714" s="164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  <c r="AA714" s="164"/>
      <c r="AB714" s="164"/>
    </row>
    <row r="715" spans="1:28" ht="15.6">
      <c r="A715" s="164"/>
      <c r="B715" s="164"/>
      <c r="C715" s="164"/>
      <c r="D715" s="164"/>
      <c r="E715" s="164"/>
      <c r="F715" s="164"/>
      <c r="G715" s="164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  <c r="AA715" s="164"/>
      <c r="AB715" s="164"/>
    </row>
    <row r="716" spans="1:28" ht="15.6">
      <c r="A716" s="164"/>
      <c r="B716" s="164"/>
      <c r="C716" s="164"/>
      <c r="D716" s="164"/>
      <c r="E716" s="164"/>
      <c r="F716" s="164"/>
      <c r="G716" s="164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  <c r="AA716" s="164"/>
      <c r="AB716" s="164"/>
    </row>
    <row r="717" spans="1:28" ht="15.6">
      <c r="A717" s="164"/>
      <c r="B717" s="164"/>
      <c r="C717" s="164"/>
      <c r="D717" s="164"/>
      <c r="E717" s="164"/>
      <c r="F717" s="164"/>
      <c r="G717" s="164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  <c r="AA717" s="164"/>
      <c r="AB717" s="164"/>
    </row>
    <row r="718" spans="1:28" ht="15.6">
      <c r="A718" s="164"/>
      <c r="B718" s="164"/>
      <c r="C718" s="164"/>
      <c r="D718" s="164"/>
      <c r="E718" s="164"/>
      <c r="F718" s="164"/>
      <c r="G718" s="164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  <c r="AA718" s="164"/>
      <c r="AB718" s="164"/>
    </row>
    <row r="719" spans="1:28" ht="15.6">
      <c r="A719" s="164"/>
      <c r="B719" s="164"/>
      <c r="C719" s="164"/>
      <c r="D719" s="164"/>
      <c r="E719" s="164"/>
      <c r="F719" s="164"/>
      <c r="G719" s="164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  <c r="AA719" s="164"/>
      <c r="AB719" s="164"/>
    </row>
    <row r="720" spans="1:28" ht="15.6">
      <c r="A720" s="164"/>
      <c r="B720" s="164"/>
      <c r="C720" s="164"/>
      <c r="D720" s="164"/>
      <c r="E720" s="164"/>
      <c r="F720" s="164"/>
      <c r="G720" s="164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  <c r="AA720" s="164"/>
      <c r="AB720" s="164"/>
    </row>
    <row r="721" spans="1:28" ht="15.6">
      <c r="A721" s="164"/>
      <c r="B721" s="164"/>
      <c r="C721" s="164"/>
      <c r="D721" s="164"/>
      <c r="E721" s="164"/>
      <c r="F721" s="164"/>
      <c r="G721" s="164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  <c r="AA721" s="164"/>
      <c r="AB721" s="164"/>
    </row>
    <row r="722" spans="1:28" ht="15.6">
      <c r="A722" s="164"/>
      <c r="B722" s="164"/>
      <c r="C722" s="164"/>
      <c r="D722" s="164"/>
      <c r="E722" s="164"/>
      <c r="F722" s="164"/>
      <c r="G722" s="164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  <c r="AA722" s="164"/>
      <c r="AB722" s="164"/>
    </row>
    <row r="723" spans="1:28" ht="15.6">
      <c r="A723" s="164"/>
      <c r="B723" s="164"/>
      <c r="C723" s="164"/>
      <c r="D723" s="164"/>
      <c r="E723" s="164"/>
      <c r="F723" s="164"/>
      <c r="G723" s="164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  <c r="AA723" s="164"/>
      <c r="AB723" s="164"/>
    </row>
    <row r="724" spans="1:28" ht="15.6">
      <c r="A724" s="164"/>
      <c r="B724" s="164"/>
      <c r="C724" s="164"/>
      <c r="D724" s="164"/>
      <c r="E724" s="164"/>
      <c r="F724" s="164"/>
      <c r="G724" s="164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  <c r="AA724" s="164"/>
      <c r="AB724" s="164"/>
    </row>
    <row r="725" spans="1:28" ht="15.6">
      <c r="A725" s="164"/>
      <c r="B725" s="164"/>
      <c r="C725" s="164"/>
      <c r="D725" s="164"/>
      <c r="E725" s="164"/>
      <c r="F725" s="164"/>
      <c r="G725" s="164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  <c r="AA725" s="164"/>
      <c r="AB725" s="164"/>
    </row>
    <row r="726" spans="1:28" ht="15.6">
      <c r="A726" s="164"/>
      <c r="B726" s="164"/>
      <c r="C726" s="164"/>
      <c r="D726" s="164"/>
      <c r="E726" s="164"/>
      <c r="F726" s="164"/>
      <c r="G726" s="164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  <c r="AA726" s="164"/>
      <c r="AB726" s="164"/>
    </row>
    <row r="727" spans="1:28" ht="15.6">
      <c r="A727" s="164"/>
      <c r="B727" s="164"/>
      <c r="C727" s="164"/>
      <c r="D727" s="164"/>
      <c r="E727" s="164"/>
      <c r="F727" s="164"/>
      <c r="G727" s="164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  <c r="AA727" s="164"/>
      <c r="AB727" s="164"/>
    </row>
    <row r="728" spans="1:28" ht="15.6">
      <c r="A728" s="164"/>
      <c r="B728" s="164"/>
      <c r="C728" s="164"/>
      <c r="D728" s="164"/>
      <c r="E728" s="164"/>
      <c r="F728" s="164"/>
      <c r="G728" s="164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  <c r="AA728" s="164"/>
      <c r="AB728" s="164"/>
    </row>
    <row r="729" spans="1:28" ht="15.6">
      <c r="A729" s="164"/>
      <c r="B729" s="164"/>
      <c r="C729" s="164"/>
      <c r="D729" s="164"/>
      <c r="E729" s="164"/>
      <c r="F729" s="164"/>
      <c r="G729" s="164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  <c r="AA729" s="164"/>
      <c r="AB729" s="164"/>
    </row>
    <row r="730" spans="1:28" ht="15.6">
      <c r="A730" s="164"/>
      <c r="B730" s="164"/>
      <c r="C730" s="164"/>
      <c r="D730" s="164"/>
      <c r="E730" s="164"/>
      <c r="F730" s="164"/>
      <c r="G730" s="164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  <c r="AA730" s="164"/>
      <c r="AB730" s="164"/>
    </row>
    <row r="731" spans="1:28" ht="15.6">
      <c r="A731" s="164"/>
      <c r="B731" s="164"/>
      <c r="C731" s="164"/>
      <c r="D731" s="164"/>
      <c r="E731" s="164"/>
      <c r="F731" s="164"/>
      <c r="G731" s="164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  <c r="AA731" s="164"/>
      <c r="AB731" s="164"/>
    </row>
    <row r="732" spans="1:28" ht="15.6">
      <c r="A732" s="164"/>
      <c r="B732" s="164"/>
      <c r="C732" s="164"/>
      <c r="D732" s="164"/>
      <c r="E732" s="164"/>
      <c r="F732" s="164"/>
      <c r="G732" s="164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  <c r="AA732" s="164"/>
      <c r="AB732" s="164"/>
    </row>
    <row r="733" spans="1:28" ht="15.6">
      <c r="A733" s="164"/>
      <c r="B733" s="164"/>
      <c r="C733" s="164"/>
      <c r="D733" s="164"/>
      <c r="E733" s="164"/>
      <c r="F733" s="164"/>
      <c r="G733" s="164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  <c r="AA733" s="164"/>
      <c r="AB733" s="164"/>
    </row>
    <row r="734" spans="1:28" ht="15.6">
      <c r="A734" s="164"/>
      <c r="B734" s="164"/>
      <c r="C734" s="164"/>
      <c r="D734" s="164"/>
      <c r="E734" s="164"/>
      <c r="F734" s="164"/>
      <c r="G734" s="164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  <c r="AA734" s="164"/>
      <c r="AB734" s="164"/>
    </row>
    <row r="735" spans="1:28" ht="15.6">
      <c r="A735" s="164"/>
      <c r="B735" s="164"/>
      <c r="C735" s="164"/>
      <c r="D735" s="164"/>
      <c r="E735" s="164"/>
      <c r="F735" s="164"/>
      <c r="G735" s="164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  <c r="AA735" s="164"/>
      <c r="AB735" s="164"/>
    </row>
    <row r="736" spans="1:28" ht="15.6">
      <c r="A736" s="164"/>
      <c r="B736" s="164"/>
      <c r="C736" s="164"/>
      <c r="D736" s="164"/>
      <c r="E736" s="164"/>
      <c r="F736" s="164"/>
      <c r="G736" s="164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  <c r="AA736" s="164"/>
      <c r="AB736" s="164"/>
    </row>
    <row r="737" spans="1:28" ht="15.6">
      <c r="A737" s="164"/>
      <c r="B737" s="164"/>
      <c r="C737" s="164"/>
      <c r="D737" s="164"/>
      <c r="E737" s="164"/>
      <c r="F737" s="164"/>
      <c r="G737" s="164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  <c r="AA737" s="164"/>
      <c r="AB737" s="164"/>
    </row>
    <row r="738" spans="1:28" ht="15.6">
      <c r="A738" s="164"/>
      <c r="B738" s="164"/>
      <c r="C738" s="164"/>
      <c r="D738" s="164"/>
      <c r="E738" s="164"/>
      <c r="F738" s="164"/>
      <c r="G738" s="164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  <c r="AA738" s="164"/>
      <c r="AB738" s="164"/>
    </row>
    <row r="739" spans="1:28" ht="15.6">
      <c r="A739" s="164"/>
      <c r="B739" s="164"/>
      <c r="C739" s="164"/>
      <c r="D739" s="164"/>
      <c r="E739" s="164"/>
      <c r="F739" s="164"/>
      <c r="G739" s="164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  <c r="AA739" s="164"/>
      <c r="AB739" s="164"/>
    </row>
    <row r="740" spans="1:28" ht="15.6">
      <c r="A740" s="164"/>
      <c r="B740" s="164"/>
      <c r="C740" s="164"/>
      <c r="D740" s="164"/>
      <c r="E740" s="164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  <c r="AA740" s="164"/>
      <c r="AB740" s="164"/>
    </row>
    <row r="741" spans="1:28" ht="15.6">
      <c r="A741" s="164"/>
      <c r="B741" s="164"/>
      <c r="C741" s="164"/>
      <c r="D741" s="164"/>
      <c r="E741" s="164"/>
      <c r="F741" s="164"/>
      <c r="G741" s="164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  <c r="AA741" s="164"/>
      <c r="AB741" s="164"/>
    </row>
    <row r="742" spans="1:28" ht="15.6">
      <c r="A742" s="164"/>
      <c r="B742" s="164"/>
      <c r="C742" s="164"/>
      <c r="D742" s="164"/>
      <c r="E742" s="164"/>
      <c r="F742" s="164"/>
      <c r="G742" s="164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  <c r="AA742" s="164"/>
      <c r="AB742" s="164"/>
    </row>
    <row r="743" spans="1:28" ht="15.6">
      <c r="A743" s="164"/>
      <c r="B743" s="164"/>
      <c r="C743" s="164"/>
      <c r="D743" s="164"/>
      <c r="E743" s="164"/>
      <c r="F743" s="164"/>
      <c r="G743" s="164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  <c r="AA743" s="164"/>
      <c r="AB743" s="164"/>
    </row>
    <row r="744" spans="1:28" ht="15.6">
      <c r="A744" s="164"/>
      <c r="B744" s="164"/>
      <c r="C744" s="164"/>
      <c r="D744" s="164"/>
      <c r="E744" s="164"/>
      <c r="F744" s="164"/>
      <c r="G744" s="164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  <c r="AA744" s="164"/>
      <c r="AB744" s="164"/>
    </row>
    <row r="745" spans="1:28" ht="15.6">
      <c r="A745" s="164"/>
      <c r="B745" s="164"/>
      <c r="C745" s="164"/>
      <c r="D745" s="164"/>
      <c r="E745" s="164"/>
      <c r="F745" s="164"/>
      <c r="G745" s="164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  <c r="AA745" s="164"/>
      <c r="AB745" s="164"/>
    </row>
    <row r="746" spans="1:28" ht="15.6">
      <c r="A746" s="164"/>
      <c r="B746" s="164"/>
      <c r="C746" s="164"/>
      <c r="D746" s="164"/>
      <c r="E746" s="164"/>
      <c r="F746" s="164"/>
      <c r="G746" s="164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  <c r="AA746" s="164"/>
      <c r="AB746" s="164"/>
    </row>
    <row r="747" spans="1:28" ht="15.6">
      <c r="A747" s="164"/>
      <c r="B747" s="164"/>
      <c r="C747" s="164"/>
      <c r="D747" s="164"/>
      <c r="E747" s="164"/>
      <c r="F747" s="164"/>
      <c r="G747" s="164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  <c r="AA747" s="164"/>
      <c r="AB747" s="164"/>
    </row>
    <row r="748" spans="1:28" ht="15.6">
      <c r="A748" s="164"/>
      <c r="B748" s="164"/>
      <c r="C748" s="164"/>
      <c r="D748" s="164"/>
      <c r="E748" s="164"/>
      <c r="F748" s="164"/>
      <c r="G748" s="164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  <c r="AA748" s="164"/>
      <c r="AB748" s="164"/>
    </row>
    <row r="749" spans="1:28" ht="15.6">
      <c r="A749" s="164"/>
      <c r="B749" s="164"/>
      <c r="C749" s="164"/>
      <c r="D749" s="164"/>
      <c r="E749" s="164"/>
      <c r="F749" s="164"/>
      <c r="G749" s="164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  <c r="AA749" s="164"/>
      <c r="AB749" s="164"/>
    </row>
    <row r="750" spans="1:28" ht="15.6">
      <c r="A750" s="164"/>
      <c r="B750" s="164"/>
      <c r="C750" s="164"/>
      <c r="D750" s="164"/>
      <c r="E750" s="164"/>
      <c r="F750" s="164"/>
      <c r="G750" s="164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  <c r="AA750" s="164"/>
      <c r="AB750" s="164"/>
    </row>
    <row r="751" spans="1:28" ht="15.6">
      <c r="A751" s="164"/>
      <c r="B751" s="164"/>
      <c r="C751" s="164"/>
      <c r="D751" s="164"/>
      <c r="E751" s="164"/>
      <c r="F751" s="164"/>
      <c r="G751" s="164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  <c r="AA751" s="164"/>
      <c r="AB751" s="164"/>
    </row>
    <row r="752" spans="1:28" ht="15.6">
      <c r="A752" s="164"/>
      <c r="B752" s="164"/>
      <c r="C752" s="164"/>
      <c r="D752" s="164"/>
      <c r="E752" s="164"/>
      <c r="F752" s="164"/>
      <c r="G752" s="164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  <c r="AA752" s="164"/>
      <c r="AB752" s="164"/>
    </row>
    <row r="753" spans="1:28" ht="15.6">
      <c r="A753" s="164"/>
      <c r="B753" s="164"/>
      <c r="C753" s="164"/>
      <c r="D753" s="164"/>
      <c r="E753" s="164"/>
      <c r="F753" s="164"/>
      <c r="G753" s="164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  <c r="AA753" s="164"/>
      <c r="AB753" s="164"/>
    </row>
    <row r="754" spans="1:28" ht="15.6">
      <c r="A754" s="164"/>
      <c r="B754" s="164"/>
      <c r="C754" s="164"/>
      <c r="D754" s="164"/>
      <c r="E754" s="164"/>
      <c r="F754" s="164"/>
      <c r="G754" s="164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  <c r="AA754" s="164"/>
      <c r="AB754" s="164"/>
    </row>
    <row r="755" spans="1:28" ht="15.6">
      <c r="A755" s="164"/>
      <c r="B755" s="164"/>
      <c r="C755" s="164"/>
      <c r="D755" s="164"/>
      <c r="E755" s="164"/>
      <c r="F755" s="164"/>
      <c r="G755" s="164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  <c r="AA755" s="164"/>
      <c r="AB755" s="164"/>
    </row>
    <row r="756" spans="1:28" ht="15.6">
      <c r="A756" s="164"/>
      <c r="B756" s="164"/>
      <c r="C756" s="164"/>
      <c r="D756" s="164"/>
      <c r="E756" s="164"/>
      <c r="F756" s="164"/>
      <c r="G756" s="164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  <c r="AA756" s="164"/>
      <c r="AB756" s="164"/>
    </row>
    <row r="757" spans="1:28" ht="15.6">
      <c r="A757" s="164"/>
      <c r="B757" s="164"/>
      <c r="C757" s="164"/>
      <c r="D757" s="164"/>
      <c r="E757" s="164"/>
      <c r="F757" s="164"/>
      <c r="G757" s="164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  <c r="AA757" s="164"/>
      <c r="AB757" s="164"/>
    </row>
    <row r="758" spans="1:28" ht="15.6">
      <c r="A758" s="164"/>
      <c r="B758" s="164"/>
      <c r="C758" s="164"/>
      <c r="D758" s="164"/>
      <c r="E758" s="164"/>
      <c r="F758" s="164"/>
      <c r="G758" s="164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  <c r="AA758" s="164"/>
      <c r="AB758" s="164"/>
    </row>
    <row r="759" spans="1:28" ht="15.6">
      <c r="A759" s="164"/>
      <c r="B759" s="164"/>
      <c r="C759" s="164"/>
      <c r="D759" s="164"/>
      <c r="E759" s="164"/>
      <c r="F759" s="164"/>
      <c r="G759" s="164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  <c r="AA759" s="164"/>
      <c r="AB759" s="164"/>
    </row>
    <row r="760" spans="1:28" ht="15.6">
      <c r="A760" s="164"/>
      <c r="B760" s="164"/>
      <c r="C760" s="164"/>
      <c r="D760" s="164"/>
      <c r="E760" s="164"/>
      <c r="F760" s="164"/>
      <c r="G760" s="164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  <c r="AA760" s="164"/>
      <c r="AB760" s="164"/>
    </row>
    <row r="761" spans="1:28" ht="15.6">
      <c r="A761" s="164"/>
      <c r="B761" s="164"/>
      <c r="C761" s="164"/>
      <c r="D761" s="164"/>
      <c r="E761" s="164"/>
      <c r="F761" s="164"/>
      <c r="G761" s="164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  <c r="AA761" s="164"/>
      <c r="AB761" s="164"/>
    </row>
    <row r="762" spans="1:28" ht="15.6">
      <c r="A762" s="164"/>
      <c r="B762" s="164"/>
      <c r="C762" s="164"/>
      <c r="D762" s="164"/>
      <c r="E762" s="164"/>
      <c r="F762" s="164"/>
      <c r="G762" s="164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  <c r="AA762" s="164"/>
      <c r="AB762" s="164"/>
    </row>
    <row r="763" spans="1:28" ht="15.6">
      <c r="A763" s="164"/>
      <c r="B763" s="164"/>
      <c r="C763" s="164"/>
      <c r="D763" s="164"/>
      <c r="E763" s="164"/>
      <c r="F763" s="164"/>
      <c r="G763" s="164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  <c r="AA763" s="164"/>
      <c r="AB763" s="164"/>
    </row>
    <row r="764" spans="1:28" ht="15.6">
      <c r="A764" s="164"/>
      <c r="B764" s="164"/>
      <c r="C764" s="164"/>
      <c r="D764" s="164"/>
      <c r="E764" s="164"/>
      <c r="F764" s="164"/>
      <c r="G764" s="164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  <c r="AA764" s="164"/>
      <c r="AB764" s="164"/>
    </row>
    <row r="765" spans="1:28" ht="15.6">
      <c r="A765" s="164"/>
      <c r="B765" s="164"/>
      <c r="C765" s="164"/>
      <c r="D765" s="164"/>
      <c r="E765" s="164"/>
      <c r="F765" s="164"/>
      <c r="G765" s="164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  <c r="AA765" s="164"/>
      <c r="AB765" s="164"/>
    </row>
    <row r="766" spans="1:28" ht="15.6">
      <c r="A766" s="164"/>
      <c r="B766" s="164"/>
      <c r="C766" s="164"/>
      <c r="D766" s="164"/>
      <c r="E766" s="164"/>
      <c r="F766" s="164"/>
      <c r="G766" s="164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  <c r="AA766" s="164"/>
      <c r="AB766" s="164"/>
    </row>
    <row r="767" spans="1:28" ht="15.6">
      <c r="A767" s="164"/>
      <c r="B767" s="164"/>
      <c r="C767" s="164"/>
      <c r="D767" s="164"/>
      <c r="E767" s="164"/>
      <c r="F767" s="164"/>
      <c r="G767" s="164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  <c r="AA767" s="164"/>
      <c r="AB767" s="164"/>
    </row>
    <row r="768" spans="1:28" ht="15.6">
      <c r="A768" s="164"/>
      <c r="B768" s="164"/>
      <c r="C768" s="164"/>
      <c r="D768" s="164"/>
      <c r="E768" s="164"/>
      <c r="F768" s="164"/>
      <c r="G768" s="164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  <c r="AA768" s="164"/>
      <c r="AB768" s="164"/>
    </row>
    <row r="769" spans="1:28" ht="15.6">
      <c r="A769" s="164"/>
      <c r="B769" s="164"/>
      <c r="C769" s="164"/>
      <c r="D769" s="164"/>
      <c r="E769" s="164"/>
      <c r="F769" s="164"/>
      <c r="G769" s="164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  <c r="AA769" s="164"/>
      <c r="AB769" s="164"/>
    </row>
    <row r="770" spans="1:28" ht="15.6">
      <c r="A770" s="164"/>
      <c r="B770" s="164"/>
      <c r="C770" s="164"/>
      <c r="D770" s="164"/>
      <c r="E770" s="164"/>
      <c r="F770" s="164"/>
      <c r="G770" s="164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  <c r="AA770" s="164"/>
      <c r="AB770" s="164"/>
    </row>
    <row r="771" spans="1:28" ht="15.6">
      <c r="A771" s="164"/>
      <c r="B771" s="164"/>
      <c r="C771" s="164"/>
      <c r="D771" s="164"/>
      <c r="E771" s="164"/>
      <c r="F771" s="164"/>
      <c r="G771" s="164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  <c r="AA771" s="164"/>
      <c r="AB771" s="164"/>
    </row>
    <row r="772" spans="1:28" ht="15.6">
      <c r="A772" s="164"/>
      <c r="B772" s="164"/>
      <c r="C772" s="164"/>
      <c r="D772" s="164"/>
      <c r="E772" s="164"/>
      <c r="F772" s="164"/>
      <c r="G772" s="164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  <c r="AA772" s="164"/>
      <c r="AB772" s="164"/>
    </row>
    <row r="773" spans="1:28" ht="15.6">
      <c r="A773" s="164"/>
      <c r="B773" s="164"/>
      <c r="C773" s="164"/>
      <c r="D773" s="164"/>
      <c r="E773" s="164"/>
      <c r="F773" s="164"/>
      <c r="G773" s="164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  <c r="AA773" s="164"/>
      <c r="AB773" s="164"/>
    </row>
    <row r="774" spans="1:28" ht="15.6">
      <c r="A774" s="164"/>
      <c r="B774" s="164"/>
      <c r="C774" s="164"/>
      <c r="D774" s="164"/>
      <c r="E774" s="164"/>
      <c r="F774" s="164"/>
      <c r="G774" s="164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  <c r="AA774" s="164"/>
      <c r="AB774" s="164"/>
    </row>
    <row r="775" spans="1:28" ht="15.6">
      <c r="A775" s="164"/>
      <c r="B775" s="164"/>
      <c r="C775" s="164"/>
      <c r="D775" s="164"/>
      <c r="E775" s="164"/>
      <c r="F775" s="164"/>
      <c r="G775" s="164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  <c r="AA775" s="164"/>
      <c r="AB775" s="164"/>
    </row>
    <row r="776" spans="1:28" ht="15.6">
      <c r="A776" s="164"/>
      <c r="B776" s="164"/>
      <c r="C776" s="164"/>
      <c r="D776" s="164"/>
      <c r="E776" s="164"/>
      <c r="F776" s="164"/>
      <c r="G776" s="164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  <c r="AA776" s="164"/>
      <c r="AB776" s="164"/>
    </row>
    <row r="777" spans="1:28" ht="15.6">
      <c r="A777" s="164"/>
      <c r="B777" s="164"/>
      <c r="C777" s="164"/>
      <c r="D777" s="164"/>
      <c r="E777" s="164"/>
      <c r="F777" s="164"/>
      <c r="G777" s="164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  <c r="AA777" s="164"/>
      <c r="AB777" s="164"/>
    </row>
    <row r="778" spans="1:28" ht="15.6">
      <c r="A778" s="164"/>
      <c r="B778" s="164"/>
      <c r="C778" s="164"/>
      <c r="D778" s="164"/>
      <c r="E778" s="164"/>
      <c r="F778" s="164"/>
      <c r="G778" s="164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  <c r="AA778" s="164"/>
      <c r="AB778" s="164"/>
    </row>
    <row r="779" spans="1:28" ht="15.6">
      <c r="A779" s="164"/>
      <c r="B779" s="164"/>
      <c r="C779" s="164"/>
      <c r="D779" s="164"/>
      <c r="E779" s="164"/>
      <c r="F779" s="164"/>
      <c r="G779" s="164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  <c r="AA779" s="164"/>
      <c r="AB779" s="164"/>
    </row>
    <row r="780" spans="1:28" ht="15.6">
      <c r="A780" s="164"/>
      <c r="B780" s="164"/>
      <c r="C780" s="164"/>
      <c r="D780" s="164"/>
      <c r="E780" s="164"/>
      <c r="F780" s="164"/>
      <c r="G780" s="164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  <c r="AA780" s="164"/>
      <c r="AB780" s="164"/>
    </row>
    <row r="781" spans="1:28" ht="15.6">
      <c r="A781" s="164"/>
      <c r="B781" s="164"/>
      <c r="C781" s="164"/>
      <c r="D781" s="164"/>
      <c r="E781" s="164"/>
      <c r="F781" s="164"/>
      <c r="G781" s="164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  <c r="AA781" s="164"/>
      <c r="AB781" s="164"/>
    </row>
    <row r="782" spans="1:28" ht="15.6">
      <c r="A782" s="164"/>
      <c r="B782" s="164"/>
      <c r="C782" s="164"/>
      <c r="D782" s="164"/>
      <c r="E782" s="164"/>
      <c r="F782" s="164"/>
      <c r="G782" s="164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  <c r="AA782" s="164"/>
      <c r="AB782" s="164"/>
    </row>
    <row r="783" spans="1:28" ht="15.6">
      <c r="A783" s="164"/>
      <c r="B783" s="164"/>
      <c r="C783" s="164"/>
      <c r="D783" s="164"/>
      <c r="E783" s="164"/>
      <c r="F783" s="164"/>
      <c r="G783" s="164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  <c r="AA783" s="164"/>
      <c r="AB783" s="164"/>
    </row>
    <row r="784" spans="1:28" ht="15.6">
      <c r="A784" s="164"/>
      <c r="B784" s="164"/>
      <c r="C784" s="164"/>
      <c r="D784" s="164"/>
      <c r="E784" s="164"/>
      <c r="F784" s="164"/>
      <c r="G784" s="164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  <c r="AA784" s="164"/>
      <c r="AB784" s="164"/>
    </row>
    <row r="785" spans="1:28" ht="15.6">
      <c r="A785" s="164"/>
      <c r="B785" s="164"/>
      <c r="C785" s="164"/>
      <c r="D785" s="164"/>
      <c r="E785" s="164"/>
      <c r="F785" s="164"/>
      <c r="G785" s="164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  <c r="AA785" s="164"/>
      <c r="AB785" s="164"/>
    </row>
    <row r="786" spans="1:28" ht="15.6">
      <c r="A786" s="164"/>
      <c r="B786" s="164"/>
      <c r="C786" s="164"/>
      <c r="D786" s="164"/>
      <c r="E786" s="164"/>
      <c r="F786" s="164"/>
      <c r="G786" s="164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  <c r="AA786" s="164"/>
      <c r="AB786" s="164"/>
    </row>
    <row r="787" spans="1:28" ht="15.6">
      <c r="A787" s="164"/>
      <c r="B787" s="164"/>
      <c r="C787" s="164"/>
      <c r="D787" s="164"/>
      <c r="E787" s="164"/>
      <c r="F787" s="164"/>
      <c r="G787" s="164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  <c r="AA787" s="164"/>
      <c r="AB787" s="164"/>
    </row>
    <row r="788" spans="1:28" ht="15.6">
      <c r="A788" s="164"/>
      <c r="B788" s="164"/>
      <c r="C788" s="164"/>
      <c r="D788" s="164"/>
      <c r="E788" s="164"/>
      <c r="F788" s="164"/>
      <c r="G788" s="164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  <c r="AA788" s="164"/>
      <c r="AB788" s="164"/>
    </row>
    <row r="789" spans="1:28" ht="15.6">
      <c r="A789" s="164"/>
      <c r="B789" s="164"/>
      <c r="C789" s="164"/>
      <c r="D789" s="164"/>
      <c r="E789" s="164"/>
      <c r="F789" s="164"/>
      <c r="G789" s="164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  <c r="AA789" s="164"/>
      <c r="AB789" s="164"/>
    </row>
    <row r="790" spans="1:28" ht="15.6">
      <c r="A790" s="164"/>
      <c r="B790" s="164"/>
      <c r="C790" s="164"/>
      <c r="D790" s="164"/>
      <c r="E790" s="164"/>
      <c r="F790" s="164"/>
      <c r="G790" s="164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  <c r="AA790" s="164"/>
      <c r="AB790" s="164"/>
    </row>
    <row r="791" spans="1:28" ht="15.6">
      <c r="A791" s="164"/>
      <c r="B791" s="164"/>
      <c r="C791" s="164"/>
      <c r="D791" s="164"/>
      <c r="E791" s="164"/>
      <c r="F791" s="164"/>
      <c r="G791" s="164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  <c r="AA791" s="164"/>
      <c r="AB791" s="164"/>
    </row>
    <row r="792" spans="1:28" ht="15.6">
      <c r="A792" s="164"/>
      <c r="B792" s="164"/>
      <c r="C792" s="164"/>
      <c r="D792" s="164"/>
      <c r="E792" s="164"/>
      <c r="F792" s="164"/>
      <c r="G792" s="164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  <c r="AA792" s="164"/>
      <c r="AB792" s="164"/>
    </row>
    <row r="793" spans="1:28" ht="15.6">
      <c r="A793" s="164"/>
      <c r="B793" s="164"/>
      <c r="C793" s="164"/>
      <c r="D793" s="164"/>
      <c r="E793" s="164"/>
      <c r="F793" s="164"/>
      <c r="G793" s="164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  <c r="AA793" s="164"/>
      <c r="AB793" s="164"/>
    </row>
    <row r="794" spans="1:28" ht="15.6">
      <c r="A794" s="164"/>
      <c r="B794" s="164"/>
      <c r="C794" s="164"/>
      <c r="D794" s="164"/>
      <c r="E794" s="164"/>
      <c r="F794" s="164"/>
      <c r="G794" s="164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  <c r="AA794" s="164"/>
      <c r="AB794" s="164"/>
    </row>
    <row r="795" spans="1:28" ht="15.6">
      <c r="A795" s="164"/>
      <c r="B795" s="164"/>
      <c r="C795" s="164"/>
      <c r="D795" s="164"/>
      <c r="E795" s="164"/>
      <c r="F795" s="164"/>
      <c r="G795" s="164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  <c r="AA795" s="164"/>
      <c r="AB795" s="164"/>
    </row>
    <row r="796" spans="1:28" ht="15.6">
      <c r="A796" s="164"/>
      <c r="B796" s="164"/>
      <c r="C796" s="164"/>
      <c r="D796" s="164"/>
      <c r="E796" s="164"/>
      <c r="F796" s="164"/>
      <c r="G796" s="164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  <c r="AA796" s="164"/>
      <c r="AB796" s="164"/>
    </row>
    <row r="797" spans="1:28" ht="15.6">
      <c r="A797" s="164"/>
      <c r="B797" s="164"/>
      <c r="C797" s="164"/>
      <c r="D797" s="164"/>
      <c r="E797" s="164"/>
      <c r="F797" s="164"/>
      <c r="G797" s="164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  <c r="AA797" s="164"/>
      <c r="AB797" s="164"/>
    </row>
    <row r="798" spans="1:28" ht="15.6">
      <c r="A798" s="164"/>
      <c r="B798" s="164"/>
      <c r="C798" s="164"/>
      <c r="D798" s="164"/>
      <c r="E798" s="164"/>
      <c r="F798" s="164"/>
      <c r="G798" s="164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  <c r="AA798" s="164"/>
      <c r="AB798" s="164"/>
    </row>
    <row r="799" spans="1:28" ht="15.6">
      <c r="A799" s="164"/>
      <c r="B799" s="164"/>
      <c r="C799" s="164"/>
      <c r="D799" s="164"/>
      <c r="E799" s="164"/>
      <c r="F799" s="164"/>
      <c r="G799" s="164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  <c r="AA799" s="164"/>
      <c r="AB799" s="164"/>
    </row>
    <row r="800" spans="1:28" ht="15.6">
      <c r="A800" s="164"/>
      <c r="B800" s="164"/>
      <c r="C800" s="164"/>
      <c r="D800" s="164"/>
      <c r="E800" s="164"/>
      <c r="F800" s="164"/>
      <c r="G800" s="164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  <c r="AA800" s="164"/>
      <c r="AB800" s="164"/>
    </row>
    <row r="801" spans="1:28" ht="15.6">
      <c r="A801" s="164"/>
      <c r="B801" s="164"/>
      <c r="C801" s="164"/>
      <c r="D801" s="164"/>
      <c r="E801" s="164"/>
      <c r="F801" s="164"/>
      <c r="G801" s="164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  <c r="AA801" s="164"/>
      <c r="AB801" s="164"/>
    </row>
    <row r="802" spans="1:28" ht="15.6">
      <c r="A802" s="164"/>
      <c r="B802" s="164"/>
      <c r="C802" s="164"/>
      <c r="D802" s="164"/>
      <c r="E802" s="164"/>
      <c r="F802" s="164"/>
      <c r="G802" s="164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  <c r="AA802" s="164"/>
      <c r="AB802" s="164"/>
    </row>
    <row r="803" spans="1:28" ht="15.6">
      <c r="A803" s="164"/>
      <c r="B803" s="164"/>
      <c r="C803" s="164"/>
      <c r="D803" s="164"/>
      <c r="E803" s="164"/>
      <c r="F803" s="164"/>
      <c r="G803" s="164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  <c r="AA803" s="164"/>
      <c r="AB803" s="164"/>
    </row>
    <row r="804" spans="1:28" ht="15.6">
      <c r="A804" s="164"/>
      <c r="B804" s="164"/>
      <c r="C804" s="164"/>
      <c r="D804" s="164"/>
      <c r="E804" s="164"/>
      <c r="F804" s="164"/>
      <c r="G804" s="164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  <c r="AA804" s="164"/>
      <c r="AB804" s="164"/>
    </row>
    <row r="805" spans="1:28" ht="15.6">
      <c r="A805" s="164"/>
      <c r="B805" s="164"/>
      <c r="C805" s="164"/>
      <c r="D805" s="164"/>
      <c r="E805" s="164"/>
      <c r="F805" s="164"/>
      <c r="G805" s="164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  <c r="AA805" s="164"/>
      <c r="AB805" s="164"/>
    </row>
    <row r="806" spans="1:28" ht="15.6">
      <c r="A806" s="164"/>
      <c r="B806" s="164"/>
      <c r="C806" s="164"/>
      <c r="D806" s="164"/>
      <c r="E806" s="164"/>
      <c r="F806" s="164"/>
      <c r="G806" s="164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  <c r="AA806" s="164"/>
      <c r="AB806" s="164"/>
    </row>
    <row r="807" spans="1:28" ht="15.6">
      <c r="A807" s="164"/>
      <c r="B807" s="164"/>
      <c r="C807" s="164"/>
      <c r="D807" s="164"/>
      <c r="E807" s="164"/>
      <c r="F807" s="164"/>
      <c r="G807" s="164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  <c r="AA807" s="164"/>
      <c r="AB807" s="164"/>
    </row>
    <row r="808" spans="1:28" ht="15.6">
      <c r="A808" s="164"/>
      <c r="B808" s="164"/>
      <c r="C808" s="164"/>
      <c r="D808" s="164"/>
      <c r="E808" s="164"/>
      <c r="F808" s="164"/>
      <c r="G808" s="164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  <c r="AA808" s="164"/>
      <c r="AB808" s="164"/>
    </row>
    <row r="809" spans="1:28" ht="15.6">
      <c r="A809" s="164"/>
      <c r="B809" s="164"/>
      <c r="C809" s="164"/>
      <c r="D809" s="164"/>
      <c r="E809" s="164"/>
      <c r="F809" s="164"/>
      <c r="G809" s="164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  <c r="AA809" s="164"/>
      <c r="AB809" s="164"/>
    </row>
    <row r="810" spans="1:28" ht="15.6">
      <c r="A810" s="164"/>
      <c r="B810" s="164"/>
      <c r="C810" s="164"/>
      <c r="D810" s="164"/>
      <c r="E810" s="164"/>
      <c r="F810" s="164"/>
      <c r="G810" s="164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  <c r="AA810" s="164"/>
      <c r="AB810" s="164"/>
    </row>
    <row r="811" spans="1:28" ht="15.6">
      <c r="A811" s="164"/>
      <c r="B811" s="164"/>
      <c r="C811" s="164"/>
      <c r="D811" s="164"/>
      <c r="E811" s="164"/>
      <c r="F811" s="164"/>
      <c r="G811" s="164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  <c r="AA811" s="164"/>
      <c r="AB811" s="164"/>
    </row>
    <row r="812" spans="1:28" ht="15.6">
      <c r="A812" s="164"/>
      <c r="B812" s="164"/>
      <c r="C812" s="164"/>
      <c r="D812" s="164"/>
      <c r="E812" s="164"/>
      <c r="F812" s="164"/>
      <c r="G812" s="164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  <c r="AA812" s="164"/>
      <c r="AB812" s="164"/>
    </row>
    <row r="813" spans="1:28" ht="15.6">
      <c r="A813" s="164"/>
      <c r="B813" s="164"/>
      <c r="C813" s="164"/>
      <c r="D813" s="164"/>
      <c r="E813" s="164"/>
      <c r="F813" s="164"/>
      <c r="G813" s="164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  <c r="AA813" s="164"/>
      <c r="AB813" s="164"/>
    </row>
    <row r="814" spans="1:28" ht="15.6">
      <c r="A814" s="164"/>
      <c r="B814" s="164"/>
      <c r="C814" s="164"/>
      <c r="D814" s="164"/>
      <c r="E814" s="164"/>
      <c r="F814" s="164"/>
      <c r="G814" s="164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  <c r="AA814" s="164"/>
      <c r="AB814" s="164"/>
    </row>
    <row r="815" spans="1:28" ht="15.6">
      <c r="A815" s="164"/>
      <c r="B815" s="164"/>
      <c r="C815" s="164"/>
      <c r="D815" s="164"/>
      <c r="E815" s="164"/>
      <c r="F815" s="164"/>
      <c r="G815" s="164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  <c r="AA815" s="164"/>
      <c r="AB815" s="164"/>
    </row>
    <row r="816" spans="1:28" ht="15.6">
      <c r="A816" s="164"/>
      <c r="B816" s="164"/>
      <c r="C816" s="164"/>
      <c r="D816" s="164"/>
      <c r="E816" s="164"/>
      <c r="F816" s="164"/>
      <c r="G816" s="164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  <c r="AA816" s="164"/>
      <c r="AB816" s="164"/>
    </row>
    <row r="817" spans="1:28" ht="15.6">
      <c r="A817" s="164"/>
      <c r="B817" s="164"/>
      <c r="C817" s="164"/>
      <c r="D817" s="164"/>
      <c r="E817" s="164"/>
      <c r="F817" s="164"/>
      <c r="G817" s="164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  <c r="AA817" s="164"/>
      <c r="AB817" s="164"/>
    </row>
    <row r="818" spans="1:28" ht="15.6">
      <c r="A818" s="164"/>
      <c r="B818" s="164"/>
      <c r="C818" s="164"/>
      <c r="D818" s="164"/>
      <c r="E818" s="164"/>
      <c r="F818" s="164"/>
      <c r="G818" s="164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  <c r="AA818" s="164"/>
      <c r="AB818" s="164"/>
    </row>
    <row r="819" spans="1:28" ht="15.6">
      <c r="A819" s="164"/>
      <c r="B819" s="164"/>
      <c r="C819" s="164"/>
      <c r="D819" s="164"/>
      <c r="E819" s="164"/>
      <c r="F819" s="164"/>
      <c r="G819" s="164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  <c r="AA819" s="164"/>
      <c r="AB819" s="164"/>
    </row>
    <row r="820" spans="1:28" ht="15.6">
      <c r="A820" s="164"/>
      <c r="B820" s="164"/>
      <c r="C820" s="164"/>
      <c r="D820" s="164"/>
      <c r="E820" s="164"/>
      <c r="F820" s="164"/>
      <c r="G820" s="164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  <c r="AA820" s="164"/>
      <c r="AB820" s="164"/>
    </row>
    <row r="821" spans="1:28" ht="15.6">
      <c r="A821" s="164"/>
      <c r="B821" s="164"/>
      <c r="C821" s="164"/>
      <c r="D821" s="164"/>
      <c r="E821" s="164"/>
      <c r="F821" s="164"/>
      <c r="G821" s="164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  <c r="AA821" s="164"/>
      <c r="AB821" s="164"/>
    </row>
    <row r="822" spans="1:28" ht="15.6">
      <c r="A822" s="164"/>
      <c r="B822" s="164"/>
      <c r="C822" s="164"/>
      <c r="D822" s="164"/>
      <c r="E822" s="164"/>
      <c r="F822" s="164"/>
      <c r="G822" s="164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  <c r="AA822" s="164"/>
      <c r="AB822" s="164"/>
    </row>
    <row r="823" spans="1:28" ht="15.6">
      <c r="A823" s="164"/>
      <c r="B823" s="164"/>
      <c r="C823" s="164"/>
      <c r="D823" s="164"/>
      <c r="E823" s="164"/>
      <c r="F823" s="164"/>
      <c r="G823" s="164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  <c r="AA823" s="164"/>
      <c r="AB823" s="164"/>
    </row>
    <row r="824" spans="1:28" ht="15.6">
      <c r="A824" s="164"/>
      <c r="B824" s="164"/>
      <c r="C824" s="164"/>
      <c r="D824" s="164"/>
      <c r="E824" s="164"/>
      <c r="F824" s="164"/>
      <c r="G824" s="164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  <c r="AA824" s="164"/>
      <c r="AB824" s="164"/>
    </row>
    <row r="825" spans="1:28" ht="15.6">
      <c r="A825" s="164"/>
      <c r="B825" s="164"/>
      <c r="C825" s="164"/>
      <c r="D825" s="164"/>
      <c r="E825" s="164"/>
      <c r="F825" s="164"/>
      <c r="G825" s="164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  <c r="AA825" s="164"/>
      <c r="AB825" s="164"/>
    </row>
    <row r="826" spans="1:28" ht="15.6">
      <c r="A826" s="164"/>
      <c r="B826" s="164"/>
      <c r="C826" s="164"/>
      <c r="D826" s="164"/>
      <c r="E826" s="164"/>
      <c r="F826" s="164"/>
      <c r="G826" s="164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  <c r="AA826" s="164"/>
      <c r="AB826" s="164"/>
    </row>
    <row r="827" spans="1:28" ht="15.6">
      <c r="A827" s="164"/>
      <c r="B827" s="164"/>
      <c r="C827" s="164"/>
      <c r="D827" s="164"/>
      <c r="E827" s="164"/>
      <c r="F827" s="164"/>
      <c r="G827" s="164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  <c r="AA827" s="164"/>
      <c r="AB827" s="164"/>
    </row>
    <row r="828" spans="1:28" ht="15.6">
      <c r="A828" s="164"/>
      <c r="B828" s="164"/>
      <c r="C828" s="164"/>
      <c r="D828" s="164"/>
      <c r="E828" s="164"/>
      <c r="F828" s="164"/>
      <c r="G828" s="164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  <c r="AA828" s="164"/>
      <c r="AB828" s="164"/>
    </row>
    <row r="829" spans="1:28" ht="15.6">
      <c r="A829" s="164"/>
      <c r="B829" s="164"/>
      <c r="C829" s="164"/>
      <c r="D829" s="164"/>
      <c r="E829" s="164"/>
      <c r="F829" s="164"/>
      <c r="G829" s="164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  <c r="AA829" s="164"/>
      <c r="AB829" s="164"/>
    </row>
    <row r="830" spans="1:28" ht="15.6">
      <c r="A830" s="164"/>
      <c r="B830" s="164"/>
      <c r="C830" s="164"/>
      <c r="D830" s="164"/>
      <c r="E830" s="164"/>
      <c r="F830" s="164"/>
      <c r="G830" s="164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  <c r="AA830" s="164"/>
      <c r="AB830" s="164"/>
    </row>
    <row r="831" spans="1:28" ht="15.6">
      <c r="A831" s="164"/>
      <c r="B831" s="164"/>
      <c r="C831" s="164"/>
      <c r="D831" s="164"/>
      <c r="E831" s="164"/>
      <c r="F831" s="164"/>
      <c r="G831" s="164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  <c r="AA831" s="164"/>
      <c r="AB831" s="164"/>
    </row>
    <row r="832" spans="1:28" ht="15.6">
      <c r="A832" s="164"/>
      <c r="B832" s="164"/>
      <c r="C832" s="164"/>
      <c r="D832" s="164"/>
      <c r="E832" s="164"/>
      <c r="F832" s="164"/>
      <c r="G832" s="164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  <c r="AA832" s="164"/>
      <c r="AB832" s="164"/>
    </row>
    <row r="833" spans="1:28" ht="15.6">
      <c r="A833" s="164"/>
      <c r="B833" s="164"/>
      <c r="C833" s="164"/>
      <c r="D833" s="164"/>
      <c r="E833" s="164"/>
      <c r="F833" s="164"/>
      <c r="G833" s="164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  <c r="AA833" s="164"/>
      <c r="AB833" s="164"/>
    </row>
    <row r="834" spans="1:28" ht="15.6">
      <c r="A834" s="164"/>
      <c r="B834" s="164"/>
      <c r="C834" s="164"/>
      <c r="D834" s="164"/>
      <c r="E834" s="164"/>
      <c r="F834" s="164"/>
      <c r="G834" s="164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  <c r="AA834" s="164"/>
      <c r="AB834" s="164"/>
    </row>
    <row r="835" spans="1:28" ht="15.6">
      <c r="A835" s="164"/>
      <c r="B835" s="164"/>
      <c r="C835" s="164"/>
      <c r="D835" s="164"/>
      <c r="E835" s="164"/>
      <c r="F835" s="164"/>
      <c r="G835" s="164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  <c r="AA835" s="164"/>
      <c r="AB835" s="164"/>
    </row>
    <row r="836" spans="1:28" ht="15.6">
      <c r="A836" s="164"/>
      <c r="B836" s="164"/>
      <c r="C836" s="164"/>
      <c r="D836" s="164"/>
      <c r="E836" s="164"/>
      <c r="F836" s="164"/>
      <c r="G836" s="164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  <c r="AA836" s="164"/>
      <c r="AB836" s="164"/>
    </row>
    <row r="837" spans="1:28" ht="15.6">
      <c r="A837" s="164"/>
      <c r="B837" s="164"/>
      <c r="C837" s="164"/>
      <c r="D837" s="164"/>
      <c r="E837" s="164"/>
      <c r="F837" s="164"/>
      <c r="G837" s="164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  <c r="AA837" s="164"/>
      <c r="AB837" s="164"/>
    </row>
    <row r="838" spans="1:28" ht="15.6">
      <c r="A838" s="164"/>
      <c r="B838" s="164"/>
      <c r="C838" s="164"/>
      <c r="D838" s="164"/>
      <c r="E838" s="164"/>
      <c r="F838" s="164"/>
      <c r="G838" s="164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  <c r="AA838" s="164"/>
      <c r="AB838" s="164"/>
    </row>
    <row r="839" spans="1:28" ht="15.6">
      <c r="A839" s="164"/>
      <c r="B839" s="164"/>
      <c r="C839" s="164"/>
      <c r="D839" s="164"/>
      <c r="E839" s="164"/>
      <c r="F839" s="164"/>
      <c r="G839" s="164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  <c r="AA839" s="164"/>
      <c r="AB839" s="164"/>
    </row>
    <row r="840" spans="1:28" ht="15.6">
      <c r="A840" s="164"/>
      <c r="B840" s="164"/>
      <c r="C840" s="164"/>
      <c r="D840" s="164"/>
      <c r="E840" s="164"/>
      <c r="F840" s="164"/>
      <c r="G840" s="164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  <c r="AA840" s="164"/>
      <c r="AB840" s="164"/>
    </row>
    <row r="841" spans="1:28" ht="15.6">
      <c r="A841" s="164"/>
      <c r="B841" s="164"/>
      <c r="C841" s="164"/>
      <c r="D841" s="164"/>
      <c r="E841" s="164"/>
      <c r="F841" s="164"/>
      <c r="G841" s="164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  <c r="AA841" s="164"/>
      <c r="AB841" s="164"/>
    </row>
    <row r="842" spans="1:28" ht="15.6">
      <c r="A842" s="164"/>
      <c r="B842" s="164"/>
      <c r="C842" s="164"/>
      <c r="D842" s="164"/>
      <c r="E842" s="164"/>
      <c r="F842" s="164"/>
      <c r="G842" s="164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  <c r="AA842" s="164"/>
      <c r="AB842" s="164"/>
    </row>
    <row r="843" spans="1:28" ht="15.6">
      <c r="A843" s="164"/>
      <c r="B843" s="164"/>
      <c r="C843" s="164"/>
      <c r="D843" s="164"/>
      <c r="E843" s="164"/>
      <c r="F843" s="164"/>
      <c r="G843" s="164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  <c r="AA843" s="164"/>
      <c r="AB843" s="164"/>
    </row>
    <row r="844" spans="1:28" ht="15.6">
      <c r="A844" s="164"/>
      <c r="B844" s="164"/>
      <c r="C844" s="164"/>
      <c r="D844" s="164"/>
      <c r="E844" s="164"/>
      <c r="F844" s="164"/>
      <c r="G844" s="164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  <c r="AA844" s="164"/>
      <c r="AB844" s="164"/>
    </row>
    <row r="845" spans="1:28" ht="15.6">
      <c r="A845" s="164"/>
      <c r="B845" s="164"/>
      <c r="C845" s="164"/>
      <c r="D845" s="164"/>
      <c r="E845" s="164"/>
      <c r="F845" s="164"/>
      <c r="G845" s="164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  <c r="AA845" s="164"/>
      <c r="AB845" s="164"/>
    </row>
    <row r="846" spans="1:28" ht="15.6">
      <c r="A846" s="164"/>
      <c r="B846" s="164"/>
      <c r="C846" s="164"/>
      <c r="D846" s="164"/>
      <c r="E846" s="164"/>
      <c r="F846" s="164"/>
      <c r="G846" s="164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  <c r="AA846" s="164"/>
      <c r="AB846" s="164"/>
    </row>
    <row r="847" spans="1:28" ht="15.6">
      <c r="A847" s="164"/>
      <c r="B847" s="164"/>
      <c r="C847" s="164"/>
      <c r="D847" s="164"/>
      <c r="E847" s="164"/>
      <c r="F847" s="164"/>
      <c r="G847" s="164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  <c r="AA847" s="164"/>
      <c r="AB847" s="164"/>
    </row>
    <row r="848" spans="1:28" ht="15.6">
      <c r="A848" s="164"/>
      <c r="B848" s="164"/>
      <c r="C848" s="164"/>
      <c r="D848" s="164"/>
      <c r="E848" s="164"/>
      <c r="F848" s="164"/>
      <c r="G848" s="164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  <c r="AA848" s="164"/>
      <c r="AB848" s="164"/>
    </row>
    <row r="849" spans="1:28" ht="15.6">
      <c r="A849" s="164"/>
      <c r="B849" s="164"/>
      <c r="C849" s="164"/>
      <c r="D849" s="164"/>
      <c r="E849" s="164"/>
      <c r="F849" s="164"/>
      <c r="G849" s="164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  <c r="AA849" s="164"/>
      <c r="AB849" s="164"/>
    </row>
    <row r="850" spans="1:28" ht="15.6">
      <c r="A850" s="164"/>
      <c r="B850" s="164"/>
      <c r="C850" s="164"/>
      <c r="D850" s="164"/>
      <c r="E850" s="164"/>
      <c r="F850" s="164"/>
      <c r="G850" s="164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  <c r="AA850" s="164"/>
      <c r="AB850" s="164"/>
    </row>
    <row r="851" spans="1:28" ht="15.6">
      <c r="A851" s="164"/>
      <c r="B851" s="164"/>
      <c r="C851" s="164"/>
      <c r="D851" s="164"/>
      <c r="E851" s="164"/>
      <c r="F851" s="164"/>
      <c r="G851" s="164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  <c r="AA851" s="164"/>
      <c r="AB851" s="164"/>
    </row>
    <row r="852" spans="1:28" ht="15.6">
      <c r="A852" s="164"/>
      <c r="B852" s="164"/>
      <c r="C852" s="164"/>
      <c r="D852" s="164"/>
      <c r="E852" s="164"/>
      <c r="F852" s="164"/>
      <c r="G852" s="164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  <c r="AA852" s="164"/>
      <c r="AB852" s="164"/>
    </row>
    <row r="853" spans="1:28" ht="15.6">
      <c r="A853" s="164"/>
      <c r="B853" s="164"/>
      <c r="C853" s="164"/>
      <c r="D853" s="164"/>
      <c r="E853" s="164"/>
      <c r="F853" s="164"/>
      <c r="G853" s="164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  <c r="AA853" s="164"/>
      <c r="AB853" s="164"/>
    </row>
    <row r="854" spans="1:28" ht="15.6">
      <c r="A854" s="164"/>
      <c r="B854" s="164"/>
      <c r="C854" s="164"/>
      <c r="D854" s="164"/>
      <c r="E854" s="164"/>
      <c r="F854" s="164"/>
      <c r="G854" s="164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  <c r="AA854" s="164"/>
      <c r="AB854" s="164"/>
    </row>
    <row r="855" spans="1:28" ht="15.6">
      <c r="A855" s="164"/>
      <c r="B855" s="164"/>
      <c r="C855" s="164"/>
      <c r="D855" s="164"/>
      <c r="E855" s="164"/>
      <c r="F855" s="164"/>
      <c r="G855" s="164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  <c r="AA855" s="164"/>
      <c r="AB855" s="164"/>
    </row>
    <row r="856" spans="1:28" ht="15.6">
      <c r="A856" s="164"/>
      <c r="B856" s="164"/>
      <c r="C856" s="164"/>
      <c r="D856" s="164"/>
      <c r="E856" s="164"/>
      <c r="F856" s="164"/>
      <c r="G856" s="164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  <c r="AA856" s="164"/>
      <c r="AB856" s="164"/>
    </row>
    <row r="857" spans="1:28" ht="15.6">
      <c r="A857" s="164"/>
      <c r="B857" s="164"/>
      <c r="C857" s="164"/>
      <c r="D857" s="164"/>
      <c r="E857" s="164"/>
      <c r="F857" s="164"/>
      <c r="G857" s="164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  <c r="AA857" s="164"/>
      <c r="AB857" s="164"/>
    </row>
    <row r="858" spans="1:28" ht="15.6">
      <c r="A858" s="164"/>
      <c r="B858" s="164"/>
      <c r="C858" s="164"/>
      <c r="D858" s="164"/>
      <c r="E858" s="164"/>
      <c r="F858" s="164"/>
      <c r="G858" s="164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  <c r="AA858" s="164"/>
      <c r="AB858" s="164"/>
    </row>
    <row r="859" spans="1:28" ht="15.6">
      <c r="A859" s="164"/>
      <c r="B859" s="164"/>
      <c r="C859" s="164"/>
      <c r="D859" s="164"/>
      <c r="E859" s="164"/>
      <c r="F859" s="164"/>
      <c r="G859" s="164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  <c r="AA859" s="164"/>
      <c r="AB859" s="164"/>
    </row>
    <row r="860" spans="1:28" ht="15.6">
      <c r="A860" s="164"/>
      <c r="B860" s="164"/>
      <c r="C860" s="164"/>
      <c r="D860" s="164"/>
      <c r="E860" s="164"/>
      <c r="F860" s="164"/>
      <c r="G860" s="164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  <c r="AA860" s="164"/>
      <c r="AB860" s="164"/>
    </row>
    <row r="861" spans="1:28" ht="15.6">
      <c r="A861" s="164"/>
      <c r="B861" s="164"/>
      <c r="C861" s="164"/>
      <c r="D861" s="164"/>
      <c r="E861" s="164"/>
      <c r="F861" s="164"/>
      <c r="G861" s="164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  <c r="AA861" s="164"/>
      <c r="AB861" s="164"/>
    </row>
    <row r="862" spans="1:28" ht="15.6">
      <c r="A862" s="164"/>
      <c r="B862" s="164"/>
      <c r="C862" s="164"/>
      <c r="D862" s="164"/>
      <c r="E862" s="164"/>
      <c r="F862" s="164"/>
      <c r="G862" s="164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  <c r="AA862" s="164"/>
      <c r="AB862" s="164"/>
    </row>
    <row r="863" spans="1:28" ht="15.6">
      <c r="A863" s="164"/>
      <c r="B863" s="164"/>
      <c r="C863" s="164"/>
      <c r="D863" s="164"/>
      <c r="E863" s="164"/>
      <c r="F863" s="164"/>
      <c r="G863" s="164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  <c r="AA863" s="164"/>
      <c r="AB863" s="164"/>
    </row>
    <row r="864" spans="1:28" ht="15.6">
      <c r="A864" s="164"/>
      <c r="B864" s="164"/>
      <c r="C864" s="164"/>
      <c r="D864" s="164"/>
      <c r="E864" s="164"/>
      <c r="F864" s="164"/>
      <c r="G864" s="164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  <c r="AA864" s="164"/>
      <c r="AB864" s="164"/>
    </row>
    <row r="865" spans="1:28" ht="15.6">
      <c r="A865" s="164"/>
      <c r="B865" s="164"/>
      <c r="C865" s="164"/>
      <c r="D865" s="164"/>
      <c r="E865" s="164"/>
      <c r="F865" s="164"/>
      <c r="G865" s="164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  <c r="AA865" s="164"/>
      <c r="AB865" s="164"/>
    </row>
    <row r="866" spans="1:28" ht="15.6">
      <c r="A866" s="164"/>
      <c r="B866" s="164"/>
      <c r="C866" s="164"/>
      <c r="D866" s="164"/>
      <c r="E866" s="164"/>
      <c r="F866" s="164"/>
      <c r="G866" s="164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  <c r="AA866" s="164"/>
      <c r="AB866" s="164"/>
    </row>
    <row r="867" spans="1:28" ht="15.6">
      <c r="A867" s="164"/>
      <c r="B867" s="164"/>
      <c r="C867" s="164"/>
      <c r="D867" s="164"/>
      <c r="E867" s="164"/>
      <c r="F867" s="164"/>
      <c r="G867" s="164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  <c r="AA867" s="164"/>
      <c r="AB867" s="164"/>
    </row>
    <row r="868" spans="1:28" ht="15.6">
      <c r="A868" s="164"/>
      <c r="B868" s="164"/>
      <c r="C868" s="164"/>
      <c r="D868" s="164"/>
      <c r="E868" s="164"/>
      <c r="F868" s="164"/>
      <c r="G868" s="164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  <c r="AA868" s="164"/>
      <c r="AB868" s="164"/>
    </row>
    <row r="869" spans="1:28" ht="15.6">
      <c r="A869" s="164"/>
      <c r="B869" s="164"/>
      <c r="C869" s="164"/>
      <c r="D869" s="164"/>
      <c r="E869" s="164"/>
      <c r="F869" s="164"/>
      <c r="G869" s="164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  <c r="AA869" s="164"/>
      <c r="AB869" s="164"/>
    </row>
    <row r="870" spans="1:28" ht="15.6">
      <c r="A870" s="164"/>
      <c r="B870" s="164"/>
      <c r="C870" s="164"/>
      <c r="D870" s="164"/>
      <c r="E870" s="164"/>
      <c r="F870" s="164"/>
      <c r="G870" s="164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  <c r="AA870" s="164"/>
      <c r="AB870" s="164"/>
    </row>
    <row r="871" spans="1:28" ht="15.6">
      <c r="A871" s="164"/>
      <c r="B871" s="164"/>
      <c r="C871" s="164"/>
      <c r="D871" s="164"/>
      <c r="E871" s="164"/>
      <c r="F871" s="164"/>
      <c r="G871" s="164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  <c r="AA871" s="164"/>
      <c r="AB871" s="164"/>
    </row>
    <row r="872" spans="1:28" ht="15.6">
      <c r="A872" s="164"/>
      <c r="B872" s="164"/>
      <c r="C872" s="164"/>
      <c r="D872" s="164"/>
      <c r="E872" s="164"/>
      <c r="F872" s="164"/>
      <c r="G872" s="164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  <c r="AA872" s="164"/>
      <c r="AB872" s="164"/>
    </row>
    <row r="873" spans="1:28" ht="15.6">
      <c r="A873" s="164"/>
      <c r="B873" s="164"/>
      <c r="C873" s="164"/>
      <c r="D873" s="164"/>
      <c r="E873" s="164"/>
      <c r="F873" s="164"/>
      <c r="G873" s="164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  <c r="AA873" s="164"/>
      <c r="AB873" s="164"/>
    </row>
    <row r="874" spans="1:28" ht="15.6">
      <c r="A874" s="164"/>
      <c r="B874" s="164"/>
      <c r="C874" s="164"/>
      <c r="D874" s="164"/>
      <c r="E874" s="164"/>
      <c r="F874" s="164"/>
      <c r="G874" s="164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  <c r="AA874" s="164"/>
      <c r="AB874" s="164"/>
    </row>
    <row r="875" spans="1:28" ht="15.6">
      <c r="A875" s="164"/>
      <c r="B875" s="164"/>
      <c r="C875" s="164"/>
      <c r="D875" s="164"/>
      <c r="E875" s="164"/>
      <c r="F875" s="164"/>
      <c r="G875" s="164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  <c r="AA875" s="164"/>
      <c r="AB875" s="164"/>
    </row>
    <row r="876" spans="1:28" ht="15.6">
      <c r="A876" s="164"/>
      <c r="B876" s="164"/>
      <c r="C876" s="164"/>
      <c r="D876" s="164"/>
      <c r="E876" s="164"/>
      <c r="F876" s="164"/>
      <c r="G876" s="164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  <c r="AA876" s="164"/>
      <c r="AB876" s="164"/>
    </row>
    <row r="877" spans="1:28" ht="15.6">
      <c r="A877" s="164"/>
      <c r="B877" s="164"/>
      <c r="C877" s="164"/>
      <c r="D877" s="164"/>
      <c r="E877" s="164"/>
      <c r="F877" s="164"/>
      <c r="G877" s="164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  <c r="AA877" s="164"/>
      <c r="AB877" s="164"/>
    </row>
    <row r="878" spans="1:28" ht="15.6">
      <c r="A878" s="164"/>
      <c r="B878" s="164"/>
      <c r="C878" s="164"/>
      <c r="D878" s="164"/>
      <c r="E878" s="164"/>
      <c r="F878" s="164"/>
      <c r="G878" s="164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  <c r="AA878" s="164"/>
      <c r="AB878" s="164"/>
    </row>
    <row r="879" spans="1:28" ht="15.6">
      <c r="A879" s="164"/>
      <c r="B879" s="164"/>
      <c r="C879" s="164"/>
      <c r="D879" s="164"/>
      <c r="E879" s="164"/>
      <c r="F879" s="164"/>
      <c r="G879" s="164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  <c r="AA879" s="164"/>
      <c r="AB879" s="164"/>
    </row>
    <row r="880" spans="1:28" ht="15.6">
      <c r="A880" s="164"/>
      <c r="B880" s="164"/>
      <c r="C880" s="164"/>
      <c r="D880" s="164"/>
      <c r="E880" s="164"/>
      <c r="F880" s="164"/>
      <c r="G880" s="164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  <c r="AA880" s="164"/>
      <c r="AB880" s="164"/>
    </row>
    <row r="881" spans="1:28" ht="15.6">
      <c r="A881" s="164"/>
      <c r="B881" s="164"/>
      <c r="C881" s="164"/>
      <c r="D881" s="164"/>
      <c r="E881" s="164"/>
      <c r="F881" s="164"/>
      <c r="G881" s="164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  <c r="AA881" s="164"/>
      <c r="AB881" s="164"/>
    </row>
    <row r="882" spans="1:28" ht="15.6">
      <c r="A882" s="164"/>
      <c r="B882" s="164"/>
      <c r="C882" s="164"/>
      <c r="D882" s="164"/>
      <c r="E882" s="164"/>
      <c r="F882" s="164"/>
      <c r="G882" s="164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  <c r="AA882" s="164"/>
      <c r="AB882" s="164"/>
    </row>
    <row r="883" spans="1:28" ht="15.6">
      <c r="A883" s="164"/>
      <c r="B883" s="164"/>
      <c r="C883" s="164"/>
      <c r="D883" s="164"/>
      <c r="E883" s="164"/>
      <c r="F883" s="164"/>
      <c r="G883" s="164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  <c r="AA883" s="164"/>
      <c r="AB883" s="164"/>
    </row>
    <row r="884" spans="1:28" ht="15.6">
      <c r="A884" s="164"/>
      <c r="B884" s="164"/>
      <c r="C884" s="164"/>
      <c r="D884" s="164"/>
      <c r="E884" s="164"/>
      <c r="F884" s="164"/>
      <c r="G884" s="164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  <c r="AA884" s="164"/>
      <c r="AB884" s="164"/>
    </row>
    <row r="885" spans="1:28" ht="15.6">
      <c r="A885" s="164"/>
      <c r="B885" s="164"/>
      <c r="C885" s="164"/>
      <c r="D885" s="164"/>
      <c r="E885" s="164"/>
      <c r="F885" s="164"/>
      <c r="G885" s="164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  <c r="AA885" s="164"/>
      <c r="AB885" s="164"/>
    </row>
    <row r="886" spans="1:28" ht="15.6">
      <c r="A886" s="164"/>
      <c r="B886" s="164"/>
      <c r="C886" s="164"/>
      <c r="D886" s="164"/>
      <c r="E886" s="164"/>
      <c r="F886" s="164"/>
      <c r="G886" s="164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  <c r="AA886" s="164"/>
      <c r="AB886" s="164"/>
    </row>
    <row r="887" spans="1:28" ht="15.6">
      <c r="A887" s="164"/>
      <c r="B887" s="164"/>
      <c r="C887" s="164"/>
      <c r="D887" s="164"/>
      <c r="E887" s="164"/>
      <c r="F887" s="164"/>
      <c r="G887" s="164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  <c r="AA887" s="164"/>
      <c r="AB887" s="164"/>
    </row>
    <row r="888" spans="1:28" ht="15.6">
      <c r="A888" s="164"/>
      <c r="B888" s="164"/>
      <c r="C888" s="164"/>
      <c r="D888" s="164"/>
      <c r="E888" s="164"/>
      <c r="F888" s="164"/>
      <c r="G888" s="164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  <c r="AA888" s="164"/>
      <c r="AB888" s="164"/>
    </row>
    <row r="889" spans="1:28" ht="15.6">
      <c r="A889" s="164"/>
      <c r="B889" s="164"/>
      <c r="C889" s="164"/>
      <c r="D889" s="164"/>
      <c r="E889" s="164"/>
      <c r="F889" s="164"/>
      <c r="G889" s="164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  <c r="AA889" s="164"/>
      <c r="AB889" s="164"/>
    </row>
    <row r="890" spans="1:28" ht="15.6">
      <c r="A890" s="164"/>
      <c r="B890" s="164"/>
      <c r="C890" s="164"/>
      <c r="D890" s="164"/>
      <c r="E890" s="164"/>
      <c r="F890" s="164"/>
      <c r="G890" s="164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  <c r="AA890" s="164"/>
      <c r="AB890" s="164"/>
    </row>
    <row r="891" spans="1:28" ht="15.6">
      <c r="A891" s="164"/>
      <c r="B891" s="164"/>
      <c r="C891" s="164"/>
      <c r="D891" s="164"/>
      <c r="E891" s="164"/>
      <c r="F891" s="164"/>
      <c r="G891" s="164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  <c r="AA891" s="164"/>
      <c r="AB891" s="164"/>
    </row>
    <row r="892" spans="1:28" ht="15.6">
      <c r="A892" s="164"/>
      <c r="B892" s="164"/>
      <c r="C892" s="164"/>
      <c r="D892" s="164"/>
      <c r="E892" s="164"/>
      <c r="F892" s="164"/>
      <c r="G892" s="164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  <c r="AA892" s="164"/>
      <c r="AB892" s="164"/>
    </row>
    <row r="893" spans="1:28" ht="15.6">
      <c r="A893" s="164"/>
      <c r="B893" s="164"/>
      <c r="C893" s="164"/>
      <c r="D893" s="164"/>
      <c r="E893" s="164"/>
      <c r="F893" s="164"/>
      <c r="G893" s="164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  <c r="AA893" s="164"/>
      <c r="AB893" s="164"/>
    </row>
    <row r="894" spans="1:28" ht="15.6">
      <c r="A894" s="164"/>
      <c r="B894" s="164"/>
      <c r="C894" s="164"/>
      <c r="D894" s="164"/>
      <c r="E894" s="164"/>
      <c r="F894" s="164"/>
      <c r="G894" s="164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  <c r="AA894" s="164"/>
      <c r="AB894" s="164"/>
    </row>
    <row r="895" spans="1:28" ht="15.6">
      <c r="A895" s="164"/>
      <c r="B895" s="164"/>
      <c r="C895" s="164"/>
      <c r="D895" s="164"/>
      <c r="E895" s="164"/>
      <c r="F895" s="164"/>
      <c r="G895" s="164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  <c r="AA895" s="164"/>
      <c r="AB895" s="164"/>
    </row>
    <row r="896" spans="1:28" ht="15.6">
      <c r="A896" s="164"/>
      <c r="B896" s="164"/>
      <c r="C896" s="164"/>
      <c r="D896" s="164"/>
      <c r="E896" s="164"/>
      <c r="F896" s="164"/>
      <c r="G896" s="164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  <c r="AA896" s="164"/>
      <c r="AB896" s="164"/>
    </row>
    <row r="897" spans="1:28" ht="15.6">
      <c r="A897" s="164"/>
      <c r="B897" s="164"/>
      <c r="C897" s="164"/>
      <c r="D897" s="164"/>
      <c r="E897" s="164"/>
      <c r="F897" s="164"/>
      <c r="G897" s="164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  <c r="AA897" s="164"/>
      <c r="AB897" s="164"/>
    </row>
    <row r="898" spans="1:28" ht="15.6">
      <c r="A898" s="164"/>
      <c r="B898" s="164"/>
      <c r="C898" s="164"/>
      <c r="D898" s="164"/>
      <c r="E898" s="164"/>
      <c r="F898" s="164"/>
      <c r="G898" s="164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  <c r="AA898" s="164"/>
      <c r="AB898" s="164"/>
    </row>
    <row r="899" spans="1:28" ht="15.6">
      <c r="A899" s="164"/>
      <c r="B899" s="164"/>
      <c r="C899" s="164"/>
      <c r="D899" s="164"/>
      <c r="E899" s="164"/>
      <c r="F899" s="164"/>
      <c r="G899" s="164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  <c r="AA899" s="164"/>
      <c r="AB899" s="164"/>
    </row>
    <row r="900" spans="1:28" ht="15.6">
      <c r="A900" s="164"/>
      <c r="B900" s="164"/>
      <c r="C900" s="164"/>
      <c r="D900" s="164"/>
      <c r="E900" s="164"/>
      <c r="F900" s="164"/>
      <c r="G900" s="164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  <c r="AA900" s="164"/>
      <c r="AB900" s="164"/>
    </row>
    <row r="901" spans="1:28" ht="15.6">
      <c r="A901" s="164"/>
      <c r="B901" s="164"/>
      <c r="C901" s="164"/>
      <c r="D901" s="164"/>
      <c r="E901" s="164"/>
      <c r="F901" s="164"/>
      <c r="G901" s="164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  <c r="AA901" s="164"/>
      <c r="AB901" s="164"/>
    </row>
    <row r="902" spans="1:28" ht="15.6">
      <c r="A902" s="164"/>
      <c r="B902" s="164"/>
      <c r="C902" s="164"/>
      <c r="D902" s="164"/>
      <c r="E902" s="164"/>
      <c r="F902" s="164"/>
      <c r="G902" s="164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  <c r="AA902" s="164"/>
      <c r="AB902" s="164"/>
    </row>
    <row r="903" spans="1:28" ht="15.6">
      <c r="A903" s="164"/>
      <c r="B903" s="164"/>
      <c r="C903" s="164"/>
      <c r="D903" s="164"/>
      <c r="E903" s="164"/>
      <c r="F903" s="164"/>
      <c r="G903" s="164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  <c r="AA903" s="164"/>
      <c r="AB903" s="164"/>
    </row>
    <row r="904" spans="1:28" ht="15.6">
      <c r="A904" s="164"/>
      <c r="B904" s="164"/>
      <c r="C904" s="164"/>
      <c r="D904" s="164"/>
      <c r="E904" s="164"/>
      <c r="F904" s="164"/>
      <c r="G904" s="164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  <c r="AA904" s="164"/>
      <c r="AB904" s="164"/>
    </row>
    <row r="905" spans="1:28" ht="15.6">
      <c r="A905" s="164"/>
      <c r="B905" s="164"/>
      <c r="C905" s="164"/>
      <c r="D905" s="164"/>
      <c r="E905" s="164"/>
      <c r="F905" s="164"/>
      <c r="G905" s="164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  <c r="AA905" s="164"/>
      <c r="AB905" s="164"/>
    </row>
    <row r="906" spans="1:28" ht="15.6">
      <c r="A906" s="164"/>
      <c r="B906" s="164"/>
      <c r="C906" s="164"/>
      <c r="D906" s="164"/>
      <c r="E906" s="164"/>
      <c r="F906" s="164"/>
      <c r="G906" s="164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  <c r="AA906" s="164"/>
      <c r="AB906" s="164"/>
    </row>
    <row r="907" spans="1:28" ht="15.6">
      <c r="A907" s="164"/>
      <c r="B907" s="164"/>
      <c r="C907" s="164"/>
      <c r="D907" s="164"/>
      <c r="E907" s="164"/>
      <c r="F907" s="164"/>
      <c r="G907" s="164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  <c r="AA907" s="164"/>
      <c r="AB907" s="164"/>
    </row>
    <row r="908" spans="1:28" ht="15.6">
      <c r="A908" s="164"/>
      <c r="B908" s="164"/>
      <c r="C908" s="164"/>
      <c r="D908" s="164"/>
      <c r="E908" s="164"/>
      <c r="F908" s="164"/>
      <c r="G908" s="164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  <c r="AA908" s="164"/>
      <c r="AB908" s="164"/>
    </row>
    <row r="909" spans="1:28" ht="15.6">
      <c r="A909" s="164"/>
      <c r="B909" s="164"/>
      <c r="C909" s="164"/>
      <c r="D909" s="164"/>
      <c r="E909" s="164"/>
      <c r="F909" s="164"/>
      <c r="G909" s="164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  <c r="AA909" s="164"/>
      <c r="AB909" s="164"/>
    </row>
    <row r="910" spans="1:28" ht="15.6">
      <c r="A910" s="164"/>
      <c r="B910" s="164"/>
      <c r="C910" s="164"/>
      <c r="D910" s="164"/>
      <c r="E910" s="164"/>
      <c r="F910" s="164"/>
      <c r="G910" s="164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  <c r="AA910" s="164"/>
      <c r="AB910" s="164"/>
    </row>
    <row r="911" spans="1:28" ht="15.6">
      <c r="A911" s="164"/>
      <c r="B911" s="164"/>
      <c r="C911" s="164"/>
      <c r="D911" s="164"/>
      <c r="E911" s="164"/>
      <c r="F911" s="164"/>
      <c r="G911" s="164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  <c r="AA911" s="164"/>
      <c r="AB911" s="164"/>
    </row>
    <row r="912" spans="1:28" ht="15.6">
      <c r="A912" s="164"/>
      <c r="B912" s="164"/>
      <c r="C912" s="164"/>
      <c r="D912" s="164"/>
      <c r="E912" s="164"/>
      <c r="F912" s="164"/>
      <c r="G912" s="164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  <c r="AA912" s="164"/>
      <c r="AB912" s="164"/>
    </row>
    <row r="913" spans="1:28" ht="15.6">
      <c r="A913" s="164"/>
      <c r="B913" s="164"/>
      <c r="C913" s="164"/>
      <c r="D913" s="164"/>
      <c r="E913" s="164"/>
      <c r="F913" s="164"/>
      <c r="G913" s="164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  <c r="AA913" s="164"/>
      <c r="AB913" s="164"/>
    </row>
    <row r="914" spans="1:28" ht="15.6">
      <c r="A914" s="164"/>
      <c r="B914" s="164"/>
      <c r="C914" s="164"/>
      <c r="D914" s="164"/>
      <c r="E914" s="164"/>
      <c r="F914" s="164"/>
      <c r="G914" s="164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  <c r="AA914" s="164"/>
      <c r="AB914" s="164"/>
    </row>
    <row r="915" spans="1:28" ht="15.6">
      <c r="A915" s="164"/>
      <c r="B915" s="164"/>
      <c r="C915" s="164"/>
      <c r="D915" s="164"/>
      <c r="E915" s="164"/>
      <c r="F915" s="164"/>
      <c r="G915" s="164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  <c r="AA915" s="164"/>
      <c r="AB915" s="164"/>
    </row>
    <row r="916" spans="1:28" ht="15.6">
      <c r="A916" s="164"/>
      <c r="B916" s="164"/>
      <c r="C916" s="164"/>
      <c r="D916" s="164"/>
      <c r="E916" s="164"/>
      <c r="F916" s="164"/>
      <c r="G916" s="164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  <c r="AA916" s="164"/>
      <c r="AB916" s="164"/>
    </row>
    <row r="917" spans="1:28" ht="15.6">
      <c r="A917" s="164"/>
      <c r="B917" s="164"/>
      <c r="C917" s="164"/>
      <c r="D917" s="164"/>
      <c r="E917" s="164"/>
      <c r="F917" s="164"/>
      <c r="G917" s="164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  <c r="AA917" s="164"/>
      <c r="AB917" s="164"/>
    </row>
    <row r="918" spans="1:28" ht="15.6">
      <c r="A918" s="164"/>
      <c r="B918" s="164"/>
      <c r="C918" s="164"/>
      <c r="D918" s="164"/>
      <c r="E918" s="164"/>
      <c r="F918" s="164"/>
      <c r="G918" s="164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  <c r="AA918" s="164"/>
      <c r="AB918" s="164"/>
    </row>
    <row r="919" spans="1:28" ht="15.6">
      <c r="A919" s="164"/>
      <c r="B919" s="164"/>
      <c r="C919" s="164"/>
      <c r="D919" s="164"/>
      <c r="E919" s="164"/>
      <c r="F919" s="164"/>
      <c r="G919" s="164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  <c r="AA919" s="164"/>
      <c r="AB919" s="164"/>
    </row>
    <row r="920" spans="1:28" ht="15.6">
      <c r="A920" s="164"/>
      <c r="B920" s="164"/>
      <c r="C920" s="164"/>
      <c r="D920" s="164"/>
      <c r="E920" s="164"/>
      <c r="F920" s="164"/>
      <c r="G920" s="164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  <c r="AA920" s="164"/>
      <c r="AB920" s="164"/>
    </row>
    <row r="921" spans="1:28" ht="15.6">
      <c r="A921" s="164"/>
      <c r="B921" s="164"/>
      <c r="C921" s="164"/>
      <c r="D921" s="164"/>
      <c r="E921" s="164"/>
      <c r="F921" s="164"/>
      <c r="G921" s="164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  <c r="AA921" s="164"/>
      <c r="AB921" s="164"/>
    </row>
    <row r="922" spans="1:28" ht="15.6">
      <c r="A922" s="164"/>
      <c r="B922" s="164"/>
      <c r="C922" s="164"/>
      <c r="D922" s="164"/>
      <c r="E922" s="164"/>
      <c r="F922" s="164"/>
      <c r="G922" s="164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  <c r="AA922" s="164"/>
      <c r="AB922" s="164"/>
    </row>
    <row r="923" spans="1:28" ht="15.6">
      <c r="A923" s="164"/>
      <c r="B923" s="164"/>
      <c r="C923" s="164"/>
      <c r="D923" s="164"/>
      <c r="E923" s="164"/>
      <c r="F923" s="164"/>
      <c r="G923" s="164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  <c r="AA923" s="164"/>
      <c r="AB923" s="164"/>
    </row>
    <row r="924" spans="1:28" ht="15.6">
      <c r="A924" s="164"/>
      <c r="B924" s="164"/>
      <c r="C924" s="164"/>
      <c r="D924" s="164"/>
      <c r="E924" s="164"/>
      <c r="F924" s="164"/>
      <c r="G924" s="164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  <c r="AA924" s="164"/>
      <c r="AB924" s="164"/>
    </row>
    <row r="925" spans="1:28" ht="15.6">
      <c r="A925" s="164"/>
      <c r="B925" s="164"/>
      <c r="C925" s="164"/>
      <c r="D925" s="164"/>
      <c r="E925" s="164"/>
      <c r="F925" s="164"/>
      <c r="G925" s="164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  <c r="AA925" s="164"/>
      <c r="AB925" s="164"/>
    </row>
    <row r="926" spans="1:28" ht="15.6">
      <c r="A926" s="164"/>
      <c r="B926" s="164"/>
      <c r="C926" s="164"/>
      <c r="D926" s="164"/>
      <c r="E926" s="164"/>
      <c r="F926" s="164"/>
      <c r="G926" s="164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  <c r="AA926" s="164"/>
      <c r="AB926" s="164"/>
    </row>
    <row r="927" spans="1:28" ht="15.6">
      <c r="A927" s="164"/>
      <c r="B927" s="164"/>
      <c r="C927" s="164"/>
      <c r="D927" s="164"/>
      <c r="E927" s="164"/>
      <c r="F927" s="164"/>
      <c r="G927" s="164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  <c r="AA927" s="164"/>
      <c r="AB927" s="164"/>
    </row>
    <row r="928" spans="1:28" ht="15.6">
      <c r="A928" s="164"/>
      <c r="B928" s="164"/>
      <c r="C928" s="164"/>
      <c r="D928" s="164"/>
      <c r="E928" s="164"/>
      <c r="F928" s="164"/>
      <c r="G928" s="164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  <c r="AA928" s="164"/>
      <c r="AB928" s="164"/>
    </row>
    <row r="929" spans="1:28" ht="15.6">
      <c r="A929" s="164"/>
      <c r="B929" s="164"/>
      <c r="C929" s="164"/>
      <c r="D929" s="164"/>
      <c r="E929" s="164"/>
      <c r="F929" s="164"/>
      <c r="G929" s="164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  <c r="AA929" s="164"/>
      <c r="AB929" s="164"/>
    </row>
    <row r="930" spans="1:28" ht="15.6">
      <c r="A930" s="164"/>
      <c r="B930" s="164"/>
      <c r="C930" s="164"/>
      <c r="D930" s="164"/>
      <c r="E930" s="164"/>
      <c r="F930" s="164"/>
      <c r="G930" s="164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  <c r="AA930" s="164"/>
      <c r="AB930" s="164"/>
    </row>
    <row r="931" spans="1:28" ht="15.6">
      <c r="A931" s="164"/>
      <c r="B931" s="164"/>
      <c r="C931" s="164"/>
      <c r="D931" s="164"/>
      <c r="E931" s="164"/>
      <c r="F931" s="164"/>
      <c r="G931" s="164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  <c r="AA931" s="164"/>
      <c r="AB931" s="164"/>
    </row>
    <row r="932" spans="1:28" ht="15.6">
      <c r="A932" s="164"/>
      <c r="B932" s="164"/>
      <c r="C932" s="164"/>
      <c r="D932" s="164"/>
      <c r="E932" s="164"/>
      <c r="F932" s="164"/>
      <c r="G932" s="164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  <c r="AA932" s="164"/>
      <c r="AB932" s="164"/>
    </row>
    <row r="933" spans="1:28" ht="15.6">
      <c r="A933" s="164"/>
      <c r="B933" s="164"/>
      <c r="C933" s="164"/>
      <c r="D933" s="164"/>
      <c r="E933" s="164"/>
      <c r="F933" s="164"/>
      <c r="G933" s="164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  <c r="AA933" s="164"/>
      <c r="AB933" s="164"/>
    </row>
    <row r="934" spans="1:28" ht="15.6">
      <c r="A934" s="164"/>
      <c r="B934" s="164"/>
      <c r="C934" s="164"/>
      <c r="D934" s="164"/>
      <c r="E934" s="164"/>
      <c r="F934" s="164"/>
      <c r="G934" s="164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  <c r="AA934" s="164"/>
      <c r="AB934" s="164"/>
    </row>
    <row r="935" spans="1:28" ht="15.6">
      <c r="A935" s="164"/>
      <c r="B935" s="164"/>
      <c r="C935" s="164"/>
      <c r="D935" s="164"/>
      <c r="E935" s="164"/>
      <c r="F935" s="164"/>
      <c r="G935" s="164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  <c r="AA935" s="164"/>
      <c r="AB935" s="164"/>
    </row>
    <row r="936" spans="1:28" ht="15.6">
      <c r="A936" s="164"/>
      <c r="B936" s="164"/>
      <c r="C936" s="164"/>
      <c r="D936" s="164"/>
      <c r="E936" s="164"/>
      <c r="F936" s="164"/>
      <c r="G936" s="164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  <c r="AA936" s="164"/>
      <c r="AB936" s="164"/>
    </row>
    <row r="937" spans="1:28" ht="15.6">
      <c r="A937" s="164"/>
      <c r="B937" s="164"/>
      <c r="C937" s="164"/>
      <c r="D937" s="164"/>
      <c r="E937" s="164"/>
      <c r="F937" s="164"/>
      <c r="G937" s="164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  <c r="AA937" s="164"/>
      <c r="AB937" s="164"/>
    </row>
    <row r="938" spans="1:28" ht="15.6">
      <c r="A938" s="164"/>
      <c r="B938" s="164"/>
      <c r="C938" s="164"/>
      <c r="D938" s="164"/>
      <c r="E938" s="164"/>
      <c r="F938" s="164"/>
      <c r="G938" s="164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  <c r="AA938" s="164"/>
      <c r="AB938" s="164"/>
    </row>
    <row r="939" spans="1:28" ht="15.6">
      <c r="A939" s="164"/>
      <c r="B939" s="164"/>
      <c r="C939" s="164"/>
      <c r="D939" s="164"/>
      <c r="E939" s="164"/>
      <c r="F939" s="164"/>
      <c r="G939" s="164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  <c r="AA939" s="164"/>
      <c r="AB939" s="164"/>
    </row>
    <row r="940" spans="1:28" ht="15.6">
      <c r="A940" s="164"/>
      <c r="B940" s="164"/>
      <c r="C940" s="164"/>
      <c r="D940" s="164"/>
      <c r="E940" s="164"/>
      <c r="F940" s="164"/>
      <c r="G940" s="164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  <c r="AA940" s="164"/>
      <c r="AB940" s="164"/>
    </row>
    <row r="941" spans="1:28" ht="15.6">
      <c r="A941" s="164"/>
      <c r="B941" s="164"/>
      <c r="C941" s="164"/>
      <c r="D941" s="164"/>
      <c r="E941" s="164"/>
      <c r="F941" s="164"/>
      <c r="G941" s="164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  <c r="AA941" s="164"/>
      <c r="AB941" s="164"/>
    </row>
    <row r="942" spans="1:28" ht="15.6">
      <c r="A942" s="164"/>
      <c r="B942" s="164"/>
      <c r="C942" s="164"/>
      <c r="D942" s="164"/>
      <c r="E942" s="164"/>
      <c r="F942" s="164"/>
      <c r="G942" s="164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  <c r="AA942" s="164"/>
      <c r="AB942" s="164"/>
    </row>
    <row r="943" spans="1:28" ht="15.6">
      <c r="A943" s="164"/>
      <c r="B943" s="164"/>
      <c r="C943" s="164"/>
      <c r="D943" s="164"/>
      <c r="E943" s="164"/>
      <c r="F943" s="164"/>
      <c r="G943" s="164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  <c r="AA943" s="164"/>
      <c r="AB943" s="164"/>
    </row>
    <row r="944" spans="1:28" ht="15.6">
      <c r="A944" s="164"/>
      <c r="B944" s="164"/>
      <c r="C944" s="164"/>
      <c r="D944" s="164"/>
      <c r="E944" s="164"/>
      <c r="F944" s="164"/>
      <c r="G944" s="164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  <c r="AA944" s="164"/>
      <c r="AB944" s="164"/>
    </row>
    <row r="945" spans="1:28" ht="15.6">
      <c r="A945" s="164"/>
      <c r="B945" s="164"/>
      <c r="C945" s="164"/>
      <c r="D945" s="164"/>
      <c r="E945" s="164"/>
      <c r="F945" s="164"/>
      <c r="G945" s="164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  <c r="AA945" s="164"/>
      <c r="AB945" s="164"/>
    </row>
    <row r="946" spans="1:28" ht="15.6">
      <c r="A946" s="164"/>
      <c r="B946" s="164"/>
      <c r="C946" s="164"/>
      <c r="D946" s="164"/>
      <c r="E946" s="164"/>
      <c r="F946" s="164"/>
      <c r="G946" s="164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  <c r="AA946" s="164"/>
      <c r="AB946" s="164"/>
    </row>
    <row r="947" spans="1:28" ht="15.6">
      <c r="A947" s="164"/>
      <c r="B947" s="164"/>
      <c r="C947" s="164"/>
      <c r="D947" s="164"/>
      <c r="E947" s="164"/>
      <c r="F947" s="164"/>
      <c r="G947" s="164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  <c r="AA947" s="164"/>
      <c r="AB947" s="164"/>
    </row>
    <row r="948" spans="1:28" ht="15.6">
      <c r="A948" s="164"/>
      <c r="B948" s="164"/>
      <c r="C948" s="164"/>
      <c r="D948" s="164"/>
      <c r="E948" s="164"/>
      <c r="F948" s="164"/>
      <c r="G948" s="164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  <c r="AA948" s="164"/>
      <c r="AB948" s="164"/>
    </row>
    <row r="949" spans="1:28" ht="15.6">
      <c r="A949" s="164"/>
      <c r="B949" s="164"/>
      <c r="C949" s="164"/>
      <c r="D949" s="164"/>
      <c r="E949" s="164"/>
      <c r="F949" s="164"/>
      <c r="G949" s="164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  <c r="AA949" s="164"/>
      <c r="AB949" s="164"/>
    </row>
    <row r="950" spans="1:28" ht="15.6">
      <c r="A950" s="164"/>
      <c r="B950" s="164"/>
      <c r="C950" s="164"/>
      <c r="D950" s="164"/>
      <c r="E950" s="164"/>
      <c r="F950" s="164"/>
      <c r="G950" s="164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  <c r="AA950" s="164"/>
      <c r="AB950" s="164"/>
    </row>
    <row r="951" spans="1:28" ht="15.6">
      <c r="A951" s="164"/>
      <c r="B951" s="164"/>
      <c r="C951" s="164"/>
      <c r="D951" s="164"/>
      <c r="E951" s="164"/>
      <c r="F951" s="164"/>
      <c r="G951" s="164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  <c r="AA951" s="164"/>
      <c r="AB951" s="164"/>
    </row>
    <row r="952" spans="1:28" ht="15.6">
      <c r="A952" s="164"/>
      <c r="B952" s="164"/>
      <c r="C952" s="164"/>
      <c r="D952" s="164"/>
      <c r="E952" s="164"/>
      <c r="F952" s="164"/>
      <c r="G952" s="164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  <c r="AA952" s="164"/>
      <c r="AB952" s="164"/>
    </row>
    <row r="953" spans="1:28" ht="15.6">
      <c r="A953" s="164"/>
      <c r="B953" s="164"/>
      <c r="C953" s="164"/>
      <c r="D953" s="164"/>
      <c r="E953" s="164"/>
      <c r="F953" s="164"/>
      <c r="G953" s="164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  <c r="AA953" s="164"/>
      <c r="AB953" s="164"/>
    </row>
    <row r="954" spans="1:28" ht="15.6">
      <c r="A954" s="164"/>
      <c r="B954" s="164"/>
      <c r="C954" s="164"/>
      <c r="D954" s="164"/>
      <c r="E954" s="164"/>
      <c r="F954" s="164"/>
      <c r="G954" s="164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  <c r="AA954" s="164"/>
      <c r="AB954" s="164"/>
    </row>
    <row r="955" spans="1:28" ht="15.6">
      <c r="A955" s="164"/>
      <c r="B955" s="164"/>
      <c r="C955" s="164"/>
      <c r="D955" s="164"/>
      <c r="E955" s="164"/>
      <c r="F955" s="164"/>
      <c r="G955" s="164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  <c r="AA955" s="164"/>
      <c r="AB955" s="164"/>
    </row>
    <row r="956" spans="1:28" ht="15.6">
      <c r="A956" s="164"/>
      <c r="B956" s="164"/>
      <c r="C956" s="164"/>
      <c r="D956" s="164"/>
      <c r="E956" s="164"/>
      <c r="F956" s="164"/>
      <c r="G956" s="164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  <c r="AA956" s="164"/>
      <c r="AB956" s="164"/>
    </row>
    <row r="957" spans="1:28" ht="15.6">
      <c r="A957" s="164"/>
      <c r="B957" s="164"/>
      <c r="C957" s="164"/>
      <c r="D957" s="164"/>
      <c r="E957" s="164"/>
      <c r="F957" s="164"/>
      <c r="G957" s="164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  <c r="AA957" s="164"/>
      <c r="AB957" s="164"/>
    </row>
    <row r="958" spans="1:28" ht="15.6">
      <c r="A958" s="164"/>
      <c r="B958" s="164"/>
      <c r="C958" s="164"/>
      <c r="D958" s="164"/>
      <c r="E958" s="164"/>
      <c r="F958" s="164"/>
      <c r="G958" s="164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  <c r="AA958" s="164"/>
      <c r="AB958" s="164"/>
    </row>
    <row r="959" spans="1:28" ht="15.6">
      <c r="A959" s="164"/>
      <c r="B959" s="164"/>
      <c r="C959" s="164"/>
      <c r="D959" s="164"/>
      <c r="E959" s="164"/>
      <c r="F959" s="164"/>
      <c r="G959" s="164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  <c r="AA959" s="164"/>
      <c r="AB959" s="164"/>
    </row>
    <row r="960" spans="1:28" ht="15.6">
      <c r="A960" s="164"/>
      <c r="B960" s="164"/>
      <c r="C960" s="164"/>
      <c r="D960" s="164"/>
      <c r="E960" s="164"/>
      <c r="F960" s="164"/>
      <c r="G960" s="164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  <c r="AA960" s="164"/>
      <c r="AB960" s="164"/>
    </row>
    <row r="961" spans="1:28" ht="15.6">
      <c r="A961" s="164"/>
      <c r="B961" s="164"/>
      <c r="C961" s="164"/>
      <c r="D961" s="164"/>
      <c r="E961" s="164"/>
      <c r="F961" s="164"/>
      <c r="G961" s="164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  <c r="AA961" s="164"/>
      <c r="AB961" s="164"/>
    </row>
    <row r="962" spans="1:28" ht="15.6">
      <c r="A962" s="164"/>
      <c r="B962" s="164"/>
      <c r="C962" s="164"/>
      <c r="D962" s="164"/>
      <c r="E962" s="164"/>
      <c r="F962" s="164"/>
      <c r="G962" s="164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  <c r="AA962" s="164"/>
      <c r="AB962" s="164"/>
    </row>
    <row r="963" spans="1:28" ht="15.6">
      <c r="A963" s="164"/>
      <c r="B963" s="164"/>
      <c r="C963" s="164"/>
      <c r="D963" s="164"/>
      <c r="E963" s="164"/>
      <c r="F963" s="164"/>
      <c r="G963" s="164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  <c r="AA963" s="164"/>
      <c r="AB963" s="164"/>
    </row>
    <row r="964" spans="1:28" ht="15.6">
      <c r="A964" s="164"/>
      <c r="B964" s="164"/>
      <c r="C964" s="164"/>
      <c r="D964" s="164"/>
      <c r="E964" s="164"/>
      <c r="F964" s="164"/>
      <c r="G964" s="164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  <c r="AA964" s="164"/>
      <c r="AB964" s="164"/>
    </row>
    <row r="965" spans="1:28" ht="15.6">
      <c r="A965" s="164"/>
      <c r="B965" s="164"/>
      <c r="C965" s="164"/>
      <c r="D965" s="164"/>
      <c r="E965" s="164"/>
      <c r="F965" s="164"/>
      <c r="G965" s="164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  <c r="AA965" s="164"/>
      <c r="AB965" s="164"/>
    </row>
    <row r="966" spans="1:28" ht="15.6">
      <c r="A966" s="164"/>
      <c r="B966" s="164"/>
      <c r="C966" s="164"/>
      <c r="D966" s="164"/>
      <c r="E966" s="164"/>
      <c r="F966" s="164"/>
      <c r="G966" s="164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  <c r="AA966" s="164"/>
      <c r="AB966" s="164"/>
    </row>
    <row r="967" spans="1:28" ht="15.6">
      <c r="A967" s="164"/>
      <c r="B967" s="164"/>
      <c r="C967" s="164"/>
      <c r="D967" s="164"/>
      <c r="E967" s="164"/>
      <c r="F967" s="164"/>
      <c r="G967" s="164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  <c r="AA967" s="164"/>
      <c r="AB967" s="164"/>
    </row>
    <row r="968" spans="1:28" ht="15.6">
      <c r="A968" s="164"/>
      <c r="B968" s="164"/>
      <c r="C968" s="164"/>
      <c r="D968" s="164"/>
      <c r="E968" s="164"/>
      <c r="F968" s="164"/>
      <c r="G968" s="164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  <c r="AA968" s="164"/>
      <c r="AB968" s="164"/>
    </row>
    <row r="969" spans="1:28" ht="15.6">
      <c r="A969" s="164"/>
      <c r="B969" s="164"/>
      <c r="C969" s="164"/>
      <c r="D969" s="164"/>
      <c r="E969" s="164"/>
      <c r="F969" s="164"/>
      <c r="G969" s="164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  <c r="AA969" s="164"/>
      <c r="AB969" s="164"/>
    </row>
    <row r="970" spans="1:28" ht="15.6">
      <c r="A970" s="164"/>
      <c r="B970" s="164"/>
      <c r="C970" s="164"/>
      <c r="D970" s="164"/>
      <c r="E970" s="164"/>
      <c r="F970" s="164"/>
      <c r="G970" s="164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  <c r="AA970" s="164"/>
      <c r="AB970" s="164"/>
    </row>
    <row r="971" spans="1:28" ht="15.6">
      <c r="A971" s="164"/>
      <c r="B971" s="164"/>
      <c r="C971" s="164"/>
      <c r="D971" s="164"/>
      <c r="E971" s="164"/>
      <c r="F971" s="164"/>
      <c r="G971" s="164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  <c r="AA971" s="164"/>
      <c r="AB971" s="164"/>
    </row>
    <row r="972" spans="1:28" ht="15.6">
      <c r="A972" s="164"/>
      <c r="B972" s="164"/>
      <c r="C972" s="164"/>
      <c r="D972" s="164"/>
      <c r="E972" s="164"/>
      <c r="F972" s="164"/>
      <c r="G972" s="164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  <c r="AA972" s="164"/>
      <c r="AB972" s="164"/>
    </row>
    <row r="973" spans="1:28" ht="15.6">
      <c r="A973" s="164"/>
      <c r="B973" s="164"/>
      <c r="C973" s="164"/>
      <c r="D973" s="164"/>
      <c r="E973" s="164"/>
      <c r="F973" s="164"/>
      <c r="G973" s="164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  <c r="AA973" s="164"/>
      <c r="AB973" s="164"/>
    </row>
    <row r="974" spans="1:28" ht="15.6">
      <c r="A974" s="164"/>
      <c r="B974" s="164"/>
      <c r="C974" s="164"/>
      <c r="D974" s="164"/>
      <c r="E974" s="164"/>
      <c r="F974" s="164"/>
      <c r="G974" s="164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  <c r="AA974" s="164"/>
      <c r="AB974" s="164"/>
    </row>
    <row r="975" spans="1:28" ht="15.6">
      <c r="A975" s="164"/>
      <c r="B975" s="164"/>
      <c r="C975" s="164"/>
      <c r="D975" s="164"/>
      <c r="E975" s="164"/>
      <c r="F975" s="164"/>
      <c r="G975" s="164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  <c r="AA975" s="164"/>
      <c r="AB975" s="164"/>
    </row>
    <row r="976" spans="1:28" ht="15.6">
      <c r="A976" s="164"/>
      <c r="B976" s="164"/>
      <c r="C976" s="164"/>
      <c r="D976" s="164"/>
      <c r="E976" s="164"/>
      <c r="F976" s="164"/>
      <c r="G976" s="164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  <c r="AA976" s="164"/>
      <c r="AB976" s="164"/>
    </row>
    <row r="977" spans="1:28" ht="15.6">
      <c r="A977" s="164"/>
      <c r="B977" s="164"/>
      <c r="C977" s="164"/>
      <c r="D977" s="164"/>
      <c r="E977" s="164"/>
      <c r="F977" s="164"/>
      <c r="G977" s="164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  <c r="AA977" s="164"/>
      <c r="AB977" s="164"/>
    </row>
    <row r="978" spans="1:28" ht="15.6">
      <c r="A978" s="164"/>
      <c r="B978" s="164"/>
      <c r="C978" s="164"/>
      <c r="D978" s="164"/>
      <c r="E978" s="164"/>
      <c r="F978" s="164"/>
      <c r="G978" s="164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  <c r="AA978" s="164"/>
      <c r="AB978" s="164"/>
    </row>
    <row r="979" spans="1:28" ht="15.6">
      <c r="A979" s="164"/>
      <c r="B979" s="164"/>
      <c r="C979" s="164"/>
      <c r="D979" s="164"/>
      <c r="E979" s="164"/>
      <c r="F979" s="164"/>
      <c r="G979" s="164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  <c r="AA979" s="164"/>
      <c r="AB979" s="164"/>
    </row>
    <row r="980" spans="1:28" ht="15.6">
      <c r="A980" s="164"/>
      <c r="B980" s="164"/>
      <c r="C980" s="164"/>
      <c r="D980" s="164"/>
      <c r="E980" s="164"/>
      <c r="F980" s="164"/>
      <c r="G980" s="164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  <c r="AA980" s="164"/>
      <c r="AB980" s="164"/>
    </row>
    <row r="981" spans="1:28" ht="15.6">
      <c r="A981" s="164"/>
      <c r="B981" s="164"/>
      <c r="C981" s="164"/>
      <c r="D981" s="164"/>
      <c r="E981" s="164"/>
      <c r="F981" s="164"/>
      <c r="G981" s="164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  <c r="AA981" s="164"/>
      <c r="AB981" s="164"/>
    </row>
    <row r="982" spans="1:28" ht="15.6">
      <c r="A982" s="164"/>
      <c r="B982" s="164"/>
      <c r="C982" s="164"/>
      <c r="D982" s="164"/>
      <c r="E982" s="164"/>
      <c r="F982" s="164"/>
      <c r="G982" s="164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  <c r="AA982" s="164"/>
      <c r="AB982" s="164"/>
    </row>
    <row r="983" spans="1:28" ht="15.6">
      <c r="A983" s="164"/>
      <c r="B983" s="164"/>
      <c r="C983" s="164"/>
      <c r="D983" s="164"/>
      <c r="E983" s="164"/>
      <c r="F983" s="164"/>
      <c r="G983" s="164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  <c r="AA983" s="164"/>
      <c r="AB983" s="164"/>
    </row>
    <row r="984" spans="1:28" ht="15.6">
      <c r="A984" s="164"/>
      <c r="B984" s="164"/>
      <c r="C984" s="164"/>
      <c r="D984" s="164"/>
      <c r="E984" s="164"/>
      <c r="F984" s="164"/>
      <c r="G984" s="164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  <c r="AA984" s="164"/>
      <c r="AB984" s="164"/>
    </row>
    <row r="985" spans="1:28" ht="15.6">
      <c r="A985" s="164"/>
      <c r="B985" s="164"/>
      <c r="C985" s="164"/>
      <c r="D985" s="164"/>
      <c r="E985" s="164"/>
      <c r="F985" s="164"/>
      <c r="G985" s="164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  <c r="AA985" s="164"/>
      <c r="AB985" s="164"/>
    </row>
    <row r="986" spans="1:28" ht="15.6">
      <c r="A986" s="164"/>
      <c r="B986" s="164"/>
      <c r="C986" s="164"/>
      <c r="D986" s="164"/>
      <c r="E986" s="164"/>
      <c r="F986" s="164"/>
      <c r="G986" s="164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  <c r="AA986" s="164"/>
      <c r="AB986" s="164"/>
    </row>
    <row r="987" spans="1:28" ht="15.6">
      <c r="A987" s="164"/>
      <c r="B987" s="164"/>
      <c r="C987" s="164"/>
      <c r="D987" s="164"/>
      <c r="E987" s="164"/>
      <c r="F987" s="164"/>
      <c r="G987" s="164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  <c r="AA987" s="164"/>
      <c r="AB987" s="164"/>
    </row>
    <row r="988" spans="1:28" ht="15.6">
      <c r="A988" s="164"/>
      <c r="B988" s="164"/>
      <c r="C988" s="164"/>
      <c r="D988" s="164"/>
      <c r="E988" s="164"/>
      <c r="F988" s="164"/>
      <c r="G988" s="164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  <c r="AA988" s="164"/>
      <c r="AB988" s="164"/>
    </row>
    <row r="989" spans="1:28" ht="15.6">
      <c r="A989" s="164"/>
      <c r="B989" s="164"/>
      <c r="C989" s="164"/>
      <c r="D989" s="164"/>
      <c r="E989" s="164"/>
      <c r="F989" s="164"/>
      <c r="G989" s="164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  <c r="AA989" s="164"/>
      <c r="AB989" s="164"/>
    </row>
    <row r="990" spans="1:28" ht="15.6">
      <c r="A990" s="164"/>
      <c r="B990" s="164"/>
      <c r="C990" s="164"/>
      <c r="D990" s="164"/>
      <c r="E990" s="164"/>
      <c r="F990" s="164"/>
      <c r="G990" s="164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  <c r="AA990" s="164"/>
      <c r="AB990" s="164"/>
    </row>
    <row r="991" spans="1:28" ht="15.6">
      <c r="A991" s="164"/>
      <c r="B991" s="164"/>
      <c r="C991" s="164"/>
      <c r="D991" s="164"/>
      <c r="E991" s="164"/>
      <c r="F991" s="164"/>
      <c r="G991" s="164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  <c r="AA991" s="164"/>
      <c r="AB991" s="164"/>
    </row>
    <row r="992" spans="1:28" ht="15.6">
      <c r="A992" s="164"/>
      <c r="B992" s="164"/>
      <c r="C992" s="164"/>
      <c r="D992" s="164"/>
      <c r="E992" s="164"/>
      <c r="F992" s="164"/>
      <c r="G992" s="164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  <c r="AA992" s="164"/>
      <c r="AB992" s="164"/>
    </row>
    <row r="993" spans="1:28" ht="15.6">
      <c r="A993" s="164"/>
      <c r="B993" s="164"/>
      <c r="C993" s="164"/>
      <c r="D993" s="164"/>
      <c r="E993" s="164"/>
      <c r="F993" s="164"/>
      <c r="G993" s="164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  <c r="AA993" s="164"/>
      <c r="AB993" s="164"/>
    </row>
    <row r="994" spans="1:28" ht="15.6">
      <c r="A994" s="164"/>
      <c r="B994" s="164"/>
      <c r="C994" s="164"/>
      <c r="D994" s="164"/>
      <c r="E994" s="164"/>
      <c r="F994" s="164"/>
      <c r="G994" s="164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  <c r="AA994" s="164"/>
      <c r="AB994" s="164"/>
    </row>
    <row r="995" spans="1:28" ht="15.6">
      <c r="A995" s="164"/>
      <c r="B995" s="164"/>
      <c r="C995" s="164"/>
      <c r="D995" s="164"/>
      <c r="E995" s="164"/>
      <c r="F995" s="164"/>
      <c r="G995" s="164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  <c r="AA995" s="164"/>
      <c r="AB995" s="164"/>
    </row>
    <row r="996" spans="1:28" ht="15.6">
      <c r="A996" s="164"/>
      <c r="B996" s="164"/>
      <c r="C996" s="164"/>
      <c r="D996" s="164"/>
      <c r="E996" s="164"/>
      <c r="F996" s="164"/>
      <c r="G996" s="164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  <c r="AA996" s="164"/>
      <c r="AB996" s="164"/>
    </row>
    <row r="997" spans="1:28" ht="15.6">
      <c r="A997" s="164"/>
      <c r="B997" s="164"/>
      <c r="C997" s="164"/>
      <c r="D997" s="164"/>
      <c r="E997" s="164"/>
      <c r="F997" s="164"/>
      <c r="G997" s="164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  <c r="AA997" s="164"/>
      <c r="AB997" s="164"/>
    </row>
    <row r="998" spans="1:28" ht="15.6">
      <c r="A998" s="164"/>
      <c r="B998" s="164"/>
      <c r="C998" s="164"/>
      <c r="D998" s="164"/>
      <c r="E998" s="164"/>
      <c r="F998" s="164"/>
      <c r="G998" s="164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  <c r="AA998" s="164"/>
      <c r="AB998" s="164"/>
    </row>
    <row r="999" spans="1:28" ht="15.6">
      <c r="A999" s="164"/>
      <c r="B999" s="164"/>
      <c r="C999" s="164"/>
      <c r="D999" s="164"/>
      <c r="E999" s="164"/>
      <c r="F999" s="164"/>
      <c r="G999" s="164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  <c r="AA999" s="164"/>
      <c r="AB999" s="164"/>
    </row>
    <row r="1000" spans="1:28" ht="15.6">
      <c r="A1000" s="164"/>
      <c r="B1000" s="164"/>
      <c r="C1000" s="164"/>
      <c r="D1000" s="164"/>
      <c r="E1000" s="164"/>
      <c r="F1000" s="164"/>
      <c r="G1000" s="164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  <c r="AA1000" s="164"/>
      <c r="AB1000" s="164"/>
    </row>
    <row r="1001" spans="1:28" ht="15.6">
      <c r="A1001" s="164"/>
      <c r="B1001" s="164"/>
      <c r="C1001" s="164"/>
      <c r="D1001" s="164"/>
      <c r="E1001" s="164"/>
      <c r="F1001" s="164"/>
      <c r="G1001" s="164"/>
      <c r="H1001" s="164"/>
      <c r="I1001" s="164"/>
      <c r="J1001" s="164"/>
      <c r="K1001" s="164"/>
      <c r="L1001" s="164"/>
      <c r="M1001" s="164"/>
      <c r="N1001" s="164"/>
      <c r="O1001" s="164"/>
      <c r="P1001" s="164"/>
      <c r="Q1001" s="164"/>
      <c r="R1001" s="164"/>
      <c r="S1001" s="164"/>
      <c r="T1001" s="164"/>
      <c r="U1001" s="164"/>
      <c r="V1001" s="164"/>
      <c r="W1001" s="164"/>
      <c r="X1001" s="164"/>
      <c r="Y1001" s="164"/>
      <c r="Z1001" s="164"/>
      <c r="AA1001" s="164"/>
      <c r="AB1001" s="164"/>
    </row>
    <row r="1002" spans="1:28" ht="15.6">
      <c r="A1002" s="164"/>
      <c r="B1002" s="164"/>
      <c r="C1002" s="164"/>
      <c r="D1002" s="164"/>
      <c r="E1002" s="164"/>
      <c r="F1002" s="164"/>
      <c r="G1002" s="164"/>
      <c r="H1002" s="164"/>
      <c r="I1002" s="164"/>
      <c r="J1002" s="164"/>
      <c r="K1002" s="164"/>
      <c r="L1002" s="164"/>
      <c r="M1002" s="164"/>
      <c r="N1002" s="164"/>
      <c r="O1002" s="164"/>
      <c r="P1002" s="164"/>
      <c r="Q1002" s="164"/>
      <c r="R1002" s="164"/>
      <c r="S1002" s="164"/>
      <c r="T1002" s="164"/>
      <c r="U1002" s="164"/>
      <c r="V1002" s="164"/>
      <c r="W1002" s="164"/>
      <c r="X1002" s="164"/>
      <c r="Y1002" s="164"/>
      <c r="Z1002" s="164"/>
      <c r="AA1002" s="164"/>
      <c r="AB1002" s="164"/>
    </row>
    <row r="1003" spans="1:28" ht="15.6">
      <c r="A1003" s="164"/>
      <c r="B1003" s="164"/>
      <c r="C1003" s="164"/>
      <c r="D1003" s="164"/>
      <c r="E1003" s="164"/>
      <c r="F1003" s="164"/>
      <c r="G1003" s="164"/>
      <c r="H1003" s="164"/>
      <c r="I1003" s="164"/>
      <c r="J1003" s="164"/>
      <c r="K1003" s="164"/>
      <c r="L1003" s="164"/>
      <c r="M1003" s="164"/>
      <c r="N1003" s="164"/>
      <c r="O1003" s="164"/>
      <c r="P1003" s="164"/>
      <c r="Q1003" s="164"/>
      <c r="R1003" s="164"/>
      <c r="S1003" s="164"/>
      <c r="T1003" s="164"/>
      <c r="U1003" s="164"/>
      <c r="V1003" s="164"/>
      <c r="W1003" s="164"/>
      <c r="X1003" s="164"/>
      <c r="Y1003" s="164"/>
      <c r="Z1003" s="164"/>
      <c r="AA1003" s="164"/>
      <c r="AB1003" s="164"/>
    </row>
    <row r="1004" spans="1:28" ht="15.6">
      <c r="A1004" s="164"/>
      <c r="B1004" s="164"/>
      <c r="C1004" s="164"/>
      <c r="D1004" s="164"/>
      <c r="E1004" s="164"/>
      <c r="F1004" s="164"/>
      <c r="G1004" s="164"/>
      <c r="H1004" s="164"/>
      <c r="I1004" s="164"/>
      <c r="J1004" s="164"/>
      <c r="K1004" s="164"/>
      <c r="L1004" s="164"/>
      <c r="M1004" s="164"/>
      <c r="N1004" s="164"/>
      <c r="O1004" s="164"/>
      <c r="P1004" s="164"/>
      <c r="Q1004" s="164"/>
      <c r="R1004" s="164"/>
      <c r="S1004" s="164"/>
      <c r="T1004" s="164"/>
      <c r="U1004" s="164"/>
      <c r="V1004" s="164"/>
      <c r="W1004" s="164"/>
      <c r="X1004" s="164"/>
      <c r="Y1004" s="164"/>
      <c r="Z1004" s="164"/>
      <c r="AA1004" s="164"/>
      <c r="AB1004" s="164"/>
    </row>
    <row r="1005" spans="1:28" ht="15.6">
      <c r="A1005" s="164"/>
      <c r="B1005" s="164"/>
      <c r="C1005" s="164"/>
      <c r="D1005" s="164"/>
      <c r="E1005" s="164"/>
      <c r="F1005" s="164"/>
      <c r="G1005" s="164"/>
      <c r="H1005" s="164"/>
      <c r="I1005" s="164"/>
      <c r="J1005" s="164"/>
      <c r="K1005" s="164"/>
      <c r="L1005" s="164"/>
      <c r="M1005" s="164"/>
      <c r="N1005" s="164"/>
      <c r="O1005" s="164"/>
      <c r="P1005" s="164"/>
      <c r="Q1005" s="164"/>
      <c r="R1005" s="164"/>
      <c r="S1005" s="164"/>
      <c r="T1005" s="164"/>
      <c r="U1005" s="164"/>
      <c r="V1005" s="164"/>
      <c r="W1005" s="164"/>
      <c r="X1005" s="164"/>
      <c r="Y1005" s="164"/>
      <c r="Z1005" s="164"/>
      <c r="AA1005" s="164"/>
      <c r="AB1005" s="164"/>
    </row>
    <row r="1006" spans="1:28" ht="15.6">
      <c r="A1006" s="164"/>
      <c r="B1006" s="164"/>
      <c r="C1006" s="164"/>
      <c r="D1006" s="164"/>
      <c r="E1006" s="164"/>
      <c r="F1006" s="164"/>
      <c r="G1006" s="164"/>
      <c r="H1006" s="164"/>
      <c r="I1006" s="164"/>
      <c r="J1006" s="164"/>
      <c r="K1006" s="164"/>
      <c r="L1006" s="164"/>
      <c r="M1006" s="164"/>
      <c r="N1006" s="164"/>
      <c r="O1006" s="164"/>
      <c r="P1006" s="164"/>
      <c r="Q1006" s="164"/>
      <c r="R1006" s="164"/>
      <c r="S1006" s="164"/>
      <c r="T1006" s="164"/>
      <c r="U1006" s="164"/>
      <c r="V1006" s="164"/>
      <c r="W1006" s="164"/>
      <c r="X1006" s="164"/>
      <c r="Y1006" s="164"/>
      <c r="Z1006" s="164"/>
      <c r="AA1006" s="164"/>
      <c r="AB1006" s="164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983D-36C2-4676-A6DB-3D54DD287C6F}">
  <dimension ref="A1:H22"/>
  <sheetViews>
    <sheetView zoomScale="79" workbookViewId="0">
      <selection activeCell="B18" sqref="B18"/>
    </sheetView>
  </sheetViews>
  <sheetFormatPr defaultRowHeight="13.2"/>
  <cols>
    <col min="1" max="1" width="24.1640625" style="127" customWidth="1"/>
    <col min="2" max="6" width="29.08203125" style="127" customWidth="1"/>
    <col min="7" max="7" width="12.5" style="127" customWidth="1"/>
    <col min="8" max="16384" width="8.6640625" style="127"/>
  </cols>
  <sheetData>
    <row r="1" spans="1:8">
      <c r="B1" s="126" t="s">
        <v>230</v>
      </c>
      <c r="C1" s="126" t="s">
        <v>231</v>
      </c>
      <c r="D1" s="126" t="s">
        <v>232</v>
      </c>
      <c r="E1" s="126" t="s">
        <v>233</v>
      </c>
      <c r="F1" s="126" t="s">
        <v>234</v>
      </c>
      <c r="G1" s="126" t="s">
        <v>260</v>
      </c>
    </row>
    <row r="2" spans="1:8" ht="31.05" customHeight="1">
      <c r="B2" s="128" t="s">
        <v>235</v>
      </c>
      <c r="C2" s="128" t="s">
        <v>236</v>
      </c>
      <c r="D2" s="128" t="s">
        <v>258</v>
      </c>
      <c r="E2" s="128" t="s">
        <v>237</v>
      </c>
      <c r="F2" s="128" t="s">
        <v>238</v>
      </c>
    </row>
    <row r="3" spans="1:8" ht="31.95" customHeight="1">
      <c r="B3" s="128" t="s">
        <v>239</v>
      </c>
      <c r="C3" s="128" t="s">
        <v>240</v>
      </c>
      <c r="D3" s="128" t="s">
        <v>241</v>
      </c>
      <c r="E3" s="128" t="s">
        <v>242</v>
      </c>
      <c r="F3" s="128" t="s">
        <v>243</v>
      </c>
    </row>
    <row r="4" spans="1:8" ht="28.05" customHeight="1">
      <c r="B4" s="128" t="s">
        <v>244</v>
      </c>
      <c r="C4" s="128" t="s">
        <v>245</v>
      </c>
      <c r="D4" s="128" t="s">
        <v>246</v>
      </c>
      <c r="E4" s="128"/>
      <c r="F4" s="128" t="s">
        <v>259</v>
      </c>
    </row>
    <row r="5" spans="1:8" ht="32.549999999999997" customHeight="1">
      <c r="B5" s="128" t="s">
        <v>247</v>
      </c>
      <c r="C5" s="128" t="s">
        <v>248</v>
      </c>
      <c r="D5" s="128" t="s">
        <v>249</v>
      </c>
      <c r="E5" s="128"/>
      <c r="F5" s="128"/>
    </row>
    <row r="6" spans="1:8">
      <c r="B6" s="128" t="s">
        <v>250</v>
      </c>
      <c r="C6" s="128" t="s">
        <v>251</v>
      </c>
      <c r="D6" s="128" t="s">
        <v>252</v>
      </c>
      <c r="E6" s="128"/>
      <c r="F6" s="128"/>
    </row>
    <row r="7" spans="1:8">
      <c r="B7" s="128" t="s">
        <v>253</v>
      </c>
      <c r="C7" s="128"/>
      <c r="D7" s="128" t="s">
        <v>254</v>
      </c>
      <c r="E7" s="128"/>
      <c r="F7" s="128"/>
    </row>
    <row r="8" spans="1:8" ht="32.549999999999997" customHeight="1">
      <c r="B8" s="128" t="s">
        <v>255</v>
      </c>
      <c r="C8" s="128"/>
      <c r="D8" s="128"/>
      <c r="E8" s="128"/>
      <c r="F8" s="128"/>
    </row>
    <row r="9" spans="1:8" ht="30.45" customHeight="1">
      <c r="B9" s="128" t="s">
        <v>256</v>
      </c>
      <c r="C9" s="128"/>
      <c r="D9" s="128"/>
      <c r="E9" s="128"/>
      <c r="F9" s="128"/>
    </row>
    <row r="10" spans="1:8" ht="12.45" customHeight="1">
      <c r="B10" s="128" t="s">
        <v>257</v>
      </c>
      <c r="C10" s="128"/>
      <c r="D10" s="128"/>
      <c r="E10" s="128"/>
      <c r="F10" s="128"/>
    </row>
    <row r="11" spans="1:8">
      <c r="B11" s="129"/>
      <c r="C11" s="129"/>
      <c r="D11" s="129"/>
      <c r="E11" s="129"/>
      <c r="F11" s="129"/>
    </row>
    <row r="12" spans="1:8" s="130" customFormat="1">
      <c r="A12" s="130" t="s">
        <v>261</v>
      </c>
      <c r="B12" s="132">
        <v>169</v>
      </c>
      <c r="C12" s="132">
        <v>1317</v>
      </c>
      <c r="D12" s="132">
        <v>0</v>
      </c>
      <c r="E12" s="132">
        <v>1392</v>
      </c>
      <c r="F12" s="132">
        <v>1900</v>
      </c>
      <c r="G12" s="178">
        <f>H12-SUM(B12:F12)</f>
        <v>355</v>
      </c>
      <c r="H12" s="131">
        <f>Inputs!E5</f>
        <v>5133</v>
      </c>
    </row>
    <row r="13" spans="1:8" s="130" customFormat="1">
      <c r="A13" s="130" t="s">
        <v>262</v>
      </c>
      <c r="B13" s="130">
        <v>2</v>
      </c>
      <c r="C13" s="132">
        <v>10</v>
      </c>
      <c r="D13" s="130">
        <v>9</v>
      </c>
      <c r="E13" s="130">
        <v>4</v>
      </c>
      <c r="F13" s="130">
        <v>2</v>
      </c>
    </row>
    <row r="17" spans="1:6">
      <c r="C17" s="134"/>
    </row>
    <row r="19" spans="1:6">
      <c r="A19" s="127" t="s">
        <v>263</v>
      </c>
      <c r="C19" s="135">
        <f>SUMPRODUCT(B12:F12,B13:F13)/SUM(B12:F12)</f>
        <v>4.7877773126831311</v>
      </c>
    </row>
    <row r="22" spans="1:6" s="136" customFormat="1">
      <c r="B22" s="136">
        <f>B12*B13*Calc!D16*(1-Calc!D20)</f>
        <v>973.44</v>
      </c>
      <c r="C22" s="137">
        <f>C12*C13*Calc!E16*(1-Calc!E20)</f>
        <v>37929.599999999999</v>
      </c>
      <c r="D22" s="136">
        <f>D12*D13*Calc!I16*(1-Calc!I20)</f>
        <v>0</v>
      </c>
      <c r="E22" s="136">
        <f>E12*E13*Calc!J16*(1-Calc!J20)</f>
        <v>16035.84</v>
      </c>
      <c r="F22" s="136">
        <f>F12*F13*Calc!K16*(1-Calc!K20)</f>
        <v>10944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706DE-1192-4263-BEEF-20D5748A7346}">
  <dimension ref="A1:I59"/>
  <sheetViews>
    <sheetView workbookViewId="0">
      <pane xSplit="1" ySplit="2" topLeftCell="B34" activePane="bottomRight" state="frozen"/>
      <selection pane="topRight"/>
      <selection pane="bottomLeft"/>
      <selection pane="bottomRight" activeCell="H55" sqref="H55"/>
    </sheetView>
  </sheetViews>
  <sheetFormatPr defaultRowHeight="13.2"/>
  <cols>
    <col min="1" max="1" width="38.58203125" style="47" customWidth="1"/>
    <col min="2" max="5" width="12.4140625" style="47" customWidth="1"/>
    <col min="6" max="6" width="38.58203125" style="47" customWidth="1"/>
    <col min="7" max="256" width="12.4140625" style="47" customWidth="1"/>
    <col min="257" max="257" width="38.58203125" style="47" customWidth="1"/>
    <col min="258" max="261" width="12.4140625" style="47" customWidth="1"/>
    <col min="262" max="262" width="38.58203125" style="47" customWidth="1"/>
    <col min="263" max="512" width="12.4140625" style="47" customWidth="1"/>
    <col min="513" max="513" width="38.58203125" style="47" customWidth="1"/>
    <col min="514" max="517" width="12.4140625" style="47" customWidth="1"/>
    <col min="518" max="518" width="38.58203125" style="47" customWidth="1"/>
    <col min="519" max="768" width="12.4140625" style="47" customWidth="1"/>
    <col min="769" max="769" width="38.58203125" style="47" customWidth="1"/>
    <col min="770" max="773" width="12.4140625" style="47" customWidth="1"/>
    <col min="774" max="774" width="38.58203125" style="47" customWidth="1"/>
    <col min="775" max="1024" width="12.4140625" style="47" customWidth="1"/>
    <col min="1025" max="1025" width="38.58203125" style="47" customWidth="1"/>
    <col min="1026" max="1029" width="12.4140625" style="47" customWidth="1"/>
    <col min="1030" max="1030" width="38.58203125" style="47" customWidth="1"/>
    <col min="1031" max="1280" width="12.4140625" style="47" customWidth="1"/>
    <col min="1281" max="1281" width="38.58203125" style="47" customWidth="1"/>
    <col min="1282" max="1285" width="12.4140625" style="47" customWidth="1"/>
    <col min="1286" max="1286" width="38.58203125" style="47" customWidth="1"/>
    <col min="1287" max="1536" width="12.4140625" style="47" customWidth="1"/>
    <col min="1537" max="1537" width="38.58203125" style="47" customWidth="1"/>
    <col min="1538" max="1541" width="12.4140625" style="47" customWidth="1"/>
    <col min="1542" max="1542" width="38.58203125" style="47" customWidth="1"/>
    <col min="1543" max="1792" width="12.4140625" style="47" customWidth="1"/>
    <col min="1793" max="1793" width="38.58203125" style="47" customWidth="1"/>
    <col min="1794" max="1797" width="12.4140625" style="47" customWidth="1"/>
    <col min="1798" max="1798" width="38.58203125" style="47" customWidth="1"/>
    <col min="1799" max="2048" width="12.4140625" style="47" customWidth="1"/>
    <col min="2049" max="2049" width="38.58203125" style="47" customWidth="1"/>
    <col min="2050" max="2053" width="12.4140625" style="47" customWidth="1"/>
    <col min="2054" max="2054" width="38.58203125" style="47" customWidth="1"/>
    <col min="2055" max="2304" width="12.4140625" style="47" customWidth="1"/>
    <col min="2305" max="2305" width="38.58203125" style="47" customWidth="1"/>
    <col min="2306" max="2309" width="12.4140625" style="47" customWidth="1"/>
    <col min="2310" max="2310" width="38.58203125" style="47" customWidth="1"/>
    <col min="2311" max="2560" width="12.4140625" style="47" customWidth="1"/>
    <col min="2561" max="2561" width="38.58203125" style="47" customWidth="1"/>
    <col min="2562" max="2565" width="12.4140625" style="47" customWidth="1"/>
    <col min="2566" max="2566" width="38.58203125" style="47" customWidth="1"/>
    <col min="2567" max="2816" width="12.4140625" style="47" customWidth="1"/>
    <col min="2817" max="2817" width="38.58203125" style="47" customWidth="1"/>
    <col min="2818" max="2821" width="12.4140625" style="47" customWidth="1"/>
    <col min="2822" max="2822" width="38.58203125" style="47" customWidth="1"/>
    <col min="2823" max="3072" width="12.4140625" style="47" customWidth="1"/>
    <col min="3073" max="3073" width="38.58203125" style="47" customWidth="1"/>
    <col min="3074" max="3077" width="12.4140625" style="47" customWidth="1"/>
    <col min="3078" max="3078" width="38.58203125" style="47" customWidth="1"/>
    <col min="3079" max="3328" width="12.4140625" style="47" customWidth="1"/>
    <col min="3329" max="3329" width="38.58203125" style="47" customWidth="1"/>
    <col min="3330" max="3333" width="12.4140625" style="47" customWidth="1"/>
    <col min="3334" max="3334" width="38.58203125" style="47" customWidth="1"/>
    <col min="3335" max="3584" width="12.4140625" style="47" customWidth="1"/>
    <col min="3585" max="3585" width="38.58203125" style="47" customWidth="1"/>
    <col min="3586" max="3589" width="12.4140625" style="47" customWidth="1"/>
    <col min="3590" max="3590" width="38.58203125" style="47" customWidth="1"/>
    <col min="3591" max="3840" width="12.4140625" style="47" customWidth="1"/>
    <col min="3841" max="3841" width="38.58203125" style="47" customWidth="1"/>
    <col min="3842" max="3845" width="12.4140625" style="47" customWidth="1"/>
    <col min="3846" max="3846" width="38.58203125" style="47" customWidth="1"/>
    <col min="3847" max="4096" width="12.4140625" style="47" customWidth="1"/>
    <col min="4097" max="4097" width="38.58203125" style="47" customWidth="1"/>
    <col min="4098" max="4101" width="12.4140625" style="47" customWidth="1"/>
    <col min="4102" max="4102" width="38.58203125" style="47" customWidth="1"/>
    <col min="4103" max="4352" width="12.4140625" style="47" customWidth="1"/>
    <col min="4353" max="4353" width="38.58203125" style="47" customWidth="1"/>
    <col min="4354" max="4357" width="12.4140625" style="47" customWidth="1"/>
    <col min="4358" max="4358" width="38.58203125" style="47" customWidth="1"/>
    <col min="4359" max="4608" width="12.4140625" style="47" customWidth="1"/>
    <col min="4609" max="4609" width="38.58203125" style="47" customWidth="1"/>
    <col min="4610" max="4613" width="12.4140625" style="47" customWidth="1"/>
    <col min="4614" max="4614" width="38.58203125" style="47" customWidth="1"/>
    <col min="4615" max="4864" width="12.4140625" style="47" customWidth="1"/>
    <col min="4865" max="4865" width="38.58203125" style="47" customWidth="1"/>
    <col min="4866" max="4869" width="12.4140625" style="47" customWidth="1"/>
    <col min="4870" max="4870" width="38.58203125" style="47" customWidth="1"/>
    <col min="4871" max="5120" width="12.4140625" style="47" customWidth="1"/>
    <col min="5121" max="5121" width="38.58203125" style="47" customWidth="1"/>
    <col min="5122" max="5125" width="12.4140625" style="47" customWidth="1"/>
    <col min="5126" max="5126" width="38.58203125" style="47" customWidth="1"/>
    <col min="5127" max="5376" width="12.4140625" style="47" customWidth="1"/>
    <col min="5377" max="5377" width="38.58203125" style="47" customWidth="1"/>
    <col min="5378" max="5381" width="12.4140625" style="47" customWidth="1"/>
    <col min="5382" max="5382" width="38.58203125" style="47" customWidth="1"/>
    <col min="5383" max="5632" width="12.4140625" style="47" customWidth="1"/>
    <col min="5633" max="5633" width="38.58203125" style="47" customWidth="1"/>
    <col min="5634" max="5637" width="12.4140625" style="47" customWidth="1"/>
    <col min="5638" max="5638" width="38.58203125" style="47" customWidth="1"/>
    <col min="5639" max="5888" width="12.4140625" style="47" customWidth="1"/>
    <col min="5889" max="5889" width="38.58203125" style="47" customWidth="1"/>
    <col min="5890" max="5893" width="12.4140625" style="47" customWidth="1"/>
    <col min="5894" max="5894" width="38.58203125" style="47" customWidth="1"/>
    <col min="5895" max="6144" width="12.4140625" style="47" customWidth="1"/>
    <col min="6145" max="6145" width="38.58203125" style="47" customWidth="1"/>
    <col min="6146" max="6149" width="12.4140625" style="47" customWidth="1"/>
    <col min="6150" max="6150" width="38.58203125" style="47" customWidth="1"/>
    <col min="6151" max="6400" width="12.4140625" style="47" customWidth="1"/>
    <col min="6401" max="6401" width="38.58203125" style="47" customWidth="1"/>
    <col min="6402" max="6405" width="12.4140625" style="47" customWidth="1"/>
    <col min="6406" max="6406" width="38.58203125" style="47" customWidth="1"/>
    <col min="6407" max="6656" width="12.4140625" style="47" customWidth="1"/>
    <col min="6657" max="6657" width="38.58203125" style="47" customWidth="1"/>
    <col min="6658" max="6661" width="12.4140625" style="47" customWidth="1"/>
    <col min="6662" max="6662" width="38.58203125" style="47" customWidth="1"/>
    <col min="6663" max="6912" width="12.4140625" style="47" customWidth="1"/>
    <col min="6913" max="6913" width="38.58203125" style="47" customWidth="1"/>
    <col min="6914" max="6917" width="12.4140625" style="47" customWidth="1"/>
    <col min="6918" max="6918" width="38.58203125" style="47" customWidth="1"/>
    <col min="6919" max="7168" width="12.4140625" style="47" customWidth="1"/>
    <col min="7169" max="7169" width="38.58203125" style="47" customWidth="1"/>
    <col min="7170" max="7173" width="12.4140625" style="47" customWidth="1"/>
    <col min="7174" max="7174" width="38.58203125" style="47" customWidth="1"/>
    <col min="7175" max="7424" width="12.4140625" style="47" customWidth="1"/>
    <col min="7425" max="7425" width="38.58203125" style="47" customWidth="1"/>
    <col min="7426" max="7429" width="12.4140625" style="47" customWidth="1"/>
    <col min="7430" max="7430" width="38.58203125" style="47" customWidth="1"/>
    <col min="7431" max="7680" width="12.4140625" style="47" customWidth="1"/>
    <col min="7681" max="7681" width="38.58203125" style="47" customWidth="1"/>
    <col min="7682" max="7685" width="12.4140625" style="47" customWidth="1"/>
    <col min="7686" max="7686" width="38.58203125" style="47" customWidth="1"/>
    <col min="7687" max="7936" width="12.4140625" style="47" customWidth="1"/>
    <col min="7937" max="7937" width="38.58203125" style="47" customWidth="1"/>
    <col min="7938" max="7941" width="12.4140625" style="47" customWidth="1"/>
    <col min="7942" max="7942" width="38.58203125" style="47" customWidth="1"/>
    <col min="7943" max="8192" width="12.4140625" style="47" customWidth="1"/>
    <col min="8193" max="8193" width="38.58203125" style="47" customWidth="1"/>
    <col min="8194" max="8197" width="12.4140625" style="47" customWidth="1"/>
    <col min="8198" max="8198" width="38.58203125" style="47" customWidth="1"/>
    <col min="8199" max="8448" width="12.4140625" style="47" customWidth="1"/>
    <col min="8449" max="8449" width="38.58203125" style="47" customWidth="1"/>
    <col min="8450" max="8453" width="12.4140625" style="47" customWidth="1"/>
    <col min="8454" max="8454" width="38.58203125" style="47" customWidth="1"/>
    <col min="8455" max="8704" width="12.4140625" style="47" customWidth="1"/>
    <col min="8705" max="8705" width="38.58203125" style="47" customWidth="1"/>
    <col min="8706" max="8709" width="12.4140625" style="47" customWidth="1"/>
    <col min="8710" max="8710" width="38.58203125" style="47" customWidth="1"/>
    <col min="8711" max="8960" width="12.4140625" style="47" customWidth="1"/>
    <col min="8961" max="8961" width="38.58203125" style="47" customWidth="1"/>
    <col min="8962" max="8965" width="12.4140625" style="47" customWidth="1"/>
    <col min="8966" max="8966" width="38.58203125" style="47" customWidth="1"/>
    <col min="8967" max="9216" width="12.4140625" style="47" customWidth="1"/>
    <col min="9217" max="9217" width="38.58203125" style="47" customWidth="1"/>
    <col min="9218" max="9221" width="12.4140625" style="47" customWidth="1"/>
    <col min="9222" max="9222" width="38.58203125" style="47" customWidth="1"/>
    <col min="9223" max="9472" width="12.4140625" style="47" customWidth="1"/>
    <col min="9473" max="9473" width="38.58203125" style="47" customWidth="1"/>
    <col min="9474" max="9477" width="12.4140625" style="47" customWidth="1"/>
    <col min="9478" max="9478" width="38.58203125" style="47" customWidth="1"/>
    <col min="9479" max="9728" width="12.4140625" style="47" customWidth="1"/>
    <col min="9729" max="9729" width="38.58203125" style="47" customWidth="1"/>
    <col min="9730" max="9733" width="12.4140625" style="47" customWidth="1"/>
    <col min="9734" max="9734" width="38.58203125" style="47" customWidth="1"/>
    <col min="9735" max="9984" width="12.4140625" style="47" customWidth="1"/>
    <col min="9985" max="9985" width="38.58203125" style="47" customWidth="1"/>
    <col min="9986" max="9989" width="12.4140625" style="47" customWidth="1"/>
    <col min="9990" max="9990" width="38.58203125" style="47" customWidth="1"/>
    <col min="9991" max="10240" width="12.4140625" style="47" customWidth="1"/>
    <col min="10241" max="10241" width="38.58203125" style="47" customWidth="1"/>
    <col min="10242" max="10245" width="12.4140625" style="47" customWidth="1"/>
    <col min="10246" max="10246" width="38.58203125" style="47" customWidth="1"/>
    <col min="10247" max="10496" width="12.4140625" style="47" customWidth="1"/>
    <col min="10497" max="10497" width="38.58203125" style="47" customWidth="1"/>
    <col min="10498" max="10501" width="12.4140625" style="47" customWidth="1"/>
    <col min="10502" max="10502" width="38.58203125" style="47" customWidth="1"/>
    <col min="10503" max="10752" width="12.4140625" style="47" customWidth="1"/>
    <col min="10753" max="10753" width="38.58203125" style="47" customWidth="1"/>
    <col min="10754" max="10757" width="12.4140625" style="47" customWidth="1"/>
    <col min="10758" max="10758" width="38.58203125" style="47" customWidth="1"/>
    <col min="10759" max="11008" width="12.4140625" style="47" customWidth="1"/>
    <col min="11009" max="11009" width="38.58203125" style="47" customWidth="1"/>
    <col min="11010" max="11013" width="12.4140625" style="47" customWidth="1"/>
    <col min="11014" max="11014" width="38.58203125" style="47" customWidth="1"/>
    <col min="11015" max="11264" width="12.4140625" style="47" customWidth="1"/>
    <col min="11265" max="11265" width="38.58203125" style="47" customWidth="1"/>
    <col min="11266" max="11269" width="12.4140625" style="47" customWidth="1"/>
    <col min="11270" max="11270" width="38.58203125" style="47" customWidth="1"/>
    <col min="11271" max="11520" width="12.4140625" style="47" customWidth="1"/>
    <col min="11521" max="11521" width="38.58203125" style="47" customWidth="1"/>
    <col min="11522" max="11525" width="12.4140625" style="47" customWidth="1"/>
    <col min="11526" max="11526" width="38.58203125" style="47" customWidth="1"/>
    <col min="11527" max="11776" width="12.4140625" style="47" customWidth="1"/>
    <col min="11777" max="11777" width="38.58203125" style="47" customWidth="1"/>
    <col min="11778" max="11781" width="12.4140625" style="47" customWidth="1"/>
    <col min="11782" max="11782" width="38.58203125" style="47" customWidth="1"/>
    <col min="11783" max="12032" width="12.4140625" style="47" customWidth="1"/>
    <col min="12033" max="12033" width="38.58203125" style="47" customWidth="1"/>
    <col min="12034" max="12037" width="12.4140625" style="47" customWidth="1"/>
    <col min="12038" max="12038" width="38.58203125" style="47" customWidth="1"/>
    <col min="12039" max="12288" width="12.4140625" style="47" customWidth="1"/>
    <col min="12289" max="12289" width="38.58203125" style="47" customWidth="1"/>
    <col min="12290" max="12293" width="12.4140625" style="47" customWidth="1"/>
    <col min="12294" max="12294" width="38.58203125" style="47" customWidth="1"/>
    <col min="12295" max="12544" width="12.4140625" style="47" customWidth="1"/>
    <col min="12545" max="12545" width="38.58203125" style="47" customWidth="1"/>
    <col min="12546" max="12549" width="12.4140625" style="47" customWidth="1"/>
    <col min="12550" max="12550" width="38.58203125" style="47" customWidth="1"/>
    <col min="12551" max="12800" width="12.4140625" style="47" customWidth="1"/>
    <col min="12801" max="12801" width="38.58203125" style="47" customWidth="1"/>
    <col min="12802" max="12805" width="12.4140625" style="47" customWidth="1"/>
    <col min="12806" max="12806" width="38.58203125" style="47" customWidth="1"/>
    <col min="12807" max="13056" width="12.4140625" style="47" customWidth="1"/>
    <col min="13057" max="13057" width="38.58203125" style="47" customWidth="1"/>
    <col min="13058" max="13061" width="12.4140625" style="47" customWidth="1"/>
    <col min="13062" max="13062" width="38.58203125" style="47" customWidth="1"/>
    <col min="13063" max="13312" width="12.4140625" style="47" customWidth="1"/>
    <col min="13313" max="13313" width="38.58203125" style="47" customWidth="1"/>
    <col min="13314" max="13317" width="12.4140625" style="47" customWidth="1"/>
    <col min="13318" max="13318" width="38.58203125" style="47" customWidth="1"/>
    <col min="13319" max="13568" width="12.4140625" style="47" customWidth="1"/>
    <col min="13569" max="13569" width="38.58203125" style="47" customWidth="1"/>
    <col min="13570" max="13573" width="12.4140625" style="47" customWidth="1"/>
    <col min="13574" max="13574" width="38.58203125" style="47" customWidth="1"/>
    <col min="13575" max="13824" width="12.4140625" style="47" customWidth="1"/>
    <col min="13825" max="13825" width="38.58203125" style="47" customWidth="1"/>
    <col min="13826" max="13829" width="12.4140625" style="47" customWidth="1"/>
    <col min="13830" max="13830" width="38.58203125" style="47" customWidth="1"/>
    <col min="13831" max="14080" width="12.4140625" style="47" customWidth="1"/>
    <col min="14081" max="14081" width="38.58203125" style="47" customWidth="1"/>
    <col min="14082" max="14085" width="12.4140625" style="47" customWidth="1"/>
    <col min="14086" max="14086" width="38.58203125" style="47" customWidth="1"/>
    <col min="14087" max="14336" width="12.4140625" style="47" customWidth="1"/>
    <col min="14337" max="14337" width="38.58203125" style="47" customWidth="1"/>
    <col min="14338" max="14341" width="12.4140625" style="47" customWidth="1"/>
    <col min="14342" max="14342" width="38.58203125" style="47" customWidth="1"/>
    <col min="14343" max="14592" width="12.4140625" style="47" customWidth="1"/>
    <col min="14593" max="14593" width="38.58203125" style="47" customWidth="1"/>
    <col min="14594" max="14597" width="12.4140625" style="47" customWidth="1"/>
    <col min="14598" max="14598" width="38.58203125" style="47" customWidth="1"/>
    <col min="14599" max="14848" width="12.4140625" style="47" customWidth="1"/>
    <col min="14849" max="14849" width="38.58203125" style="47" customWidth="1"/>
    <col min="14850" max="14853" width="12.4140625" style="47" customWidth="1"/>
    <col min="14854" max="14854" width="38.58203125" style="47" customWidth="1"/>
    <col min="14855" max="15104" width="12.4140625" style="47" customWidth="1"/>
    <col min="15105" max="15105" width="38.58203125" style="47" customWidth="1"/>
    <col min="15106" max="15109" width="12.4140625" style="47" customWidth="1"/>
    <col min="15110" max="15110" width="38.58203125" style="47" customWidth="1"/>
    <col min="15111" max="15360" width="12.4140625" style="47" customWidth="1"/>
    <col min="15361" max="15361" width="38.58203125" style="47" customWidth="1"/>
    <col min="15362" max="15365" width="12.4140625" style="47" customWidth="1"/>
    <col min="15366" max="15366" width="38.58203125" style="47" customWidth="1"/>
    <col min="15367" max="15616" width="12.4140625" style="47" customWidth="1"/>
    <col min="15617" max="15617" width="38.58203125" style="47" customWidth="1"/>
    <col min="15618" max="15621" width="12.4140625" style="47" customWidth="1"/>
    <col min="15622" max="15622" width="38.58203125" style="47" customWidth="1"/>
    <col min="15623" max="15872" width="12.4140625" style="47" customWidth="1"/>
    <col min="15873" max="15873" width="38.58203125" style="47" customWidth="1"/>
    <col min="15874" max="15877" width="12.4140625" style="47" customWidth="1"/>
    <col min="15878" max="15878" width="38.58203125" style="47" customWidth="1"/>
    <col min="15879" max="16128" width="12.4140625" style="47" customWidth="1"/>
    <col min="16129" max="16129" width="38.58203125" style="47" customWidth="1"/>
    <col min="16130" max="16133" width="12.4140625" style="47" customWidth="1"/>
    <col min="16134" max="16134" width="38.58203125" style="47" customWidth="1"/>
    <col min="16135" max="16135" width="12.4140625" style="47" customWidth="1"/>
    <col min="16136" max="16384" width="9.75" style="47" customWidth="1"/>
  </cols>
  <sheetData>
    <row r="1" spans="1:9">
      <c r="A1" s="46" t="s">
        <v>95</v>
      </c>
      <c r="B1" s="46" t="s">
        <v>96</v>
      </c>
      <c r="C1" s="46" t="s">
        <v>97</v>
      </c>
      <c r="F1" s="46" t="s">
        <v>95</v>
      </c>
      <c r="G1" s="46" t="s">
        <v>97</v>
      </c>
      <c r="H1" s="46" t="s">
        <v>109</v>
      </c>
      <c r="I1" s="46" t="s">
        <v>110</v>
      </c>
    </row>
    <row r="2" spans="1:9">
      <c r="A2" s="48" t="s">
        <v>98</v>
      </c>
      <c r="B2" s="49" t="s">
        <v>99</v>
      </c>
      <c r="F2" s="48" t="s">
        <v>98</v>
      </c>
      <c r="G2" s="49" t="s">
        <v>99</v>
      </c>
    </row>
    <row r="3" spans="1:9">
      <c r="A3" s="50" t="s">
        <v>100</v>
      </c>
      <c r="B3" s="51">
        <v>-1772066168.28</v>
      </c>
      <c r="F3" s="50" t="s">
        <v>111</v>
      </c>
      <c r="G3" s="51">
        <v>108600000</v>
      </c>
    </row>
    <row r="4" spans="1:9">
      <c r="A4" s="50" t="s">
        <v>101</v>
      </c>
      <c r="B4" s="51">
        <v>-705433151.07000005</v>
      </c>
      <c r="F4" s="50" t="s">
        <v>112</v>
      </c>
      <c r="G4" s="51">
        <v>520000000</v>
      </c>
    </row>
    <row r="5" spans="1:9">
      <c r="A5" s="52" t="s">
        <v>102</v>
      </c>
      <c r="B5" s="53">
        <v>-2477499319.3499994</v>
      </c>
      <c r="F5" s="50" t="s">
        <v>113</v>
      </c>
      <c r="G5" s="51">
        <v>780725027.98000002</v>
      </c>
    </row>
    <row r="6" spans="1:9">
      <c r="A6" s="50" t="s">
        <v>103</v>
      </c>
      <c r="B6" s="51">
        <v>-465000000.00999999</v>
      </c>
      <c r="F6" s="50" t="s">
        <v>114</v>
      </c>
      <c r="G6" s="51">
        <v>2653796029.6300001</v>
      </c>
    </row>
    <row r="7" spans="1:9">
      <c r="A7" s="52" t="s">
        <v>104</v>
      </c>
      <c r="B7" s="53">
        <v>-465000000.00999999</v>
      </c>
      <c r="F7" s="50" t="s">
        <v>115</v>
      </c>
      <c r="G7" s="51">
        <v>539444426</v>
      </c>
    </row>
    <row r="8" spans="1:9">
      <c r="A8" s="54" t="s">
        <v>105</v>
      </c>
      <c r="B8" s="53">
        <v>-2942499319.3599997</v>
      </c>
      <c r="F8" s="52" t="s">
        <v>116</v>
      </c>
      <c r="G8" s="53">
        <v>4602565483.6100006</v>
      </c>
    </row>
    <row r="9" spans="1:9">
      <c r="A9" s="50" t="s">
        <v>106</v>
      </c>
      <c r="B9" s="51">
        <v>463.83333333333331</v>
      </c>
      <c r="F9" s="52" t="s">
        <v>117</v>
      </c>
      <c r="G9" s="53">
        <v>4602565483.6100006</v>
      </c>
    </row>
    <row r="10" spans="1:9">
      <c r="A10" s="50" t="s">
        <v>107</v>
      </c>
      <c r="B10" s="51">
        <v>463.83333333333331</v>
      </c>
      <c r="F10" s="50" t="s">
        <v>118</v>
      </c>
      <c r="G10" s="51">
        <v>-1374881783.71</v>
      </c>
    </row>
    <row r="11" spans="1:9">
      <c r="A11" s="50" t="s">
        <v>108</v>
      </c>
      <c r="B11" s="51">
        <v>445113.06492094853</v>
      </c>
      <c r="F11" s="50" t="s">
        <v>119</v>
      </c>
      <c r="G11" s="51">
        <v>-54635171.76000002</v>
      </c>
    </row>
    <row r="12" spans="1:9">
      <c r="B12" s="55">
        <f>B5/B9/12</f>
        <v>-445113.06492094853</v>
      </c>
      <c r="F12" s="50" t="s">
        <v>120</v>
      </c>
      <c r="G12" s="51">
        <v>-126602058.93000002</v>
      </c>
    </row>
    <row r="13" spans="1:9">
      <c r="F13" s="50" t="s">
        <v>121</v>
      </c>
      <c r="G13" s="51">
        <v>-215947153.88</v>
      </c>
    </row>
    <row r="14" spans="1:9">
      <c r="F14" s="50" t="s">
        <v>122</v>
      </c>
      <c r="G14" s="51">
        <v>-999999.96</v>
      </c>
      <c r="H14" s="68"/>
    </row>
    <row r="15" spans="1:9">
      <c r="F15" s="50" t="s">
        <v>123</v>
      </c>
      <c r="G15" s="51">
        <v>-38642840.858333334</v>
      </c>
      <c r="H15" s="68"/>
    </row>
    <row r="16" spans="1:9">
      <c r="F16" s="50" t="s">
        <v>124</v>
      </c>
      <c r="G16" s="51">
        <v>-37106666.666666672</v>
      </c>
      <c r="H16" s="68"/>
    </row>
    <row r="17" spans="6:8">
      <c r="F17" s="50" t="s">
        <v>125</v>
      </c>
      <c r="G17" s="51">
        <v>-5537659.5</v>
      </c>
      <c r="H17" s="68"/>
    </row>
    <row r="18" spans="6:8">
      <c r="F18" s="52" t="s">
        <v>126</v>
      </c>
      <c r="G18" s="53">
        <v>-1854353335.2649999</v>
      </c>
    </row>
    <row r="19" spans="6:8">
      <c r="F19" s="50" t="s">
        <v>127</v>
      </c>
      <c r="G19" s="51">
        <v>-465000000.00999999</v>
      </c>
    </row>
    <row r="20" spans="6:8">
      <c r="F20" s="50" t="s">
        <v>128</v>
      </c>
      <c r="G20" s="51">
        <v>-89999999.99000001</v>
      </c>
    </row>
    <row r="21" spans="6:8">
      <c r="F21" s="52" t="s">
        <v>129</v>
      </c>
      <c r="G21" s="53">
        <v>-89999999.99000001</v>
      </c>
    </row>
    <row r="22" spans="6:8">
      <c r="F22" s="50" t="s">
        <v>130</v>
      </c>
      <c r="G22" s="51">
        <v>-327600</v>
      </c>
    </row>
    <row r="23" spans="6:8">
      <c r="F23" s="50" t="s">
        <v>131</v>
      </c>
      <c r="G23" s="51">
        <v>-94174400</v>
      </c>
    </row>
    <row r="24" spans="6:8">
      <c r="F24" s="50" t="s">
        <v>132</v>
      </c>
      <c r="G24" s="51">
        <v>-5500000</v>
      </c>
    </row>
    <row r="25" spans="6:8">
      <c r="F25" s="50" t="s">
        <v>133</v>
      </c>
      <c r="G25" s="51">
        <v>-57550600</v>
      </c>
    </row>
    <row r="26" spans="6:8">
      <c r="F26" s="50" t="s">
        <v>134</v>
      </c>
      <c r="G26" s="51">
        <v>-4000000</v>
      </c>
    </row>
    <row r="27" spans="6:8">
      <c r="F27" s="50" t="s">
        <v>135</v>
      </c>
      <c r="G27" s="51">
        <v>-3000000</v>
      </c>
    </row>
    <row r="28" spans="6:8">
      <c r="F28" s="50" t="s">
        <v>136</v>
      </c>
      <c r="G28" s="51">
        <v>-360000</v>
      </c>
    </row>
    <row r="29" spans="6:8">
      <c r="F29" s="50" t="s">
        <v>137</v>
      </c>
      <c r="G29" s="51">
        <v>-16225000</v>
      </c>
    </row>
    <row r="30" spans="6:8">
      <c r="F30" s="50" t="s">
        <v>138</v>
      </c>
      <c r="G30" s="51">
        <v>-7000000</v>
      </c>
    </row>
    <row r="31" spans="6:8">
      <c r="F31" s="50" t="s">
        <v>139</v>
      </c>
      <c r="G31" s="51">
        <v>-20490000</v>
      </c>
    </row>
    <row r="32" spans="6:8">
      <c r="F32" s="50" t="s">
        <v>140</v>
      </c>
      <c r="G32" s="51">
        <v>-6700000</v>
      </c>
    </row>
    <row r="33" spans="6:8">
      <c r="F33" s="52" t="s">
        <v>141</v>
      </c>
      <c r="G33" s="53">
        <v>-215000000</v>
      </c>
    </row>
    <row r="34" spans="6:8">
      <c r="F34" s="50" t="s">
        <v>142</v>
      </c>
      <c r="G34" s="51">
        <v>-21999999.960000001</v>
      </c>
      <c r="H34" s="72"/>
    </row>
    <row r="35" spans="6:8">
      <c r="F35" s="50" t="s">
        <v>143</v>
      </c>
      <c r="G35" s="51">
        <v>-61848652</v>
      </c>
      <c r="H35" s="72"/>
    </row>
    <row r="36" spans="6:8">
      <c r="F36" s="52" t="s">
        <v>144</v>
      </c>
      <c r="G36" s="53">
        <v>-83848651.960000008</v>
      </c>
    </row>
    <row r="37" spans="6:8">
      <c r="F37" s="50" t="s">
        <v>145</v>
      </c>
      <c r="G37" s="51">
        <v>-1188000</v>
      </c>
    </row>
    <row r="38" spans="6:8">
      <c r="F38" s="50" t="s">
        <v>146</v>
      </c>
      <c r="G38" s="51">
        <v>-4056739.4533333327</v>
      </c>
      <c r="H38" s="68"/>
    </row>
    <row r="39" spans="6:8">
      <c r="F39" s="50" t="s">
        <v>147</v>
      </c>
      <c r="G39" s="51">
        <v>-41365629.509999998</v>
      </c>
    </row>
    <row r="40" spans="6:8">
      <c r="F40" s="52" t="s">
        <v>148</v>
      </c>
      <c r="G40" s="53">
        <v>-46610368.963333324</v>
      </c>
    </row>
    <row r="41" spans="6:8">
      <c r="F41" s="50" t="s">
        <v>149</v>
      </c>
      <c r="G41" s="51">
        <v>-18400000</v>
      </c>
    </row>
    <row r="42" spans="6:8">
      <c r="F42" s="52" t="s">
        <v>150</v>
      </c>
      <c r="G42" s="53">
        <v>-18400000</v>
      </c>
    </row>
    <row r="43" spans="6:8">
      <c r="F43" s="50" t="s">
        <v>151</v>
      </c>
      <c r="G43" s="51">
        <v>-9276666.6666666679</v>
      </c>
      <c r="H43" s="72"/>
    </row>
    <row r="44" spans="6:8">
      <c r="F44" s="50" t="s">
        <v>152</v>
      </c>
      <c r="G44" s="51">
        <v>-19069802.549999997</v>
      </c>
    </row>
    <row r="45" spans="6:8">
      <c r="F45" s="50" t="s">
        <v>153</v>
      </c>
      <c r="G45" s="51">
        <v>-140600000.04000002</v>
      </c>
      <c r="H45" s="72"/>
    </row>
    <row r="46" spans="6:8">
      <c r="F46" s="50" t="s">
        <v>154</v>
      </c>
      <c r="G46" s="51">
        <v>-9333333.3399999999</v>
      </c>
    </row>
    <row r="47" spans="6:8">
      <c r="F47" s="52" t="s">
        <v>155</v>
      </c>
      <c r="G47" s="53">
        <v>-178279802.59666666</v>
      </c>
    </row>
    <row r="48" spans="6:8">
      <c r="F48" s="52" t="s">
        <v>156</v>
      </c>
      <c r="G48" s="53">
        <v>-2951819758.7849998</v>
      </c>
    </row>
    <row r="49" spans="6:7">
      <c r="F49" s="52" t="s">
        <v>157</v>
      </c>
      <c r="G49" s="53">
        <v>1650745724.8249998</v>
      </c>
    </row>
    <row r="50" spans="6:7">
      <c r="F50" s="50" t="s">
        <v>158</v>
      </c>
      <c r="G50" s="51">
        <v>-553255385.84625173</v>
      </c>
    </row>
    <row r="51" spans="6:7">
      <c r="F51" s="50" t="s">
        <v>159</v>
      </c>
      <c r="G51" s="51">
        <v>-129218131.88</v>
      </c>
    </row>
    <row r="52" spans="6:7">
      <c r="F52" s="52" t="s">
        <v>160</v>
      </c>
      <c r="G52" s="53">
        <v>-129218131.88</v>
      </c>
    </row>
    <row r="53" spans="6:7">
      <c r="F53" s="52" t="s">
        <v>161</v>
      </c>
      <c r="G53" s="53">
        <v>968272207.09874821</v>
      </c>
    </row>
    <row r="54" spans="6:7">
      <c r="F54" s="50" t="s">
        <v>162</v>
      </c>
      <c r="G54" s="51">
        <v>13123927.204000002</v>
      </c>
    </row>
    <row r="55" spans="6:7" ht="13.8" thickBot="1">
      <c r="F55" s="54" t="s">
        <v>163</v>
      </c>
      <c r="G55" s="53">
        <v>981396134.3027482</v>
      </c>
    </row>
    <row r="56" spans="6:7" ht="14.4" thickTop="1" thickBot="1">
      <c r="F56" s="56" t="s">
        <v>164</v>
      </c>
      <c r="G56" s="57">
        <v>981396134.3027482</v>
      </c>
    </row>
    <row r="58" spans="6:7">
      <c r="F58" s="47" t="s">
        <v>165</v>
      </c>
      <c r="G58" s="55">
        <f>SUM(G14:G17,G38,G43)</f>
        <v>-95620573.105000019</v>
      </c>
    </row>
    <row r="59" spans="6:7">
      <c r="F59" s="47" t="s">
        <v>166</v>
      </c>
      <c r="G59" s="66">
        <f>G58/B9</f>
        <v>-206152.87051024078</v>
      </c>
    </row>
  </sheetData>
  <pageMargins left="0.75" right="0.75" top="1" bottom="1" header="0.5" footer="0.5"/>
  <pageSetup orientation="portrait" horizontalDpi="300" verticalDpi="300"/>
  <headerFooter alignWithMargins="0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Dashboard</vt:lpstr>
      <vt:lpstr>Calc</vt:lpstr>
      <vt:lpstr>Inputs</vt:lpstr>
      <vt:lpstr>Dev_Platform_Hosted_Git</vt:lpstr>
      <vt:lpstr>Лицензии GitFlic</vt:lpstr>
      <vt:lpstr>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Samoylova Irina</dc:creator>
  <cp:lastModifiedBy>Samoylova Irina</cp:lastModifiedBy>
  <dcterms:created xsi:type="dcterms:W3CDTF">2023-10-31T09:35:10Z</dcterms:created>
  <dcterms:modified xsi:type="dcterms:W3CDTF">2023-11-28T10:02:17Z</dcterms:modified>
</cp:coreProperties>
</file>