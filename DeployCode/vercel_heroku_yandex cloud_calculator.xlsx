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rgeysklabovskiy/Library/Mobile Documents/com~apple~CloudDocs/Work/DevCode/"/>
    </mc:Choice>
  </mc:AlternateContent>
  <xr:revisionPtr revIDLastSave="0" documentId="8_{93071794-A658-A64F-86B2-4543BDF34BCA}" xr6:coauthVersionLast="47" xr6:coauthVersionMax="47" xr10:uidLastSave="{00000000-0000-0000-0000-000000000000}"/>
  <bookViews>
    <workbookView xWindow="2700" yWindow="920" windowWidth="24460" windowHeight="16360" xr2:uid="{00000000-000D-0000-FFFF-FFFF00000000}"/>
  </bookViews>
  <sheets>
    <sheet name="Calculator" sheetId="1" r:id="rId1"/>
    <sheet name="YC_Rates" sheetId="2" r:id="rId2"/>
    <sheet name="YC_Compute_Grid" sheetId="3" r:id="rId3"/>
    <sheet name="Vercel_Rates" sheetId="4" r:id="rId4"/>
    <sheet name="Heroku_Rates" sheetId="5" r:id="rId5"/>
    <sheet name="Project_Templates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1" l="1"/>
  <c r="B18" i="1" s="1"/>
  <c r="H14" i="1" s="1"/>
  <c r="C22" i="1"/>
  <c r="E65" i="3"/>
  <c r="F65" i="3" s="1"/>
  <c r="E64" i="3"/>
  <c r="F64" i="3" s="1"/>
  <c r="E63" i="3"/>
  <c r="F63" i="3" s="1"/>
  <c r="F62" i="3"/>
  <c r="E62" i="3"/>
  <c r="E61" i="3"/>
  <c r="F61" i="3" s="1"/>
  <c r="E60" i="3"/>
  <c r="F60" i="3" s="1"/>
  <c r="E59" i="3"/>
  <c r="F59" i="3" s="1"/>
  <c r="F58" i="3"/>
  <c r="E58" i="3"/>
  <c r="E57" i="3"/>
  <c r="F57" i="3" s="1"/>
  <c r="E56" i="3"/>
  <c r="F56" i="3" s="1"/>
  <c r="E55" i="3"/>
  <c r="F55" i="3" s="1"/>
  <c r="F54" i="3"/>
  <c r="E54" i="3"/>
  <c r="E53" i="3"/>
  <c r="F53" i="3" s="1"/>
  <c r="E52" i="3"/>
  <c r="F52" i="3" s="1"/>
  <c r="E51" i="3"/>
  <c r="F51" i="3" s="1"/>
  <c r="F50" i="3"/>
  <c r="E50" i="3"/>
  <c r="E49" i="3"/>
  <c r="F49" i="3" s="1"/>
  <c r="E48" i="3"/>
  <c r="F48" i="3" s="1"/>
  <c r="E47" i="3"/>
  <c r="F47" i="3" s="1"/>
  <c r="F46" i="3"/>
  <c r="E46" i="3"/>
  <c r="E45" i="3"/>
  <c r="F45" i="3" s="1"/>
  <c r="E44" i="3"/>
  <c r="F44" i="3" s="1"/>
  <c r="E43" i="3"/>
  <c r="F43" i="3" s="1"/>
  <c r="F42" i="3"/>
  <c r="E42" i="3"/>
  <c r="E41" i="3"/>
  <c r="F41" i="3" s="1"/>
  <c r="E40" i="3"/>
  <c r="F40" i="3" s="1"/>
  <c r="E39" i="3"/>
  <c r="F39" i="3" s="1"/>
  <c r="F38" i="3"/>
  <c r="E38" i="3"/>
  <c r="E37" i="3"/>
  <c r="F37" i="3" s="1"/>
  <c r="E36" i="3"/>
  <c r="F36" i="3" s="1"/>
  <c r="E35" i="3"/>
  <c r="F35" i="3" s="1"/>
  <c r="F34" i="3"/>
  <c r="E34" i="3"/>
  <c r="E33" i="3"/>
  <c r="F33" i="3" s="1"/>
  <c r="B33" i="3"/>
  <c r="C33" i="3" s="1"/>
  <c r="E32" i="3"/>
  <c r="F32" i="3" s="1"/>
  <c r="C32" i="3"/>
  <c r="B32" i="3"/>
  <c r="E31" i="3"/>
  <c r="F31" i="3" s="1"/>
  <c r="B31" i="3"/>
  <c r="C31" i="3" s="1"/>
  <c r="E30" i="3"/>
  <c r="F30" i="3" s="1"/>
  <c r="C30" i="3"/>
  <c r="B30" i="3"/>
  <c r="E29" i="3"/>
  <c r="F29" i="3" s="1"/>
  <c r="B29" i="3"/>
  <c r="C29" i="3" s="1"/>
  <c r="E28" i="3"/>
  <c r="F28" i="3" s="1"/>
  <c r="C28" i="3"/>
  <c r="B28" i="3"/>
  <c r="E27" i="3"/>
  <c r="F27" i="3" s="1"/>
  <c r="B27" i="3"/>
  <c r="C27" i="3" s="1"/>
  <c r="E26" i="3"/>
  <c r="F26" i="3" s="1"/>
  <c r="C26" i="3"/>
  <c r="B26" i="3"/>
  <c r="E25" i="3"/>
  <c r="F25" i="3" s="1"/>
  <c r="B25" i="3"/>
  <c r="C25" i="3" s="1"/>
  <c r="E24" i="3"/>
  <c r="F24" i="3" s="1"/>
  <c r="C24" i="3"/>
  <c r="B24" i="3"/>
  <c r="E23" i="3"/>
  <c r="F23" i="3" s="1"/>
  <c r="B23" i="3"/>
  <c r="C23" i="3" s="1"/>
  <c r="E22" i="3"/>
  <c r="F22" i="3" s="1"/>
  <c r="C22" i="3"/>
  <c r="B22" i="3"/>
  <c r="E21" i="3"/>
  <c r="F21" i="3" s="1"/>
  <c r="B21" i="3"/>
  <c r="C21" i="3" s="1"/>
  <c r="E20" i="3"/>
  <c r="F20" i="3" s="1"/>
  <c r="C20" i="3"/>
  <c r="B20" i="3"/>
  <c r="E19" i="3"/>
  <c r="F19" i="3" s="1"/>
  <c r="B19" i="3"/>
  <c r="C19" i="3" s="1"/>
  <c r="E18" i="3"/>
  <c r="F18" i="3" s="1"/>
  <c r="C18" i="3"/>
  <c r="B18" i="3"/>
  <c r="E17" i="3"/>
  <c r="F17" i="3" s="1"/>
  <c r="B17" i="3"/>
  <c r="C17" i="3" s="1"/>
  <c r="E16" i="3"/>
  <c r="F16" i="3" s="1"/>
  <c r="B16" i="3"/>
  <c r="C16" i="3" s="1"/>
  <c r="E15" i="3"/>
  <c r="F15" i="3" s="1"/>
  <c r="B15" i="3"/>
  <c r="C15" i="3" s="1"/>
  <c r="E14" i="3"/>
  <c r="F14" i="3" s="1"/>
  <c r="B14" i="3"/>
  <c r="C14" i="3" s="1"/>
  <c r="E13" i="3"/>
  <c r="F13" i="3" s="1"/>
  <c r="B13" i="3"/>
  <c r="C13" i="3" s="1"/>
  <c r="E12" i="3"/>
  <c r="F12" i="3" s="1"/>
  <c r="B12" i="3"/>
  <c r="C12" i="3" s="1"/>
  <c r="E11" i="3"/>
  <c r="F11" i="3" s="1"/>
  <c r="B11" i="3"/>
  <c r="C11" i="3" s="1"/>
  <c r="E10" i="3"/>
  <c r="F10" i="3" s="1"/>
  <c r="B10" i="3"/>
  <c r="C10" i="3" s="1"/>
  <c r="E9" i="3"/>
  <c r="F9" i="3" s="1"/>
  <c r="B9" i="3"/>
  <c r="C9" i="3" s="1"/>
  <c r="E8" i="3"/>
  <c r="F8" i="3" s="1"/>
  <c r="B8" i="3"/>
  <c r="C8" i="3" s="1"/>
  <c r="E7" i="3"/>
  <c r="F7" i="3" s="1"/>
  <c r="B7" i="3"/>
  <c r="C7" i="3" s="1"/>
  <c r="E6" i="3"/>
  <c r="F6" i="3" s="1"/>
  <c r="B6" i="3"/>
  <c r="C6" i="3" s="1"/>
  <c r="E5" i="3"/>
  <c r="F5" i="3" s="1"/>
  <c r="B5" i="3"/>
  <c r="C5" i="3" s="1"/>
  <c r="E4" i="3"/>
  <c r="F4" i="3" s="1"/>
  <c r="B4" i="3"/>
  <c r="C4" i="3" s="1"/>
  <c r="E3" i="3"/>
  <c r="F3" i="3" s="1"/>
  <c r="B3" i="3"/>
  <c r="C3" i="3" s="1"/>
  <c r="F2" i="3"/>
  <c r="E2" i="3"/>
  <c r="B2" i="3"/>
  <c r="C2" i="3" s="1"/>
  <c r="D25" i="1"/>
  <c r="F25" i="1" s="1"/>
  <c r="B16" i="1"/>
  <c r="H11" i="1" s="1"/>
  <c r="E14" i="1"/>
  <c r="H8" i="1"/>
  <c r="H7" i="1"/>
  <c r="H6" i="1"/>
  <c r="H10" i="1"/>
  <c r="H5" i="1"/>
  <c r="H4" i="1"/>
  <c r="B22" i="1" s="1"/>
  <c r="H12" i="1" l="1"/>
  <c r="B23" i="1"/>
  <c r="F23" i="1" s="1"/>
  <c r="D24" i="1"/>
  <c r="E24" i="1"/>
  <c r="B17" i="1"/>
  <c r="H13" i="1" s="1"/>
  <c r="F24" i="1" l="1"/>
  <c r="F22" i="1" l="1"/>
  <c r="B27" i="1" l="1"/>
  <c r="B28" i="1" s="1"/>
  <c r="B29" i="1" l="1"/>
  <c r="B30" i="1" s="1"/>
</calcChain>
</file>

<file path=xl/sharedStrings.xml><?xml version="1.0" encoding="utf-8"?>
<sst xmlns="http://schemas.openxmlformats.org/spreadsheetml/2006/main" count="351" uniqueCount="251">
  <si>
    <t>Калькулятор стоимости: Vercel vs Heroku vs Yandex Cloud (и наш PaaS поверх YC)</t>
  </si>
  <si>
    <t>Легенда:</t>
  </si>
  <si>
    <t>Жёлтые ячейки = ввод пользователя</t>
  </si>
  <si>
    <t>Серые ячейки = рассчитывается автоматически</t>
  </si>
  <si>
    <t>Входные параметры проекта (минимум)</t>
  </si>
  <si>
    <t>Принятые допущения (для расчёта Vercel usage)</t>
  </si>
  <si>
    <t>CPU (vCPU)</t>
  </si>
  <si>
    <t>Часы в месяце</t>
  </si>
  <si>
    <t>Vercel plan (auto)</t>
  </si>
  <si>
    <t>RAM (GB)</t>
  </si>
  <si>
    <t>Доля динамики (SSR/API)</t>
  </si>
  <si>
    <t>SSD (GB)</t>
  </si>
  <si>
    <t>Доля edge-запросов</t>
  </si>
  <si>
    <t>Heroku dyno plan (auto)</t>
  </si>
  <si>
    <t>Vercel overage: bandwidth</t>
  </si>
  <si>
    <t>CPU ms на 1 динамич. запрос</t>
  </si>
  <si>
    <t>Heroku dyno count (auto)</t>
  </si>
  <si>
    <t>Vercel overage: edge req</t>
  </si>
  <si>
    <t>Длительность динамич. запроса (сек)</t>
  </si>
  <si>
    <t>Heroku Postgres plan (auto)</t>
  </si>
  <si>
    <t>Vercel overage: invocations</t>
  </si>
  <si>
    <t>Heroku WAF (мес)</t>
  </si>
  <si>
    <t>Vercel overage: cpu hours</t>
  </si>
  <si>
    <t>Безопасность (опции)</t>
  </si>
  <si>
    <t>Vercel overage: memory GB-hours</t>
  </si>
  <si>
    <t>N</t>
  </si>
  <si>
    <t>Примечание:</t>
  </si>
  <si>
    <t>Уровень защиты YC (пока Start)</t>
  </si>
  <si>
    <t>Start</t>
  </si>
  <si>
    <t>Производные метрики (расчёт)</t>
  </si>
  <si>
    <t>Результаты (USD / месяц)</t>
  </si>
  <si>
    <t>Сервис</t>
  </si>
  <si>
    <t>Base ($)</t>
  </si>
  <si>
    <t>Overage ($)</t>
  </si>
  <si>
    <t>Наша плата/наценка ($)</t>
  </si>
  <si>
    <t>Итого ($)</t>
  </si>
  <si>
    <t>Vercel</t>
  </si>
  <si>
    <t>Vercel: Active CPU hours</t>
  </si>
  <si>
    <t>Heroku</t>
  </si>
  <si>
    <t>Vercel: Memory GB-hours (≈ RAM × duration)</t>
  </si>
  <si>
    <t>Yandex Cloud</t>
  </si>
  <si>
    <t>Наш PaaS (YC + слой)</t>
  </si>
  <si>
    <t>Что выгоднее?</t>
  </si>
  <si>
    <t>Минимальная стоимость (Vercel/Heroku/YC)</t>
  </si>
  <si>
    <t>Победитель</t>
  </si>
  <si>
    <t>Экономия vs 2-е место ($/мес)</t>
  </si>
  <si>
    <t>Экономия vs 2-е место (%)</t>
  </si>
  <si>
    <t>Category</t>
  </si>
  <si>
    <t>Metric</t>
  </si>
  <si>
    <t>Unit</t>
  </si>
  <si>
    <t>Price (USD)</t>
  </si>
  <si>
    <t>Notes</t>
  </si>
  <si>
    <t>Source (pricing page)</t>
  </si>
  <si>
    <t>Compute Cloud</t>
  </si>
  <si>
    <t>vCPU-hour (100% guaranteed)</t>
  </si>
  <si>
    <t>USD per vCPU-hour</t>
  </si>
  <si>
    <t>Example unit price (standard-v3).</t>
  </si>
  <si>
    <t>https://yandex.cloud/en/docs/compute/pricing</t>
  </si>
  <si>
    <t>RAM GB-hour</t>
  </si>
  <si>
    <t>USD per GB-hour</t>
  </si>
  <si>
    <t>VPC</t>
  </si>
  <si>
    <t>Public IP address</t>
  </si>
  <si>
    <t>USD per IP-hour</t>
  </si>
  <si>
    <t>Public IPv4 address hourly.</t>
  </si>
  <si>
    <t>https://yandex.cloud/en/docs/vpc/pricing</t>
  </si>
  <si>
    <t>Disks</t>
  </si>
  <si>
    <t>Network HDD</t>
  </si>
  <si>
    <t>USD per GB-month</t>
  </si>
  <si>
    <t>Used by managed DB examples.</t>
  </si>
  <si>
    <t>https://yandex.cloud/en/docs/managed-postgresql/pricing</t>
  </si>
  <si>
    <t>Network SSD</t>
  </si>
  <si>
    <t>https://yandex.cloud/en/docs/managed-valkey/pricing</t>
  </si>
  <si>
    <t>Managed PostgreSQL</t>
  </si>
  <si>
    <t>vCPU-hour</t>
  </si>
  <si>
    <t>Example unit price (Intel Ice Lake).</t>
  </si>
  <si>
    <t>Example unit price.</t>
  </si>
  <si>
    <t>Object Storage</t>
  </si>
  <si>
    <t>Standard storage</t>
  </si>
  <si>
    <t>Example standard storage.</t>
  </si>
  <si>
    <t>https://yandex.cloud/en/docs/storage/pricing</t>
  </si>
  <si>
    <t>Traffic</t>
  </si>
  <si>
    <t>Object Storage outgoing (tier ~100GB..1TB)</t>
  </si>
  <si>
    <t>USD per GB</t>
  </si>
  <si>
    <t>Example tiered egress price.</t>
  </si>
  <si>
    <t>CDN</t>
  </si>
  <si>
    <t>Outgoing traffic from CDN</t>
  </si>
  <si>
    <t>Charged for CDN egress to Internet.</t>
  </si>
  <si>
    <t>https://yandex.cloud/en/services/cdn</t>
  </si>
  <si>
    <t>Smart Web Security</t>
  </si>
  <si>
    <t>AntiDDoS (подписка Start)</t>
  </si>
  <si>
    <t>USD/мес</t>
  </si>
  <si>
    <t>Подписка. Упрощение: берём Start. WAF можно купить только вместе с AntiDDoS.</t>
  </si>
  <si>
    <t>https://yandex.cloud/en/docs/smartwebsecurity/pricing</t>
  </si>
  <si>
    <t>WAF (подписка Start)</t>
  </si>
  <si>
    <t>Подписка. Упрощение: берём Start. В реальности уровни Start/Pro/Business отличаются.</t>
  </si>
  <si>
    <t>vCPU</t>
  </si>
  <si>
    <t>vCPU-hours/month</t>
  </si>
  <si>
    <t>vCPU cost/month (USD)</t>
  </si>
  <si>
    <t>RAM GB-hours/month</t>
  </si>
  <si>
    <t>RAM cost/month (USD)</t>
  </si>
  <si>
    <t>Hours/month input</t>
  </si>
  <si>
    <t>Edit hours/month:</t>
  </si>
  <si>
    <t>Included (Pro)</t>
  </si>
  <si>
    <t>Overage price (USD)</t>
  </si>
  <si>
    <t>Plan</t>
  </si>
  <si>
    <t>Paid seat</t>
  </si>
  <si>
    <t>USD per seat-month</t>
  </si>
  <si>
    <t>-</t>
  </si>
  <si>
    <t>Per paid seat on Pro team.</t>
  </si>
  <si>
    <t>https://vercel.com/pricing</t>
  </si>
  <si>
    <t>Delivery</t>
  </si>
  <si>
    <t>Fast Data Transfer</t>
  </si>
  <si>
    <t>1024 GB</t>
  </si>
  <si>
    <t>Overage per GB after included.</t>
  </si>
  <si>
    <t>Requests</t>
  </si>
  <si>
    <t>Edge Requests</t>
  </si>
  <si>
    <t>USD per 1M requests</t>
  </si>
  <si>
    <t>10,000,000</t>
  </si>
  <si>
    <t>Overage per 1M after included.</t>
  </si>
  <si>
    <t>Functions</t>
  </si>
  <si>
    <t>Invocations</t>
  </si>
  <si>
    <t>USD per 1M invocations</t>
  </si>
  <si>
    <t>1,000,000</t>
  </si>
  <si>
    <t>Active CPU</t>
  </si>
  <si>
    <t>USD per CPU-hour</t>
  </si>
  <si>
    <t>4</t>
  </si>
  <si>
    <t>Overage per CPU-hour after included.</t>
  </si>
  <si>
    <t>Provisioned Memory</t>
  </si>
  <si>
    <t>360</t>
  </si>
  <si>
    <t>Overage per GB-hour after included.</t>
  </si>
  <si>
    <t>Included usage credit</t>
  </si>
  <si>
    <t>USD per month</t>
  </si>
  <si>
    <t>20</t>
  </si>
  <si>
    <t>Pro includes $20 credit to offset usage.</t>
  </si>
  <si>
    <t>Security</t>
  </si>
  <si>
    <t>WAF / Firewall (опц. платные фичи)</t>
  </si>
  <si>
    <t>Базовые Firewall/DDoS бесплатны; часть фич WAF может быть платной (например, rate limiting/managed rulesets). Оставьте 0 или задайте оценку.</t>
  </si>
  <si>
    <t>https://vercel.com/docs/vercel-firewall/vercel-waf/usage-and-pricing</t>
  </si>
  <si>
    <t>Section</t>
  </si>
  <si>
    <t>Price / Month (USD)</t>
  </si>
  <si>
    <t>RAM</t>
  </si>
  <si>
    <t>Disk</t>
  </si>
  <si>
    <t>Dyno</t>
  </si>
  <si>
    <t>Eco</t>
  </si>
  <si>
    <t>0.5 GB</t>
  </si>
  <si>
    <t>Sleeps on inactivity.</t>
  </si>
  <si>
    <t>https://www.heroku.com/pricing/</t>
  </si>
  <si>
    <t>Basic</t>
  </si>
  <si>
    <t>Always on.</t>
  </si>
  <si>
    <t>Standard-1X</t>
  </si>
  <si>
    <t>Standard-2X</t>
  </si>
  <si>
    <t>1 GB</t>
  </si>
  <si>
    <t>Performance-M</t>
  </si>
  <si>
    <t>2.5 GB</t>
  </si>
  <si>
    <t>Performance-L</t>
  </si>
  <si>
    <t>14 GB</t>
  </si>
  <si>
    <t>Postgres</t>
  </si>
  <si>
    <t>Essential-0</t>
  </si>
  <si>
    <t>Essential-1</t>
  </si>
  <si>
    <t>10 GB</t>
  </si>
  <si>
    <t>Essential-2</t>
  </si>
  <si>
    <t>32 GB</t>
  </si>
  <si>
    <t>Standard-0</t>
  </si>
  <si>
    <t>4 GB</t>
  </si>
  <si>
    <t>64 GB</t>
  </si>
  <si>
    <t>Standard-2</t>
  </si>
  <si>
    <t>8 GB</t>
  </si>
  <si>
    <t>256 GB</t>
  </si>
  <si>
    <t>Standard-3</t>
  </si>
  <si>
    <t>15 GB</t>
  </si>
  <si>
    <t>512 GB</t>
  </si>
  <si>
    <t>Redis</t>
  </si>
  <si>
    <t>Mini</t>
  </si>
  <si>
    <t>25 MB</t>
  </si>
  <si>
    <t>Premium 0</t>
  </si>
  <si>
    <t>50 MB</t>
  </si>
  <si>
    <t>Premium 1</t>
  </si>
  <si>
    <t>100 MB</t>
  </si>
  <si>
    <t>Premium 2</t>
  </si>
  <si>
    <t>250 MB</t>
  </si>
  <si>
    <t>Premium 3</t>
  </si>
  <si>
    <t>500 MB</t>
  </si>
  <si>
    <t>Premium 5</t>
  </si>
  <si>
    <t>WAF add-on (Expedited WAF) — ставка</t>
  </si>
  <si>
    <t>USD/час</t>
  </si>
  <si>
    <t>По странице add-on: starting at ~$0.132/hour. Можно заменить на ваш выбранный план.</t>
  </si>
  <si>
    <t>https://elements.heroku.com/addons/expeditedwaf</t>
  </si>
  <si>
    <t>Template</t>
  </si>
  <si>
    <t>Description</t>
  </si>
  <si>
    <t>Requests/mo</t>
  </si>
  <si>
    <t>Bandwidth GB/mo</t>
  </si>
  <si>
    <t>Dynamic share (0..1)</t>
  </si>
  <si>
    <t>Edge share (0..1)</t>
  </si>
  <si>
    <t>Avg Active CPU ms per dyn req</t>
  </si>
  <si>
    <t>Avg Duration sec per dyn req</t>
  </si>
  <si>
    <t>Fn Memory GB</t>
  </si>
  <si>
    <t>YC App vCPU</t>
  </si>
  <si>
    <t>YC App RAM GB</t>
  </si>
  <si>
    <t>YC App Disk Type</t>
  </si>
  <si>
    <t>YC App Disk GB</t>
  </si>
  <si>
    <t>YC DB Hosts</t>
  </si>
  <si>
    <t>YC DB vCPU/host</t>
  </si>
  <si>
    <t>YC DB RAM/host</t>
  </si>
  <si>
    <t>YC DB Disk Type</t>
  </si>
  <si>
    <t>YC DB Disk GB/host</t>
  </si>
  <si>
    <t>Public IPs</t>
  </si>
  <si>
    <t>Use CDN (Y/N)</t>
  </si>
  <si>
    <t>Starter MVP</t>
  </si>
  <si>
    <t>Mostly static + small API/SSR</t>
  </si>
  <si>
    <t>network-hdd</t>
  </si>
  <si>
    <t>Y</t>
  </si>
  <si>
    <t>Growing SaaS</t>
  </si>
  <si>
    <t>Dashboard + API + background jobs</t>
  </si>
  <si>
    <t>network-ssd</t>
  </si>
  <si>
    <t>High traffic API</t>
  </si>
  <si>
    <t>API + realtime + heavy dynamic load</t>
  </si>
  <si>
    <t>Provider</t>
  </si>
  <si>
    <t>Pricing page URL</t>
  </si>
  <si>
    <t>Yandex Cloud infra ($)</t>
  </si>
  <si>
    <t>Опции (влияют на Vercel подписку и стоимость нашего PaaS)</t>
  </si>
  <si>
    <t>Vercel, кол-во пользователей</t>
  </si>
  <si>
    <t>Фикс. плата нашего PaaS ($ в мес)</t>
  </si>
  <si>
    <t>Наценка на инфраструктуру YC (опционально)</t>
  </si>
  <si>
    <t>Динамические вызовы (запросы в месяц)</t>
  </si>
  <si>
    <t>Edge-запросы (запросы в месяц)</t>
  </si>
  <si>
    <t>Для почасового биллинга YC и оценки потребления.</t>
  </si>
  <si>
    <t>Комментарии/Примеры</t>
  </si>
  <si>
    <t>Суммарные vCPU для приложения (без БД). 
Примеры: 
Небольшой сервис/стартап - 2 vCPU;
Растущий - 4/8 vCPU</t>
  </si>
  <si>
    <t>Суммарная RAM для приложения. 
Пример: среднее значение для web+API - 4 ГБ</t>
  </si>
  <si>
    <t>Запросов / месяц</t>
  </si>
  <si>
    <t>Bandwidth (ГБ / месяц)</t>
  </si>
  <si>
    <t>Наценка на стоимость ресурсов YC (например 0.10 = 10%)
Это заполняем мы, а не клиент</t>
  </si>
  <si>
    <t xml:space="preserve">Если активно используете middleware/edge -  0/0,2 </t>
  </si>
  <si>
    <t xml:space="preserve">Лёгкие SSR - 10/30мс
Тяжёлые API/SSR = 30/80мс </t>
  </si>
  <si>
    <t xml:space="preserve">Статичные сайты - 0,2 , 
С распределенным (тяжелым) API- 0,4/0,8 </t>
  </si>
  <si>
    <t>Добавить Anti-DDoS (Y/N)</t>
  </si>
  <si>
    <t>Добавить WAF (Y/N)</t>
  </si>
  <si>
    <t>В Vercel DDoS mitigation базово есть. 
YC/наш вариант: добавляем AntiDDoS (подписка).</t>
  </si>
  <si>
    <t>YC: WAF покупается только вместе с AntiDDoS. 
В Vercel WAF/Firewall есть, но часть фич платные</t>
  </si>
  <si>
    <t>В среднем 0,1/0,4 сек</t>
  </si>
  <si>
    <t>Сколько запросов в месяц (API+SSR). Если не знаешь, как ориентир для усредненного сервиса - 1 000 000</t>
  </si>
  <si>
    <t>Объём SSD (для БД/данных). Если БД отдельная - вводи общий объём данных с запасом (обычно x2)</t>
  </si>
  <si>
    <t>Выходящий трафик в ГБ/мес. 
Можно прикинуть: посетители в месяц * страниц на сайте * средний вес страницы (в среднем 2/3МБ) / 1024</t>
  </si>
  <si>
    <t>Если в Vercel у вас несколько разработчиков - укажите число. 
Если не уверены - оставьте 1</t>
  </si>
  <si>
    <t>Фиксированная плата за платформу (пример) 
Это заполняем мы, а не клиент</t>
  </si>
  <si>
    <t>Упрощение: используем Start. Можно расширить до Pro/Business позже</t>
  </si>
  <si>
    <t>Упрощённо: маленькие проекты - Free, в остальных случаях Pro
Enterprise не выбираем автоматически.</t>
  </si>
  <si>
    <t>Выбираем минимальный dyno план по RAM приложения (упрощение)</t>
  </si>
  <si>
    <t>Допущение: 1 dyno -(прмиерно) 2 vCPU
Dyno count = ceil(CPU/2).</t>
  </si>
  <si>
    <t>Допущение: 
до 10ГБ Essential-1
до 32GB Essential-2
В остальных случаях Standard-0</t>
  </si>
  <si>
    <t>DDoS mitigation на Heroku есть в комалекте
WAF считаем как add-on (пример: Expedited WAF)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</si>
</sst>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-"/>
    <numFmt numFmtId="165" formatCode="0.000"/>
    <numFmt numFmtId="166" formatCode="\$#,##0.00"/>
    <numFmt numFmtId="167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9"/>
      <name val="Calibri"/>
    </font>
    <font>
      <b/>
      <sz val="9"/>
      <name val="Calibri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rgb="FFD0D0D0"/>
      </right>
      <top style="thin">
        <color indexed="64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indexed="64"/>
      </top>
      <bottom style="thin">
        <color rgb="FFD0D0D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0D0D0"/>
      </right>
      <top style="thin">
        <color rgb="FFD0D0D0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3" fontId="0" fillId="0" borderId="1" xfId="0" applyNumberFormat="1" applyBorder="1"/>
    <xf numFmtId="2" fontId="0" fillId="0" borderId="1" xfId="0" applyNumberFormat="1" applyBorder="1"/>
    <xf numFmtId="0" fontId="2" fillId="0" borderId="1" xfId="0" applyFont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" fontId="0" fillId="5" borderId="1" xfId="0" applyNumberForma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 wrapText="1"/>
    </xf>
    <xf numFmtId="166" fontId="0" fillId="5" borderId="1" xfId="0" applyNumberFormat="1" applyFill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167" fontId="2" fillId="4" borderId="1" xfId="0" applyNumberFormat="1" applyFont="1" applyFill="1" applyBorder="1" applyAlignment="1">
      <alignment vertical="center"/>
    </xf>
    <xf numFmtId="167" fontId="0" fillId="0" borderId="1" xfId="0" applyNumberFormat="1" applyBorder="1" applyAlignment="1">
      <alignment vertical="center" wrapText="1"/>
    </xf>
    <xf numFmtId="167" fontId="2" fillId="3" borderId="1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>
      <alignment vertical="center" wrapText="1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8" fillId="0" borderId="0" xfId="0" applyFont="1" applyAlignment="1"/>
    <xf numFmtId="0" fontId="0" fillId="0" borderId="0" xfId="0" applyAlignment="1"/>
    <xf numFmtId="0" fontId="10" fillId="0" borderId="0" xfId="0" applyFont="1" applyAlignment="1">
      <alignment horizontal="left" vertical="center" wrapText="1" readingOrder="1"/>
    </xf>
    <xf numFmtId="0" fontId="4" fillId="0" borderId="0" xfId="0" applyFont="1" applyAlignment="1"/>
    <xf numFmtId="0" fontId="11" fillId="0" borderId="0" xfId="0" applyFont="1" applyAlignment="1"/>
    <xf numFmtId="0" fontId="2" fillId="0" borderId="3" xfId="0" applyFont="1" applyBorder="1" applyAlignment="1">
      <alignment vertical="center" wrapText="1"/>
    </xf>
    <xf numFmtId="3" fontId="2" fillId="4" borderId="4" xfId="0" applyNumberFormat="1" applyFont="1" applyFill="1" applyBorder="1" applyAlignment="1">
      <alignment vertical="center"/>
    </xf>
    <xf numFmtId="0" fontId="0" fillId="0" borderId="5" xfId="0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vertical="center" wrapText="1"/>
    </xf>
    <xf numFmtId="2" fontId="2" fillId="4" borderId="9" xfId="0" applyNumberFormat="1" applyFont="1" applyFill="1" applyBorder="1" applyAlignment="1">
      <alignment vertical="center"/>
    </xf>
    <xf numFmtId="0" fontId="10" fillId="0" borderId="10" xfId="0" applyFont="1" applyBorder="1" applyAlignment="1">
      <alignment horizontal="left" vertical="center" wrapText="1" readingOrder="1"/>
    </xf>
    <xf numFmtId="0" fontId="5" fillId="5" borderId="2" xfId="0" applyFont="1" applyFill="1" applyBorder="1" applyAlignment="1">
      <alignment vertical="center" wrapText="1"/>
    </xf>
    <xf numFmtId="3" fontId="0" fillId="5" borderId="4" xfId="0" applyNumberFormat="1" applyFill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 readingOrder="1"/>
    </xf>
    <xf numFmtId="2" fontId="0" fillId="5" borderId="9" xfId="0" applyNumberForma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3" topLeftCell="A4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44.6640625" customWidth="1"/>
    <col min="4" max="4" width="34" customWidth="1"/>
    <col min="5" max="5" width="16" customWidth="1"/>
    <col min="6" max="7" width="24" customWidth="1"/>
    <col min="8" max="8" width="32" customWidth="1"/>
    <col min="9" max="9" width="41.6640625" customWidth="1"/>
    <col min="10" max="10" width="24" customWidth="1"/>
    <col min="11" max="11" width="22" customWidth="1"/>
    <col min="12" max="12" width="14" customWidth="1"/>
  </cols>
  <sheetData>
    <row r="1" spans="1:9" ht="19" x14ac:dyDescent="0.25">
      <c r="A1" s="32" t="s">
        <v>0</v>
      </c>
      <c r="B1" s="31"/>
      <c r="C1" s="31"/>
      <c r="D1" s="31"/>
      <c r="E1" s="31"/>
      <c r="F1" s="31"/>
      <c r="G1" s="31"/>
      <c r="H1" s="31"/>
    </row>
    <row r="2" spans="1:9" ht="32" x14ac:dyDescent="0.2">
      <c r="A2" s="10" t="s">
        <v>1</v>
      </c>
      <c r="B2" s="12" t="s">
        <v>2</v>
      </c>
      <c r="C2" s="13" t="s">
        <v>3</v>
      </c>
    </row>
    <row r="3" spans="1:9" ht="16" x14ac:dyDescent="0.2">
      <c r="A3" s="37" t="s">
        <v>4</v>
      </c>
      <c r="B3" s="35"/>
      <c r="C3" s="38" t="s">
        <v>226</v>
      </c>
      <c r="D3" s="37" t="s">
        <v>5</v>
      </c>
      <c r="E3" s="35"/>
      <c r="F3" s="38" t="s">
        <v>226</v>
      </c>
      <c r="G3" s="35"/>
      <c r="H3" s="35"/>
      <c r="I3" s="38" t="s">
        <v>226</v>
      </c>
    </row>
    <row r="4" spans="1:9" ht="64" x14ac:dyDescent="0.2">
      <c r="A4" s="39" t="s">
        <v>6</v>
      </c>
      <c r="B4" s="40">
        <v>1</v>
      </c>
      <c r="C4" s="41" t="s">
        <v>227</v>
      </c>
      <c r="D4" s="39" t="s">
        <v>7</v>
      </c>
      <c r="E4" s="48">
        <v>720</v>
      </c>
      <c r="F4" s="49" t="s">
        <v>225</v>
      </c>
      <c r="G4" s="47" t="s">
        <v>8</v>
      </c>
      <c r="H4" s="13" t="str">
        <f>IF(AND($B$10&lt;=1,$B$7&lt;=200000,$B$8&lt;=50,$B$4&lt;=1,$B$5&lt;=1),"Free","Pro")</f>
        <v>Pro</v>
      </c>
      <c r="I4" s="36" t="s">
        <v>246</v>
      </c>
    </row>
    <row r="5" spans="1:9" ht="48" x14ac:dyDescent="0.2">
      <c r="A5" s="42" t="s">
        <v>9</v>
      </c>
      <c r="B5" s="9">
        <v>1</v>
      </c>
      <c r="C5" s="43" t="s">
        <v>228</v>
      </c>
      <c r="D5" s="42" t="s">
        <v>10</v>
      </c>
      <c r="E5" s="16">
        <v>0.35</v>
      </c>
      <c r="F5" s="43" t="s">
        <v>234</v>
      </c>
      <c r="G5" s="47" t="s">
        <v>13</v>
      </c>
      <c r="H5" s="13" t="str">
        <f>IF($B$5&lt;=0.5,"Standard-1X",IF($B$5&lt;=1,"Standard-2X",IF($B$5&lt;=2.5,"Performance-M","Performance-L")))</f>
        <v>Standard-2X</v>
      </c>
      <c r="I5" s="36" t="s">
        <v>247</v>
      </c>
    </row>
    <row r="6" spans="1:9" ht="32" x14ac:dyDescent="0.2">
      <c r="A6" s="42" t="s">
        <v>11</v>
      </c>
      <c r="B6" s="9">
        <v>10</v>
      </c>
      <c r="C6" s="43" t="s">
        <v>241</v>
      </c>
      <c r="D6" s="42" t="s">
        <v>12</v>
      </c>
      <c r="E6" s="16">
        <v>0.1</v>
      </c>
      <c r="F6" s="43" t="s">
        <v>232</v>
      </c>
      <c r="G6" s="47" t="s">
        <v>16</v>
      </c>
      <c r="H6" s="13">
        <f>MAX(1,ROUNDUP($B$4/2,0))</f>
        <v>1</v>
      </c>
      <c r="I6" s="36" t="s">
        <v>248</v>
      </c>
    </row>
    <row r="7" spans="1:9" ht="64" x14ac:dyDescent="0.2">
      <c r="A7" s="52" t="s">
        <v>229</v>
      </c>
      <c r="B7" s="9">
        <v>1000000</v>
      </c>
      <c r="C7" s="43" t="s">
        <v>240</v>
      </c>
      <c r="D7" s="42" t="s">
        <v>15</v>
      </c>
      <c r="E7" s="16">
        <v>35</v>
      </c>
      <c r="F7" s="43" t="s">
        <v>233</v>
      </c>
      <c r="G7" s="47" t="s">
        <v>19</v>
      </c>
      <c r="H7" s="13" t="str">
        <f>IF($B$6&lt;=10,"Essential-1",IF($B$6&lt;=32,"Essential-2","Standard-0"))</f>
        <v>Essential-1</v>
      </c>
      <c r="I7" s="36" t="s">
        <v>249</v>
      </c>
    </row>
    <row r="8" spans="1:9" ht="64" x14ac:dyDescent="0.2">
      <c r="A8" s="53" t="s">
        <v>230</v>
      </c>
      <c r="B8" s="45">
        <v>200</v>
      </c>
      <c r="C8" s="46" t="s">
        <v>242</v>
      </c>
      <c r="D8" s="44" t="s">
        <v>18</v>
      </c>
      <c r="E8" s="50">
        <v>0.25</v>
      </c>
      <c r="F8" s="46" t="s">
        <v>239</v>
      </c>
      <c r="G8" s="15" t="s">
        <v>21</v>
      </c>
      <c r="H8" s="17">
        <f>IF($E$11="Y",Heroku_Rates!$D$20*$E$4,0)</f>
        <v>0</v>
      </c>
      <c r="I8" s="36" t="s">
        <v>250</v>
      </c>
    </row>
    <row r="9" spans="1:9" ht="16" x14ac:dyDescent="0.2">
      <c r="A9" s="34" t="s">
        <v>219</v>
      </c>
      <c r="B9" s="35"/>
      <c r="C9" s="33"/>
      <c r="D9" s="54" t="s">
        <v>23</v>
      </c>
      <c r="E9" s="55"/>
      <c r="F9" s="56"/>
    </row>
    <row r="10" spans="1:9" ht="64" x14ac:dyDescent="0.2">
      <c r="A10" s="51" t="s">
        <v>220</v>
      </c>
      <c r="B10" s="40">
        <v>2</v>
      </c>
      <c r="C10" s="49" t="s">
        <v>243</v>
      </c>
      <c r="D10" s="51" t="s">
        <v>235</v>
      </c>
      <c r="E10" s="57" t="s">
        <v>25</v>
      </c>
      <c r="F10" s="49" t="s">
        <v>237</v>
      </c>
      <c r="G10" s="47" t="s">
        <v>14</v>
      </c>
      <c r="H10" s="17">
        <f>MAX(0,$B$8-1024)*Vercel_Rates!$E$3</f>
        <v>0</v>
      </c>
    </row>
    <row r="11" spans="1:9" ht="64" x14ac:dyDescent="0.2">
      <c r="A11" s="52" t="s">
        <v>221</v>
      </c>
      <c r="B11" s="23">
        <v>20</v>
      </c>
      <c r="C11" s="43" t="s">
        <v>244</v>
      </c>
      <c r="D11" s="52" t="s">
        <v>236</v>
      </c>
      <c r="E11" s="21" t="s">
        <v>25</v>
      </c>
      <c r="F11" s="43" t="s">
        <v>238</v>
      </c>
      <c r="G11" s="47" t="s">
        <v>17</v>
      </c>
      <c r="H11" s="17">
        <f>MAX(0,$B$16-10000000)/1000000*Vercel_Rates!$E$4</f>
        <v>0</v>
      </c>
    </row>
    <row r="12" spans="1:9" ht="48" x14ac:dyDescent="0.2">
      <c r="A12" s="53" t="s">
        <v>222</v>
      </c>
      <c r="B12" s="45">
        <v>0.1</v>
      </c>
      <c r="C12" s="46" t="s">
        <v>231</v>
      </c>
      <c r="D12" s="44" t="s">
        <v>27</v>
      </c>
      <c r="E12" s="58" t="s">
        <v>28</v>
      </c>
      <c r="F12" s="46" t="s">
        <v>245</v>
      </c>
      <c r="G12" s="47" t="s">
        <v>20</v>
      </c>
      <c r="H12" s="17">
        <f>MAX(0,$B$15-1000000)/1000000*Vercel_Rates!$E$5</f>
        <v>0</v>
      </c>
    </row>
    <row r="13" spans="1:9" x14ac:dyDescent="0.2">
      <c r="C13" s="33"/>
      <c r="G13" s="15" t="s">
        <v>22</v>
      </c>
      <c r="H13" s="17">
        <f>MAX(0,$B$17-4)*Vercel_Rates!$E$6</f>
        <v>0</v>
      </c>
    </row>
    <row r="14" spans="1:9" ht="16" x14ac:dyDescent="0.2">
      <c r="A14" s="30" t="s">
        <v>29</v>
      </c>
      <c r="B14" s="31"/>
      <c r="C14" s="31"/>
      <c r="D14" s="22" t="s">
        <v>26</v>
      </c>
      <c r="E14" s="15" t="str">
        <f>IF(AND($E$11="Y",$E$10="N"),"YC: WAF требует AntiDDoS → AntiDDoS будет учтён автоматически","")</f>
        <v/>
      </c>
      <c r="G14" s="15" t="s">
        <v>24</v>
      </c>
      <c r="H14" s="17">
        <f>MAX(0,$B$18-360)*Vercel_Rates!$E$7</f>
        <v>0</v>
      </c>
    </row>
    <row r="15" spans="1:9" ht="16" x14ac:dyDescent="0.2">
      <c r="A15" s="11" t="s">
        <v>223</v>
      </c>
      <c r="B15" s="14">
        <f>B7*$E$5</f>
        <v>350000</v>
      </c>
    </row>
    <row r="16" spans="1:9" ht="16" x14ac:dyDescent="0.2">
      <c r="A16" s="11" t="s">
        <v>224</v>
      </c>
      <c r="B16" s="14">
        <f>B7*$E$6</f>
        <v>100000</v>
      </c>
    </row>
    <row r="17" spans="1:6" ht="16" x14ac:dyDescent="0.2">
      <c r="A17" s="11" t="s">
        <v>37</v>
      </c>
      <c r="B17" s="18">
        <f>B15*($E$7/1000)/3600</f>
        <v>3.4027777777777781</v>
      </c>
    </row>
    <row r="18" spans="1:6" ht="32" x14ac:dyDescent="0.2">
      <c r="A18" s="11" t="s">
        <v>39</v>
      </c>
      <c r="B18" s="18">
        <f>B15*($E$8/3600)*B5</f>
        <v>24.305555555555557</v>
      </c>
    </row>
    <row r="20" spans="1:6" ht="16" x14ac:dyDescent="0.2">
      <c r="A20" s="30" t="s">
        <v>30</v>
      </c>
      <c r="B20" s="31"/>
      <c r="C20" s="31"/>
      <c r="D20" s="31"/>
      <c r="E20" s="31"/>
    </row>
    <row r="21" spans="1:6" ht="32" x14ac:dyDescent="0.2">
      <c r="A21" s="1" t="s">
        <v>31</v>
      </c>
      <c r="B21" s="1" t="s">
        <v>32</v>
      </c>
      <c r="C21" s="1" t="s">
        <v>33</v>
      </c>
      <c r="D21" s="29" t="s">
        <v>218</v>
      </c>
      <c r="E21" s="1" t="s">
        <v>34</v>
      </c>
      <c r="F21" s="1" t="s">
        <v>35</v>
      </c>
    </row>
    <row r="22" spans="1:6" ht="16" x14ac:dyDescent="0.2">
      <c r="A22" s="11" t="s">
        <v>36</v>
      </c>
      <c r="B22" s="24">
        <f>IF($H$4="Free",0,$B$10*Vercel_Rates!$E$2) + IF($E$11="Y",Vercel_Rates!$D$12,0)</f>
        <v>40</v>
      </c>
      <c r="C22" s="24">
        <f>SUM($L$6:$L$10)</f>
        <v>0</v>
      </c>
      <c r="D22" s="24">
        <v>0</v>
      </c>
      <c r="E22" s="24">
        <v>0</v>
      </c>
      <c r="F22" s="25">
        <f>SUM(B22:E22)</f>
        <v>40</v>
      </c>
    </row>
    <row r="23" spans="1:6" ht="16" x14ac:dyDescent="0.2">
      <c r="A23" s="11" t="s">
        <v>38</v>
      </c>
      <c r="B23" s="24">
        <f>($H$6*VLOOKUP($H$5,Heroku_Rates!$B$2:$C$7,2,FALSE)) + IF($H$7="",0,VLOOKUP($H$7,Heroku_Rates!$B$8:$C$13,2,FALSE)) + $H$8</f>
        <v>59</v>
      </c>
      <c r="C23" s="24">
        <v>0</v>
      </c>
      <c r="D23" s="24">
        <v>0</v>
      </c>
      <c r="E23" s="24">
        <v>0</v>
      </c>
      <c r="F23" s="25">
        <f>SUM(B23:E23)</f>
        <v>59</v>
      </c>
    </row>
    <row r="24" spans="1:6" ht="16" x14ac:dyDescent="0.2">
      <c r="A24" s="11" t="s">
        <v>41</v>
      </c>
      <c r="B24" s="24">
        <v>0</v>
      </c>
      <c r="C24" s="24">
        <v>0</v>
      </c>
      <c r="D24" s="24">
        <f>D25</f>
        <v>12.543299999999999</v>
      </c>
      <c r="E24" s="24">
        <f>$B$11 + $B$12*D25</f>
        <v>21.25433</v>
      </c>
      <c r="F24" s="25">
        <f>D24+E24</f>
        <v>33.797629999999998</v>
      </c>
    </row>
    <row r="25" spans="1:6" ht="16" x14ac:dyDescent="0.2">
      <c r="A25" s="11" t="s">
        <v>40</v>
      </c>
      <c r="B25" s="24">
        <v>0</v>
      </c>
      <c r="C25" s="24">
        <v>0</v>
      </c>
      <c r="D25" s="24">
        <f>(($E$4*($B$4*YC_Rates!$D$2 + $B$5*YC_Rates!$D$3)) + ($B$6*YC_Rates!$D$6) + ($B$8*YC_Rates!$D$10)) + IF(OR($E$10="Y",AND($E$11="Y",$E$10="N")),YC_Rates!$D$12,0) + IF($E$11="Y",YC_Rates!$D$13,0)</f>
        <v>12.543299999999999</v>
      </c>
      <c r="E25" s="24">
        <v>0</v>
      </c>
      <c r="F25" s="25">
        <f>SUM(B25:E25)</f>
        <v>12.543299999999999</v>
      </c>
    </row>
    <row r="26" spans="1:6" ht="16" x14ac:dyDescent="0.2">
      <c r="A26" s="30" t="s">
        <v>42</v>
      </c>
      <c r="B26" s="31"/>
      <c r="C26" s="31"/>
      <c r="D26" s="31"/>
      <c r="E26" s="31"/>
    </row>
    <row r="27" spans="1:6" ht="32" x14ac:dyDescent="0.2">
      <c r="A27" s="8" t="s">
        <v>43</v>
      </c>
      <c r="B27" s="24">
        <f>MIN($F$22,$F$23,$F$24)</f>
        <v>33.797629999999998</v>
      </c>
    </row>
    <row r="28" spans="1:6" ht="16" x14ac:dyDescent="0.2">
      <c r="A28" s="8" t="s">
        <v>44</v>
      </c>
      <c r="B28" s="19" t="str">
        <f>IF($B$27=$F$22,"Vercel",IF($B$27=$F$23,"Heroku","Our PaaS"))</f>
        <v>Our PaaS</v>
      </c>
    </row>
    <row r="29" spans="1:6" ht="16" x14ac:dyDescent="0.2">
      <c r="A29" s="8" t="s">
        <v>45</v>
      </c>
      <c r="B29" s="24">
        <f>SMALL($F$22:$F$24,2)-$B$27</f>
        <v>6.2023700000000019</v>
      </c>
    </row>
    <row r="30" spans="1:6" ht="16" x14ac:dyDescent="0.2">
      <c r="A30" s="8" t="s">
        <v>46</v>
      </c>
      <c r="B30" s="20">
        <f>IF(SMALL($F$22:$F$24,2)=0,0,$B$29/SMALL($F$22:$F$24,2))</f>
        <v>0.15505925000000004</v>
      </c>
    </row>
  </sheetData>
  <mergeCells count="4">
    <mergeCell ref="A26:E26"/>
    <mergeCell ref="A14:C14"/>
    <mergeCell ref="A1:H1"/>
    <mergeCell ref="A20:E20"/>
  </mergeCells>
  <dataValidations count="2">
    <dataValidation type="list" sqref="E10:E11" xr:uid="{00000000-0002-0000-0000-000000000000}">
      <formula1>"Y,N"</formula1>
    </dataValidation>
    <dataValidation type="list" sqref="E12" xr:uid="{00000000-0002-0000-0000-000001000000}">
      <formula1>"Start"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 activeCell="D12" sqref="D12:D13"/>
    </sheetView>
  </sheetViews>
  <sheetFormatPr baseColWidth="10" defaultColWidth="8.83203125" defaultRowHeight="15" x14ac:dyDescent="0.2"/>
  <cols>
    <col min="1" max="1" width="20" customWidth="1"/>
    <col min="2" max="2" width="44" customWidth="1"/>
    <col min="3" max="3" width="19" customWidth="1"/>
    <col min="4" max="4" width="13" customWidth="1"/>
    <col min="5" max="5" width="38" customWidth="1"/>
    <col min="6" max="6" width="52" customWidth="1"/>
  </cols>
  <sheetData>
    <row r="1" spans="1:6" ht="16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">
      <c r="A2" s="2" t="s">
        <v>53</v>
      </c>
      <c r="B2" s="2" t="s">
        <v>54</v>
      </c>
      <c r="C2" s="2" t="s">
        <v>55</v>
      </c>
      <c r="D2" s="24">
        <v>9.4500000000000001E-3</v>
      </c>
      <c r="E2" s="2" t="s">
        <v>56</v>
      </c>
      <c r="F2" s="2" t="s">
        <v>57</v>
      </c>
    </row>
    <row r="3" spans="1:6" x14ac:dyDescent="0.2">
      <c r="A3" s="2" t="s">
        <v>53</v>
      </c>
      <c r="B3" s="2" t="s">
        <v>58</v>
      </c>
      <c r="C3" s="2" t="s">
        <v>59</v>
      </c>
      <c r="D3" s="24">
        <v>2.5200000000000001E-3</v>
      </c>
      <c r="E3" s="2" t="s">
        <v>56</v>
      </c>
      <c r="F3" s="2" t="s">
        <v>57</v>
      </c>
    </row>
    <row r="4" spans="1:6" x14ac:dyDescent="0.2">
      <c r="A4" s="2" t="s">
        <v>60</v>
      </c>
      <c r="B4" s="2" t="s">
        <v>61</v>
      </c>
      <c r="C4" s="2" t="s">
        <v>62</v>
      </c>
      <c r="D4" s="24">
        <v>2.16E-3</v>
      </c>
      <c r="E4" s="2" t="s">
        <v>63</v>
      </c>
      <c r="F4" s="2" t="s">
        <v>64</v>
      </c>
    </row>
    <row r="5" spans="1:6" x14ac:dyDescent="0.2">
      <c r="A5" s="2" t="s">
        <v>65</v>
      </c>
      <c r="B5" s="2" t="s">
        <v>66</v>
      </c>
      <c r="C5" s="2" t="s">
        <v>67</v>
      </c>
      <c r="D5" s="24">
        <v>2.8799999999999999E-2</v>
      </c>
      <c r="E5" s="2" t="s">
        <v>68</v>
      </c>
      <c r="F5" s="2" t="s">
        <v>69</v>
      </c>
    </row>
    <row r="6" spans="1:6" x14ac:dyDescent="0.2">
      <c r="A6" s="2" t="s">
        <v>65</v>
      </c>
      <c r="B6" s="2" t="s">
        <v>70</v>
      </c>
      <c r="C6" s="2" t="s">
        <v>67</v>
      </c>
      <c r="D6" s="24">
        <v>0.11709</v>
      </c>
      <c r="E6" s="2" t="s">
        <v>68</v>
      </c>
      <c r="F6" s="2" t="s">
        <v>71</v>
      </c>
    </row>
    <row r="7" spans="1:6" x14ac:dyDescent="0.2">
      <c r="A7" s="2" t="s">
        <v>72</v>
      </c>
      <c r="B7" s="2" t="s">
        <v>73</v>
      </c>
      <c r="C7" s="2" t="s">
        <v>55</v>
      </c>
      <c r="D7" s="24">
        <v>1.4670000000000001E-2</v>
      </c>
      <c r="E7" s="2" t="s">
        <v>74</v>
      </c>
      <c r="F7" s="2" t="s">
        <v>69</v>
      </c>
    </row>
    <row r="8" spans="1:6" x14ac:dyDescent="0.2">
      <c r="A8" s="2" t="s">
        <v>72</v>
      </c>
      <c r="B8" s="2" t="s">
        <v>58</v>
      </c>
      <c r="C8" s="2" t="s">
        <v>59</v>
      </c>
      <c r="D8" s="24">
        <v>3.96E-3</v>
      </c>
      <c r="E8" s="2" t="s">
        <v>75</v>
      </c>
      <c r="F8" s="2" t="s">
        <v>69</v>
      </c>
    </row>
    <row r="9" spans="1:6" x14ac:dyDescent="0.2">
      <c r="A9" s="2" t="s">
        <v>76</v>
      </c>
      <c r="B9" s="2" t="s">
        <v>77</v>
      </c>
      <c r="C9" s="2" t="s">
        <v>67</v>
      </c>
      <c r="D9" s="24">
        <v>1.8089999999999998E-2</v>
      </c>
      <c r="E9" s="2" t="s">
        <v>78</v>
      </c>
      <c r="F9" s="2" t="s">
        <v>79</v>
      </c>
    </row>
    <row r="10" spans="1:6" x14ac:dyDescent="0.2">
      <c r="A10" s="2" t="s">
        <v>80</v>
      </c>
      <c r="B10" s="2" t="s">
        <v>81</v>
      </c>
      <c r="C10" s="2" t="s">
        <v>82</v>
      </c>
      <c r="D10" s="24">
        <v>1.3769999999999999E-2</v>
      </c>
      <c r="E10" s="2" t="s">
        <v>83</v>
      </c>
      <c r="F10" s="2" t="s">
        <v>79</v>
      </c>
    </row>
    <row r="11" spans="1:6" x14ac:dyDescent="0.2">
      <c r="A11" s="2" t="s">
        <v>84</v>
      </c>
      <c r="B11" s="2" t="s">
        <v>85</v>
      </c>
      <c r="C11" s="2" t="s">
        <v>82</v>
      </c>
      <c r="D11" s="24">
        <v>7.6920000000000001E-3</v>
      </c>
      <c r="E11" s="2" t="s">
        <v>86</v>
      </c>
      <c r="F11" s="2" t="s">
        <v>87</v>
      </c>
    </row>
    <row r="12" spans="1:6" ht="32" x14ac:dyDescent="0.2">
      <c r="A12" s="11" t="s">
        <v>88</v>
      </c>
      <c r="B12" s="11" t="s">
        <v>89</v>
      </c>
      <c r="C12" s="11" t="s">
        <v>90</v>
      </c>
      <c r="D12" s="26">
        <v>416.67</v>
      </c>
      <c r="E12" s="11" t="s">
        <v>91</v>
      </c>
      <c r="F12" s="11" t="s">
        <v>92</v>
      </c>
    </row>
    <row r="13" spans="1:6" ht="48" x14ac:dyDescent="0.2">
      <c r="A13" s="11" t="s">
        <v>88</v>
      </c>
      <c r="B13" s="11" t="s">
        <v>93</v>
      </c>
      <c r="C13" s="11" t="s">
        <v>90</v>
      </c>
      <c r="D13" s="26">
        <v>333.33</v>
      </c>
      <c r="E13" s="11" t="s">
        <v>94</v>
      </c>
      <c r="F13" s="11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>
      <pane ySplit="1" topLeftCell="A29" activePane="bottomLeft" state="frozen"/>
      <selection pane="bottomLeft" activeCell="F2" sqref="F2:F65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3" customWidth="1"/>
    <col min="4" max="4" width="12" customWidth="1"/>
    <col min="5" max="5" width="20" customWidth="1"/>
    <col min="6" max="6" width="22" customWidth="1"/>
    <col min="7" max="7" width="19" customWidth="1"/>
    <col min="8" max="8" width="12" customWidth="1"/>
  </cols>
  <sheetData>
    <row r="1" spans="1:8" ht="16" x14ac:dyDescent="0.2">
      <c r="A1" s="1" t="s">
        <v>95</v>
      </c>
      <c r="B1" s="1" t="s">
        <v>96</v>
      </c>
      <c r="C1" s="1" t="s">
        <v>97</v>
      </c>
      <c r="D1" s="1" t="s">
        <v>9</v>
      </c>
      <c r="E1" s="1" t="s">
        <v>98</v>
      </c>
      <c r="F1" s="1" t="s">
        <v>99</v>
      </c>
      <c r="G1" s="1" t="s">
        <v>100</v>
      </c>
    </row>
    <row r="2" spans="1:8" x14ac:dyDescent="0.2">
      <c r="A2" s="4">
        <v>1</v>
      </c>
      <c r="B2" s="4">
        <f t="shared" ref="B2:B33" si="0">$H$2*A2</f>
        <v>720</v>
      </c>
      <c r="C2" s="27">
        <f>B2*YC_Rates!$D$2</f>
        <v>6.8040000000000003</v>
      </c>
      <c r="D2" s="4">
        <v>1</v>
      </c>
      <c r="E2" s="4">
        <f t="shared" ref="E2:E33" si="1">$H$2*D2</f>
        <v>720</v>
      </c>
      <c r="F2" s="27">
        <f>E2*YC_Rates!$D$3</f>
        <v>1.8144</v>
      </c>
      <c r="G2" s="5" t="s">
        <v>101</v>
      </c>
      <c r="H2" s="6">
        <v>720</v>
      </c>
    </row>
    <row r="3" spans="1:8" x14ac:dyDescent="0.2">
      <c r="A3" s="4">
        <v>2</v>
      </c>
      <c r="B3" s="4">
        <f t="shared" si="0"/>
        <v>1440</v>
      </c>
      <c r="C3" s="27">
        <f>B3*YC_Rates!$D$2</f>
        <v>13.608000000000001</v>
      </c>
      <c r="D3" s="4">
        <v>2</v>
      </c>
      <c r="E3" s="4">
        <f t="shared" si="1"/>
        <v>1440</v>
      </c>
      <c r="F3" s="27">
        <f>E3*YC_Rates!$D$3</f>
        <v>3.6288</v>
      </c>
    </row>
    <row r="4" spans="1:8" x14ac:dyDescent="0.2">
      <c r="A4" s="4">
        <v>3</v>
      </c>
      <c r="B4" s="4">
        <f t="shared" si="0"/>
        <v>2160</v>
      </c>
      <c r="C4" s="27">
        <f>B4*YC_Rates!$D$2</f>
        <v>20.411999999999999</v>
      </c>
      <c r="D4" s="4">
        <v>3</v>
      </c>
      <c r="E4" s="4">
        <f t="shared" si="1"/>
        <v>2160</v>
      </c>
      <c r="F4" s="27">
        <f>E4*YC_Rates!$D$3</f>
        <v>5.4432</v>
      </c>
    </row>
    <row r="5" spans="1:8" x14ac:dyDescent="0.2">
      <c r="A5" s="4">
        <v>4</v>
      </c>
      <c r="B5" s="4">
        <f t="shared" si="0"/>
        <v>2880</v>
      </c>
      <c r="C5" s="27">
        <f>B5*YC_Rates!$D$2</f>
        <v>27.216000000000001</v>
      </c>
      <c r="D5" s="4">
        <v>4</v>
      </c>
      <c r="E5" s="4">
        <f t="shared" si="1"/>
        <v>2880</v>
      </c>
      <c r="F5" s="27">
        <f>E5*YC_Rates!$D$3</f>
        <v>7.2576000000000001</v>
      </c>
    </row>
    <row r="6" spans="1:8" x14ac:dyDescent="0.2">
      <c r="A6" s="4">
        <v>5</v>
      </c>
      <c r="B6" s="4">
        <f t="shared" si="0"/>
        <v>3600</v>
      </c>
      <c r="C6" s="27">
        <f>B6*YC_Rates!$D$2</f>
        <v>34.020000000000003</v>
      </c>
      <c r="D6" s="4">
        <v>5</v>
      </c>
      <c r="E6" s="4">
        <f t="shared" si="1"/>
        <v>3600</v>
      </c>
      <c r="F6" s="27">
        <f>E6*YC_Rates!$D$3</f>
        <v>9.072000000000001</v>
      </c>
    </row>
    <row r="7" spans="1:8" x14ac:dyDescent="0.2">
      <c r="A7" s="4">
        <v>6</v>
      </c>
      <c r="B7" s="4">
        <f t="shared" si="0"/>
        <v>4320</v>
      </c>
      <c r="C7" s="27">
        <f>B7*YC_Rates!$D$2</f>
        <v>40.823999999999998</v>
      </c>
      <c r="D7" s="4">
        <v>6</v>
      </c>
      <c r="E7" s="4">
        <f t="shared" si="1"/>
        <v>4320</v>
      </c>
      <c r="F7" s="27">
        <f>E7*YC_Rates!$D$3</f>
        <v>10.8864</v>
      </c>
    </row>
    <row r="8" spans="1:8" x14ac:dyDescent="0.2">
      <c r="A8" s="4">
        <v>7</v>
      </c>
      <c r="B8" s="4">
        <f t="shared" si="0"/>
        <v>5040</v>
      </c>
      <c r="C8" s="27">
        <f>B8*YC_Rates!$D$2</f>
        <v>47.628</v>
      </c>
      <c r="D8" s="4">
        <v>7</v>
      </c>
      <c r="E8" s="4">
        <f t="shared" si="1"/>
        <v>5040</v>
      </c>
      <c r="F8" s="27">
        <f>E8*YC_Rates!$D$3</f>
        <v>12.700800000000001</v>
      </c>
    </row>
    <row r="9" spans="1:8" x14ac:dyDescent="0.2">
      <c r="A9" s="4">
        <v>8</v>
      </c>
      <c r="B9" s="4">
        <f t="shared" si="0"/>
        <v>5760</v>
      </c>
      <c r="C9" s="27">
        <f>B9*YC_Rates!$D$2</f>
        <v>54.432000000000002</v>
      </c>
      <c r="D9" s="4">
        <v>8</v>
      </c>
      <c r="E9" s="4">
        <f t="shared" si="1"/>
        <v>5760</v>
      </c>
      <c r="F9" s="27">
        <f>E9*YC_Rates!$D$3</f>
        <v>14.5152</v>
      </c>
    </row>
    <row r="10" spans="1:8" x14ac:dyDescent="0.2">
      <c r="A10" s="4">
        <v>9</v>
      </c>
      <c r="B10" s="4">
        <f t="shared" si="0"/>
        <v>6480</v>
      </c>
      <c r="C10" s="27">
        <f>B10*YC_Rates!$D$2</f>
        <v>61.235999999999997</v>
      </c>
      <c r="D10" s="4">
        <v>9</v>
      </c>
      <c r="E10" s="4">
        <f t="shared" si="1"/>
        <v>6480</v>
      </c>
      <c r="F10" s="27">
        <f>E10*YC_Rates!$D$3</f>
        <v>16.329599999999999</v>
      </c>
    </row>
    <row r="11" spans="1:8" x14ac:dyDescent="0.2">
      <c r="A11" s="4">
        <v>10</v>
      </c>
      <c r="B11" s="4">
        <f t="shared" si="0"/>
        <v>7200</v>
      </c>
      <c r="C11" s="27">
        <f>B11*YC_Rates!$D$2</f>
        <v>68.040000000000006</v>
      </c>
      <c r="D11" s="4">
        <v>10</v>
      </c>
      <c r="E11" s="4">
        <f t="shared" si="1"/>
        <v>7200</v>
      </c>
      <c r="F11" s="27">
        <f>E11*YC_Rates!$D$3</f>
        <v>18.144000000000002</v>
      </c>
    </row>
    <row r="12" spans="1:8" x14ac:dyDescent="0.2">
      <c r="A12" s="4">
        <v>11</v>
      </c>
      <c r="B12" s="4">
        <f t="shared" si="0"/>
        <v>7920</v>
      </c>
      <c r="C12" s="27">
        <f>B12*YC_Rates!$D$2</f>
        <v>74.843999999999994</v>
      </c>
      <c r="D12" s="4">
        <v>11</v>
      </c>
      <c r="E12" s="4">
        <f t="shared" si="1"/>
        <v>7920</v>
      </c>
      <c r="F12" s="27">
        <f>E12*YC_Rates!$D$3</f>
        <v>19.958400000000001</v>
      </c>
    </row>
    <row r="13" spans="1:8" x14ac:dyDescent="0.2">
      <c r="A13" s="4">
        <v>12</v>
      </c>
      <c r="B13" s="4">
        <f t="shared" si="0"/>
        <v>8640</v>
      </c>
      <c r="C13" s="27">
        <f>B13*YC_Rates!$D$2</f>
        <v>81.647999999999996</v>
      </c>
      <c r="D13" s="4">
        <v>12</v>
      </c>
      <c r="E13" s="4">
        <f t="shared" si="1"/>
        <v>8640</v>
      </c>
      <c r="F13" s="27">
        <f>E13*YC_Rates!$D$3</f>
        <v>21.7728</v>
      </c>
    </row>
    <row r="14" spans="1:8" x14ac:dyDescent="0.2">
      <c r="A14" s="4">
        <v>13</v>
      </c>
      <c r="B14" s="4">
        <f t="shared" si="0"/>
        <v>9360</v>
      </c>
      <c r="C14" s="27">
        <f>B14*YC_Rates!$D$2</f>
        <v>88.451999999999998</v>
      </c>
      <c r="D14" s="4">
        <v>13</v>
      </c>
      <c r="E14" s="4">
        <f t="shared" si="1"/>
        <v>9360</v>
      </c>
      <c r="F14" s="27">
        <f>E14*YC_Rates!$D$3</f>
        <v>23.587199999999999</v>
      </c>
    </row>
    <row r="15" spans="1:8" x14ac:dyDescent="0.2">
      <c r="A15" s="4">
        <v>14</v>
      </c>
      <c r="B15" s="4">
        <f t="shared" si="0"/>
        <v>10080</v>
      </c>
      <c r="C15" s="27">
        <f>B15*YC_Rates!$D$2</f>
        <v>95.256</v>
      </c>
      <c r="D15" s="4">
        <v>14</v>
      </c>
      <c r="E15" s="4">
        <f t="shared" si="1"/>
        <v>10080</v>
      </c>
      <c r="F15" s="27">
        <f>E15*YC_Rates!$D$3</f>
        <v>25.401600000000002</v>
      </c>
    </row>
    <row r="16" spans="1:8" x14ac:dyDescent="0.2">
      <c r="A16" s="4">
        <v>15</v>
      </c>
      <c r="B16" s="4">
        <f t="shared" si="0"/>
        <v>10800</v>
      </c>
      <c r="C16" s="27">
        <f>B16*YC_Rates!$D$2</f>
        <v>102.06</v>
      </c>
      <c r="D16" s="4">
        <v>15</v>
      </c>
      <c r="E16" s="4">
        <f t="shared" si="1"/>
        <v>10800</v>
      </c>
      <c r="F16" s="27">
        <f>E16*YC_Rates!$D$3</f>
        <v>27.216000000000001</v>
      </c>
    </row>
    <row r="17" spans="1:6" x14ac:dyDescent="0.2">
      <c r="A17" s="4">
        <v>16</v>
      </c>
      <c r="B17" s="4">
        <f t="shared" si="0"/>
        <v>11520</v>
      </c>
      <c r="C17" s="27">
        <f>B17*YC_Rates!$D$2</f>
        <v>108.864</v>
      </c>
      <c r="D17" s="4">
        <v>16</v>
      </c>
      <c r="E17" s="4">
        <f t="shared" si="1"/>
        <v>11520</v>
      </c>
      <c r="F17" s="27">
        <f>E17*YC_Rates!$D$3</f>
        <v>29.0304</v>
      </c>
    </row>
    <row r="18" spans="1:6" x14ac:dyDescent="0.2">
      <c r="A18" s="4">
        <v>17</v>
      </c>
      <c r="B18" s="4">
        <f t="shared" si="0"/>
        <v>12240</v>
      </c>
      <c r="C18" s="27">
        <f>B18*YC_Rates!$D$2</f>
        <v>115.66800000000001</v>
      </c>
      <c r="D18" s="4">
        <v>17</v>
      </c>
      <c r="E18" s="4">
        <f t="shared" si="1"/>
        <v>12240</v>
      </c>
      <c r="F18" s="27">
        <f>E18*YC_Rates!$D$3</f>
        <v>30.844800000000003</v>
      </c>
    </row>
    <row r="19" spans="1:6" x14ac:dyDescent="0.2">
      <c r="A19" s="4">
        <v>18</v>
      </c>
      <c r="B19" s="4">
        <f t="shared" si="0"/>
        <v>12960</v>
      </c>
      <c r="C19" s="27">
        <f>B19*YC_Rates!$D$2</f>
        <v>122.47199999999999</v>
      </c>
      <c r="D19" s="4">
        <v>18</v>
      </c>
      <c r="E19" s="4">
        <f t="shared" si="1"/>
        <v>12960</v>
      </c>
      <c r="F19" s="27">
        <f>E19*YC_Rates!$D$3</f>
        <v>32.659199999999998</v>
      </c>
    </row>
    <row r="20" spans="1:6" x14ac:dyDescent="0.2">
      <c r="A20" s="4">
        <v>19</v>
      </c>
      <c r="B20" s="4">
        <f t="shared" si="0"/>
        <v>13680</v>
      </c>
      <c r="C20" s="27">
        <f>B20*YC_Rates!$D$2</f>
        <v>129.27600000000001</v>
      </c>
      <c r="D20" s="4">
        <v>19</v>
      </c>
      <c r="E20" s="4">
        <f t="shared" si="1"/>
        <v>13680</v>
      </c>
      <c r="F20" s="27">
        <f>E20*YC_Rates!$D$3</f>
        <v>34.473600000000005</v>
      </c>
    </row>
    <row r="21" spans="1:6" x14ac:dyDescent="0.2">
      <c r="A21" s="4">
        <v>20</v>
      </c>
      <c r="B21" s="4">
        <f t="shared" si="0"/>
        <v>14400</v>
      </c>
      <c r="C21" s="27">
        <f>B21*YC_Rates!$D$2</f>
        <v>136.08000000000001</v>
      </c>
      <c r="D21" s="4">
        <v>20</v>
      </c>
      <c r="E21" s="4">
        <f t="shared" si="1"/>
        <v>14400</v>
      </c>
      <c r="F21" s="27">
        <f>E21*YC_Rates!$D$3</f>
        <v>36.288000000000004</v>
      </c>
    </row>
    <row r="22" spans="1:6" x14ac:dyDescent="0.2">
      <c r="A22" s="4">
        <v>21</v>
      </c>
      <c r="B22" s="4">
        <f t="shared" si="0"/>
        <v>15120</v>
      </c>
      <c r="C22" s="27">
        <f>B22*YC_Rates!$D$2</f>
        <v>142.88400000000001</v>
      </c>
      <c r="D22" s="4">
        <v>21</v>
      </c>
      <c r="E22" s="4">
        <f t="shared" si="1"/>
        <v>15120</v>
      </c>
      <c r="F22" s="27">
        <f>E22*YC_Rates!$D$3</f>
        <v>38.102400000000003</v>
      </c>
    </row>
    <row r="23" spans="1:6" x14ac:dyDescent="0.2">
      <c r="A23" s="4">
        <v>22</v>
      </c>
      <c r="B23" s="4">
        <f t="shared" si="0"/>
        <v>15840</v>
      </c>
      <c r="C23" s="27">
        <f>B23*YC_Rates!$D$2</f>
        <v>149.68799999999999</v>
      </c>
      <c r="D23" s="4">
        <v>22</v>
      </c>
      <c r="E23" s="4">
        <f t="shared" si="1"/>
        <v>15840</v>
      </c>
      <c r="F23" s="27">
        <f>E23*YC_Rates!$D$3</f>
        <v>39.916800000000002</v>
      </c>
    </row>
    <row r="24" spans="1:6" x14ac:dyDescent="0.2">
      <c r="A24" s="4">
        <v>23</v>
      </c>
      <c r="B24" s="4">
        <f t="shared" si="0"/>
        <v>16560</v>
      </c>
      <c r="C24" s="27">
        <f>B24*YC_Rates!$D$2</f>
        <v>156.49199999999999</v>
      </c>
      <c r="D24" s="4">
        <v>23</v>
      </c>
      <c r="E24" s="4">
        <f t="shared" si="1"/>
        <v>16560</v>
      </c>
      <c r="F24" s="27">
        <f>E24*YC_Rates!$D$3</f>
        <v>41.731200000000001</v>
      </c>
    </row>
    <row r="25" spans="1:6" x14ac:dyDescent="0.2">
      <c r="A25" s="4">
        <v>24</v>
      </c>
      <c r="B25" s="4">
        <f t="shared" si="0"/>
        <v>17280</v>
      </c>
      <c r="C25" s="27">
        <f>B25*YC_Rates!$D$2</f>
        <v>163.29599999999999</v>
      </c>
      <c r="D25" s="4">
        <v>24</v>
      </c>
      <c r="E25" s="4">
        <f t="shared" si="1"/>
        <v>17280</v>
      </c>
      <c r="F25" s="27">
        <f>E25*YC_Rates!$D$3</f>
        <v>43.5456</v>
      </c>
    </row>
    <row r="26" spans="1:6" x14ac:dyDescent="0.2">
      <c r="A26" s="4">
        <v>25</v>
      </c>
      <c r="B26" s="4">
        <f t="shared" si="0"/>
        <v>18000</v>
      </c>
      <c r="C26" s="27">
        <f>B26*YC_Rates!$D$2</f>
        <v>170.1</v>
      </c>
      <c r="D26" s="4">
        <v>25</v>
      </c>
      <c r="E26" s="4">
        <f t="shared" si="1"/>
        <v>18000</v>
      </c>
      <c r="F26" s="27">
        <f>E26*YC_Rates!$D$3</f>
        <v>45.36</v>
      </c>
    </row>
    <row r="27" spans="1:6" x14ac:dyDescent="0.2">
      <c r="A27" s="4">
        <v>26</v>
      </c>
      <c r="B27" s="4">
        <f t="shared" si="0"/>
        <v>18720</v>
      </c>
      <c r="C27" s="27">
        <f>B27*YC_Rates!$D$2</f>
        <v>176.904</v>
      </c>
      <c r="D27" s="4">
        <v>26</v>
      </c>
      <c r="E27" s="4">
        <f t="shared" si="1"/>
        <v>18720</v>
      </c>
      <c r="F27" s="27">
        <f>E27*YC_Rates!$D$3</f>
        <v>47.174399999999999</v>
      </c>
    </row>
    <row r="28" spans="1:6" x14ac:dyDescent="0.2">
      <c r="A28" s="4">
        <v>27</v>
      </c>
      <c r="B28" s="4">
        <f t="shared" si="0"/>
        <v>19440</v>
      </c>
      <c r="C28" s="27">
        <f>B28*YC_Rates!$D$2</f>
        <v>183.708</v>
      </c>
      <c r="D28" s="4">
        <v>27</v>
      </c>
      <c r="E28" s="4">
        <f t="shared" si="1"/>
        <v>19440</v>
      </c>
      <c r="F28" s="27">
        <f>E28*YC_Rates!$D$3</f>
        <v>48.988800000000005</v>
      </c>
    </row>
    <row r="29" spans="1:6" x14ac:dyDescent="0.2">
      <c r="A29" s="4">
        <v>28</v>
      </c>
      <c r="B29" s="4">
        <f t="shared" si="0"/>
        <v>20160</v>
      </c>
      <c r="C29" s="27">
        <f>B29*YC_Rates!$D$2</f>
        <v>190.512</v>
      </c>
      <c r="D29" s="4">
        <v>28</v>
      </c>
      <c r="E29" s="4">
        <f t="shared" si="1"/>
        <v>20160</v>
      </c>
      <c r="F29" s="27">
        <f>E29*YC_Rates!$D$3</f>
        <v>50.803200000000004</v>
      </c>
    </row>
    <row r="30" spans="1:6" x14ac:dyDescent="0.2">
      <c r="A30" s="4">
        <v>29</v>
      </c>
      <c r="B30" s="4">
        <f t="shared" si="0"/>
        <v>20880</v>
      </c>
      <c r="C30" s="27">
        <f>B30*YC_Rates!$D$2</f>
        <v>197.316</v>
      </c>
      <c r="D30" s="4">
        <v>29</v>
      </c>
      <c r="E30" s="4">
        <f t="shared" si="1"/>
        <v>20880</v>
      </c>
      <c r="F30" s="27">
        <f>E30*YC_Rates!$D$3</f>
        <v>52.617600000000003</v>
      </c>
    </row>
    <row r="31" spans="1:6" x14ac:dyDescent="0.2">
      <c r="A31" s="4">
        <v>30</v>
      </c>
      <c r="B31" s="4">
        <f t="shared" si="0"/>
        <v>21600</v>
      </c>
      <c r="C31" s="27">
        <f>B31*YC_Rates!$D$2</f>
        <v>204.12</v>
      </c>
      <c r="D31" s="4">
        <v>30</v>
      </c>
      <c r="E31" s="4">
        <f t="shared" si="1"/>
        <v>21600</v>
      </c>
      <c r="F31" s="27">
        <f>E31*YC_Rates!$D$3</f>
        <v>54.432000000000002</v>
      </c>
    </row>
    <row r="32" spans="1:6" x14ac:dyDescent="0.2">
      <c r="A32" s="4">
        <v>31</v>
      </c>
      <c r="B32" s="4">
        <f t="shared" si="0"/>
        <v>22320</v>
      </c>
      <c r="C32" s="27">
        <f>B32*YC_Rates!$D$2</f>
        <v>210.92400000000001</v>
      </c>
      <c r="D32" s="4">
        <v>31</v>
      </c>
      <c r="E32" s="4">
        <f t="shared" si="1"/>
        <v>22320</v>
      </c>
      <c r="F32" s="27">
        <f>E32*YC_Rates!$D$3</f>
        <v>56.246400000000001</v>
      </c>
    </row>
    <row r="33" spans="1:6" x14ac:dyDescent="0.2">
      <c r="A33" s="4">
        <v>32</v>
      </c>
      <c r="B33" s="4">
        <f t="shared" si="0"/>
        <v>23040</v>
      </c>
      <c r="C33" s="27">
        <f>B33*YC_Rates!$D$2</f>
        <v>217.72800000000001</v>
      </c>
      <c r="D33" s="4">
        <v>32</v>
      </c>
      <c r="E33" s="4">
        <f t="shared" si="1"/>
        <v>23040</v>
      </c>
      <c r="F33" s="27">
        <f>E33*YC_Rates!$D$3</f>
        <v>58.0608</v>
      </c>
    </row>
    <row r="34" spans="1:6" x14ac:dyDescent="0.2">
      <c r="A34" s="4"/>
      <c r="B34" s="4"/>
      <c r="C34" s="4"/>
      <c r="D34" s="4">
        <v>33</v>
      </c>
      <c r="E34" s="4">
        <f t="shared" ref="E34:E65" si="2">$H$2*D34</f>
        <v>23760</v>
      </c>
      <c r="F34" s="27">
        <f>E34*YC_Rates!$D$3</f>
        <v>59.8752</v>
      </c>
    </row>
    <row r="35" spans="1:6" x14ac:dyDescent="0.2">
      <c r="A35" s="4"/>
      <c r="B35" s="4"/>
      <c r="C35" s="4"/>
      <c r="D35" s="4">
        <v>34</v>
      </c>
      <c r="E35" s="4">
        <f t="shared" si="2"/>
        <v>24480</v>
      </c>
      <c r="F35" s="27">
        <f>E35*YC_Rates!$D$3</f>
        <v>61.689600000000006</v>
      </c>
    </row>
    <row r="36" spans="1:6" x14ac:dyDescent="0.2">
      <c r="A36" s="4"/>
      <c r="B36" s="4"/>
      <c r="C36" s="4"/>
      <c r="D36" s="4">
        <v>35</v>
      </c>
      <c r="E36" s="4">
        <f t="shared" si="2"/>
        <v>25200</v>
      </c>
      <c r="F36" s="27">
        <f>E36*YC_Rates!$D$3</f>
        <v>63.504000000000005</v>
      </c>
    </row>
    <row r="37" spans="1:6" x14ac:dyDescent="0.2">
      <c r="A37" s="4"/>
      <c r="B37" s="4"/>
      <c r="C37" s="4"/>
      <c r="D37" s="4">
        <v>36</v>
      </c>
      <c r="E37" s="4">
        <f t="shared" si="2"/>
        <v>25920</v>
      </c>
      <c r="F37" s="27">
        <f>E37*YC_Rates!$D$3</f>
        <v>65.318399999999997</v>
      </c>
    </row>
    <row r="38" spans="1:6" x14ac:dyDescent="0.2">
      <c r="A38" s="4"/>
      <c r="B38" s="4"/>
      <c r="C38" s="4"/>
      <c r="D38" s="4">
        <v>37</v>
      </c>
      <c r="E38" s="4">
        <f t="shared" si="2"/>
        <v>26640</v>
      </c>
      <c r="F38" s="27">
        <f>E38*YC_Rates!$D$3</f>
        <v>67.132800000000003</v>
      </c>
    </row>
    <row r="39" spans="1:6" x14ac:dyDescent="0.2">
      <c r="A39" s="4"/>
      <c r="B39" s="4"/>
      <c r="C39" s="4"/>
      <c r="D39" s="4">
        <v>38</v>
      </c>
      <c r="E39" s="4">
        <f t="shared" si="2"/>
        <v>27360</v>
      </c>
      <c r="F39" s="27">
        <f>E39*YC_Rates!$D$3</f>
        <v>68.947200000000009</v>
      </c>
    </row>
    <row r="40" spans="1:6" x14ac:dyDescent="0.2">
      <c r="A40" s="4"/>
      <c r="B40" s="4"/>
      <c r="C40" s="4"/>
      <c r="D40" s="4">
        <v>39</v>
      </c>
      <c r="E40" s="4">
        <f t="shared" si="2"/>
        <v>28080</v>
      </c>
      <c r="F40" s="27">
        <f>E40*YC_Rates!$D$3</f>
        <v>70.761600000000001</v>
      </c>
    </row>
    <row r="41" spans="1:6" x14ac:dyDescent="0.2">
      <c r="A41" s="4"/>
      <c r="B41" s="4"/>
      <c r="C41" s="4"/>
      <c r="D41" s="4">
        <v>40</v>
      </c>
      <c r="E41" s="4">
        <f t="shared" si="2"/>
        <v>28800</v>
      </c>
      <c r="F41" s="27">
        <f>E41*YC_Rates!$D$3</f>
        <v>72.576000000000008</v>
      </c>
    </row>
    <row r="42" spans="1:6" x14ac:dyDescent="0.2">
      <c r="A42" s="4"/>
      <c r="B42" s="4"/>
      <c r="C42" s="4"/>
      <c r="D42" s="4">
        <v>41</v>
      </c>
      <c r="E42" s="4">
        <f t="shared" si="2"/>
        <v>29520</v>
      </c>
      <c r="F42" s="27">
        <f>E42*YC_Rates!$D$3</f>
        <v>74.3904</v>
      </c>
    </row>
    <row r="43" spans="1:6" x14ac:dyDescent="0.2">
      <c r="A43" s="4"/>
      <c r="B43" s="4"/>
      <c r="C43" s="4"/>
      <c r="D43" s="4">
        <v>42</v>
      </c>
      <c r="E43" s="4">
        <f t="shared" si="2"/>
        <v>30240</v>
      </c>
      <c r="F43" s="27">
        <f>E43*YC_Rates!$D$3</f>
        <v>76.204800000000006</v>
      </c>
    </row>
    <row r="44" spans="1:6" x14ac:dyDescent="0.2">
      <c r="A44" s="4"/>
      <c r="B44" s="4"/>
      <c r="C44" s="4"/>
      <c r="D44" s="4">
        <v>43</v>
      </c>
      <c r="E44" s="4">
        <f t="shared" si="2"/>
        <v>30960</v>
      </c>
      <c r="F44" s="27">
        <f>E44*YC_Rates!$D$3</f>
        <v>78.019199999999998</v>
      </c>
    </row>
    <row r="45" spans="1:6" x14ac:dyDescent="0.2">
      <c r="A45" s="4"/>
      <c r="B45" s="4"/>
      <c r="C45" s="4"/>
      <c r="D45" s="4">
        <v>44</v>
      </c>
      <c r="E45" s="4">
        <f t="shared" si="2"/>
        <v>31680</v>
      </c>
      <c r="F45" s="27">
        <f>E45*YC_Rates!$D$3</f>
        <v>79.833600000000004</v>
      </c>
    </row>
    <row r="46" spans="1:6" x14ac:dyDescent="0.2">
      <c r="A46" s="4"/>
      <c r="B46" s="4"/>
      <c r="C46" s="4"/>
      <c r="D46" s="4">
        <v>45</v>
      </c>
      <c r="E46" s="4">
        <f t="shared" si="2"/>
        <v>32400</v>
      </c>
      <c r="F46" s="27">
        <f>E46*YC_Rates!$D$3</f>
        <v>81.64800000000001</v>
      </c>
    </row>
    <row r="47" spans="1:6" x14ac:dyDescent="0.2">
      <c r="A47" s="4"/>
      <c r="B47" s="4"/>
      <c r="C47" s="4"/>
      <c r="D47" s="4">
        <v>46</v>
      </c>
      <c r="E47" s="4">
        <f t="shared" si="2"/>
        <v>33120</v>
      </c>
      <c r="F47" s="27">
        <f>E47*YC_Rates!$D$3</f>
        <v>83.462400000000002</v>
      </c>
    </row>
    <row r="48" spans="1:6" x14ac:dyDescent="0.2">
      <c r="A48" s="4"/>
      <c r="B48" s="4"/>
      <c r="C48" s="4"/>
      <c r="D48" s="4">
        <v>47</v>
      </c>
      <c r="E48" s="4">
        <f t="shared" si="2"/>
        <v>33840</v>
      </c>
      <c r="F48" s="27">
        <f>E48*YC_Rates!$D$3</f>
        <v>85.276800000000009</v>
      </c>
    </row>
    <row r="49" spans="1:6" x14ac:dyDescent="0.2">
      <c r="A49" s="4"/>
      <c r="B49" s="4"/>
      <c r="C49" s="4"/>
      <c r="D49" s="4">
        <v>48</v>
      </c>
      <c r="E49" s="4">
        <f t="shared" si="2"/>
        <v>34560</v>
      </c>
      <c r="F49" s="27">
        <f>E49*YC_Rates!$D$3</f>
        <v>87.091200000000001</v>
      </c>
    </row>
    <row r="50" spans="1:6" x14ac:dyDescent="0.2">
      <c r="A50" s="4"/>
      <c r="B50" s="4"/>
      <c r="C50" s="4"/>
      <c r="D50" s="4">
        <v>49</v>
      </c>
      <c r="E50" s="4">
        <f t="shared" si="2"/>
        <v>35280</v>
      </c>
      <c r="F50" s="27">
        <f>E50*YC_Rates!$D$3</f>
        <v>88.905600000000007</v>
      </c>
    </row>
    <row r="51" spans="1:6" x14ac:dyDescent="0.2">
      <c r="A51" s="4"/>
      <c r="B51" s="4"/>
      <c r="C51" s="4"/>
      <c r="D51" s="4">
        <v>50</v>
      </c>
      <c r="E51" s="4">
        <f t="shared" si="2"/>
        <v>36000</v>
      </c>
      <c r="F51" s="27">
        <f>E51*YC_Rates!$D$3</f>
        <v>90.72</v>
      </c>
    </row>
    <row r="52" spans="1:6" x14ac:dyDescent="0.2">
      <c r="A52" s="4"/>
      <c r="B52" s="4"/>
      <c r="C52" s="4"/>
      <c r="D52" s="4">
        <v>51</v>
      </c>
      <c r="E52" s="4">
        <f t="shared" si="2"/>
        <v>36720</v>
      </c>
      <c r="F52" s="27">
        <f>E52*YC_Rates!$D$3</f>
        <v>92.534400000000005</v>
      </c>
    </row>
    <row r="53" spans="1:6" x14ac:dyDescent="0.2">
      <c r="A53" s="4"/>
      <c r="B53" s="4"/>
      <c r="C53" s="4"/>
      <c r="D53" s="4">
        <v>52</v>
      </c>
      <c r="E53" s="4">
        <f t="shared" si="2"/>
        <v>37440</v>
      </c>
      <c r="F53" s="27">
        <f>E53*YC_Rates!$D$3</f>
        <v>94.348799999999997</v>
      </c>
    </row>
    <row r="54" spans="1:6" x14ac:dyDescent="0.2">
      <c r="A54" s="4"/>
      <c r="B54" s="4"/>
      <c r="C54" s="4"/>
      <c r="D54" s="4">
        <v>53</v>
      </c>
      <c r="E54" s="4">
        <f t="shared" si="2"/>
        <v>38160</v>
      </c>
      <c r="F54" s="27">
        <f>E54*YC_Rates!$D$3</f>
        <v>96.163200000000003</v>
      </c>
    </row>
    <row r="55" spans="1:6" x14ac:dyDescent="0.2">
      <c r="A55" s="4"/>
      <c r="B55" s="4"/>
      <c r="C55" s="4"/>
      <c r="D55" s="4">
        <v>54</v>
      </c>
      <c r="E55" s="4">
        <f t="shared" si="2"/>
        <v>38880</v>
      </c>
      <c r="F55" s="27">
        <f>E55*YC_Rates!$D$3</f>
        <v>97.97760000000001</v>
      </c>
    </row>
    <row r="56" spans="1:6" x14ac:dyDescent="0.2">
      <c r="A56" s="4"/>
      <c r="B56" s="4"/>
      <c r="C56" s="4"/>
      <c r="D56" s="4">
        <v>55</v>
      </c>
      <c r="E56" s="4">
        <f t="shared" si="2"/>
        <v>39600</v>
      </c>
      <c r="F56" s="27">
        <f>E56*YC_Rates!$D$3</f>
        <v>99.792000000000002</v>
      </c>
    </row>
    <row r="57" spans="1:6" x14ac:dyDescent="0.2">
      <c r="A57" s="4"/>
      <c r="B57" s="4"/>
      <c r="C57" s="4"/>
      <c r="D57" s="4">
        <v>56</v>
      </c>
      <c r="E57" s="4">
        <f t="shared" si="2"/>
        <v>40320</v>
      </c>
      <c r="F57" s="27">
        <f>E57*YC_Rates!$D$3</f>
        <v>101.60640000000001</v>
      </c>
    </row>
    <row r="58" spans="1:6" x14ac:dyDescent="0.2">
      <c r="A58" s="4"/>
      <c r="B58" s="4"/>
      <c r="C58" s="4"/>
      <c r="D58" s="4">
        <v>57</v>
      </c>
      <c r="E58" s="4">
        <f t="shared" si="2"/>
        <v>41040</v>
      </c>
      <c r="F58" s="27">
        <f>E58*YC_Rates!$D$3</f>
        <v>103.4208</v>
      </c>
    </row>
    <row r="59" spans="1:6" x14ac:dyDescent="0.2">
      <c r="A59" s="4"/>
      <c r="B59" s="4"/>
      <c r="C59" s="4"/>
      <c r="D59" s="4">
        <v>58</v>
      </c>
      <c r="E59" s="4">
        <f t="shared" si="2"/>
        <v>41760</v>
      </c>
      <c r="F59" s="27">
        <f>E59*YC_Rates!$D$3</f>
        <v>105.23520000000001</v>
      </c>
    </row>
    <row r="60" spans="1:6" x14ac:dyDescent="0.2">
      <c r="A60" s="4"/>
      <c r="B60" s="4"/>
      <c r="C60" s="4"/>
      <c r="D60" s="4">
        <v>59</v>
      </c>
      <c r="E60" s="4">
        <f t="shared" si="2"/>
        <v>42480</v>
      </c>
      <c r="F60" s="27">
        <f>E60*YC_Rates!$D$3</f>
        <v>107.0496</v>
      </c>
    </row>
    <row r="61" spans="1:6" x14ac:dyDescent="0.2">
      <c r="A61" s="4"/>
      <c r="B61" s="4"/>
      <c r="C61" s="4"/>
      <c r="D61" s="4">
        <v>60</v>
      </c>
      <c r="E61" s="4">
        <f t="shared" si="2"/>
        <v>43200</v>
      </c>
      <c r="F61" s="27">
        <f>E61*YC_Rates!$D$3</f>
        <v>108.864</v>
      </c>
    </row>
    <row r="62" spans="1:6" x14ac:dyDescent="0.2">
      <c r="A62" s="4"/>
      <c r="B62" s="4"/>
      <c r="C62" s="4"/>
      <c r="D62" s="4">
        <v>61</v>
      </c>
      <c r="E62" s="4">
        <f t="shared" si="2"/>
        <v>43920</v>
      </c>
      <c r="F62" s="27">
        <f>E62*YC_Rates!$D$3</f>
        <v>110.67840000000001</v>
      </c>
    </row>
    <row r="63" spans="1:6" x14ac:dyDescent="0.2">
      <c r="A63" s="4"/>
      <c r="B63" s="4"/>
      <c r="C63" s="4"/>
      <c r="D63" s="4">
        <v>62</v>
      </c>
      <c r="E63" s="4">
        <f t="shared" si="2"/>
        <v>44640</v>
      </c>
      <c r="F63" s="27">
        <f>E63*YC_Rates!$D$3</f>
        <v>112.4928</v>
      </c>
    </row>
    <row r="64" spans="1:6" x14ac:dyDescent="0.2">
      <c r="A64" s="4"/>
      <c r="B64" s="4"/>
      <c r="C64" s="4"/>
      <c r="D64" s="4">
        <v>63</v>
      </c>
      <c r="E64" s="4">
        <f t="shared" si="2"/>
        <v>45360</v>
      </c>
      <c r="F64" s="27">
        <f>E64*YC_Rates!$D$3</f>
        <v>114.30720000000001</v>
      </c>
    </row>
    <row r="65" spans="1:6" x14ac:dyDescent="0.2">
      <c r="A65" s="4"/>
      <c r="B65" s="4"/>
      <c r="C65" s="4"/>
      <c r="D65" s="4">
        <v>64</v>
      </c>
      <c r="E65" s="4">
        <f t="shared" si="2"/>
        <v>46080</v>
      </c>
      <c r="F65" s="27">
        <f>E65*YC_Rates!$D$3</f>
        <v>116.1216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11" customWidth="1"/>
    <col min="2" max="2" width="23" customWidth="1"/>
    <col min="3" max="3" width="24" customWidth="1"/>
    <col min="4" max="4" width="16" customWidth="1"/>
    <col min="5" max="5" width="21" customWidth="1"/>
    <col min="6" max="6" width="42" customWidth="1"/>
    <col min="7" max="7" width="28" customWidth="1"/>
  </cols>
  <sheetData>
    <row r="1" spans="1:7" ht="16" x14ac:dyDescent="0.2">
      <c r="A1" s="1" t="s">
        <v>47</v>
      </c>
      <c r="B1" s="1" t="s">
        <v>48</v>
      </c>
      <c r="C1" s="1" t="s">
        <v>49</v>
      </c>
      <c r="D1" s="1" t="s">
        <v>102</v>
      </c>
      <c r="E1" s="1" t="s">
        <v>103</v>
      </c>
      <c r="F1" s="1" t="s">
        <v>51</v>
      </c>
      <c r="G1" s="1" t="s">
        <v>52</v>
      </c>
    </row>
    <row r="2" spans="1:7" x14ac:dyDescent="0.2">
      <c r="A2" s="2" t="s">
        <v>104</v>
      </c>
      <c r="B2" s="2" t="s">
        <v>105</v>
      </c>
      <c r="C2" s="2" t="s">
        <v>106</v>
      </c>
      <c r="D2" s="2" t="s">
        <v>107</v>
      </c>
      <c r="E2" s="28">
        <v>20</v>
      </c>
      <c r="F2" s="2" t="s">
        <v>108</v>
      </c>
      <c r="G2" s="2" t="s">
        <v>109</v>
      </c>
    </row>
    <row r="3" spans="1:7" x14ac:dyDescent="0.2">
      <c r="A3" s="2" t="s">
        <v>110</v>
      </c>
      <c r="B3" s="2" t="s">
        <v>111</v>
      </c>
      <c r="C3" s="2" t="s">
        <v>82</v>
      </c>
      <c r="D3" s="2" t="s">
        <v>112</v>
      </c>
      <c r="E3" s="28">
        <v>0.15</v>
      </c>
      <c r="F3" s="2" t="s">
        <v>113</v>
      </c>
      <c r="G3" s="2" t="s">
        <v>109</v>
      </c>
    </row>
    <row r="4" spans="1:7" x14ac:dyDescent="0.2">
      <c r="A4" s="2" t="s">
        <v>114</v>
      </c>
      <c r="B4" s="2" t="s">
        <v>115</v>
      </c>
      <c r="C4" s="2" t="s">
        <v>116</v>
      </c>
      <c r="D4" s="2" t="s">
        <v>117</v>
      </c>
      <c r="E4" s="28">
        <v>2</v>
      </c>
      <c r="F4" s="2" t="s">
        <v>118</v>
      </c>
      <c r="G4" s="2" t="s">
        <v>109</v>
      </c>
    </row>
    <row r="5" spans="1:7" x14ac:dyDescent="0.2">
      <c r="A5" s="2" t="s">
        <v>119</v>
      </c>
      <c r="B5" s="2" t="s">
        <v>120</v>
      </c>
      <c r="C5" s="2" t="s">
        <v>121</v>
      </c>
      <c r="D5" s="2" t="s">
        <v>122</v>
      </c>
      <c r="E5" s="28">
        <v>0.6</v>
      </c>
      <c r="F5" s="2" t="s">
        <v>118</v>
      </c>
      <c r="G5" s="2" t="s">
        <v>109</v>
      </c>
    </row>
    <row r="6" spans="1:7" x14ac:dyDescent="0.2">
      <c r="A6" s="2" t="s">
        <v>119</v>
      </c>
      <c r="B6" s="2" t="s">
        <v>123</v>
      </c>
      <c r="C6" s="2" t="s">
        <v>124</v>
      </c>
      <c r="D6" s="2" t="s">
        <v>125</v>
      </c>
      <c r="E6" s="28">
        <v>0.128</v>
      </c>
      <c r="F6" s="2" t="s">
        <v>126</v>
      </c>
      <c r="G6" s="2" t="s">
        <v>109</v>
      </c>
    </row>
    <row r="7" spans="1:7" x14ac:dyDescent="0.2">
      <c r="A7" s="2" t="s">
        <v>119</v>
      </c>
      <c r="B7" s="2" t="s">
        <v>127</v>
      </c>
      <c r="C7" s="2" t="s">
        <v>59</v>
      </c>
      <c r="D7" s="2" t="s">
        <v>128</v>
      </c>
      <c r="E7" s="28">
        <v>1.06E-2</v>
      </c>
      <c r="F7" s="2" t="s">
        <v>129</v>
      </c>
      <c r="G7" s="2" t="s">
        <v>109</v>
      </c>
    </row>
    <row r="8" spans="1:7" x14ac:dyDescent="0.2">
      <c r="A8" s="2" t="s">
        <v>104</v>
      </c>
      <c r="B8" s="2" t="s">
        <v>130</v>
      </c>
      <c r="C8" s="2" t="s">
        <v>131</v>
      </c>
      <c r="D8" s="2" t="s">
        <v>132</v>
      </c>
      <c r="E8" s="28">
        <v>20</v>
      </c>
      <c r="F8" s="2" t="s">
        <v>133</v>
      </c>
      <c r="G8" s="2" t="s">
        <v>109</v>
      </c>
    </row>
    <row r="12" spans="1:7" ht="112" x14ac:dyDescent="0.2">
      <c r="A12" s="11" t="s">
        <v>134</v>
      </c>
      <c r="B12" s="11" t="s">
        <v>135</v>
      </c>
      <c r="C12" s="11" t="s">
        <v>90</v>
      </c>
      <c r="D12" s="26">
        <v>0</v>
      </c>
      <c r="E12" s="11" t="s">
        <v>136</v>
      </c>
      <c r="F12" s="11" t="s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pane ySplit="1" topLeftCell="A2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21" customWidth="1"/>
    <col min="4" max="5" width="10" customWidth="1"/>
    <col min="6" max="6" width="23" customWidth="1"/>
    <col min="7" max="7" width="33" customWidth="1"/>
  </cols>
  <sheetData>
    <row r="1" spans="1:7" ht="16" x14ac:dyDescent="0.2">
      <c r="A1" s="1" t="s">
        <v>138</v>
      </c>
      <c r="B1" s="1" t="s">
        <v>104</v>
      </c>
      <c r="C1" s="1" t="s">
        <v>139</v>
      </c>
      <c r="D1" s="1" t="s">
        <v>140</v>
      </c>
      <c r="E1" s="1" t="s">
        <v>141</v>
      </c>
      <c r="F1" s="1" t="s">
        <v>51</v>
      </c>
      <c r="G1" s="1" t="s">
        <v>52</v>
      </c>
    </row>
    <row r="2" spans="1:7" x14ac:dyDescent="0.2">
      <c r="A2" s="2" t="s">
        <v>142</v>
      </c>
      <c r="B2" s="2" t="s">
        <v>143</v>
      </c>
      <c r="C2" s="3">
        <v>5</v>
      </c>
      <c r="D2" s="2" t="s">
        <v>144</v>
      </c>
      <c r="E2" s="2"/>
      <c r="F2" s="2" t="s">
        <v>145</v>
      </c>
      <c r="G2" s="2" t="s">
        <v>146</v>
      </c>
    </row>
    <row r="3" spans="1:7" x14ac:dyDescent="0.2">
      <c r="A3" s="2" t="s">
        <v>142</v>
      </c>
      <c r="B3" s="2" t="s">
        <v>147</v>
      </c>
      <c r="C3" s="28">
        <v>7</v>
      </c>
      <c r="D3" s="2" t="s">
        <v>144</v>
      </c>
      <c r="E3" s="2"/>
      <c r="F3" s="2" t="s">
        <v>148</v>
      </c>
      <c r="G3" s="2" t="s">
        <v>146</v>
      </c>
    </row>
    <row r="4" spans="1:7" x14ac:dyDescent="0.2">
      <c r="A4" s="2" t="s">
        <v>142</v>
      </c>
      <c r="B4" s="2" t="s">
        <v>149</v>
      </c>
      <c r="C4" s="28">
        <v>25</v>
      </c>
      <c r="D4" s="2" t="s">
        <v>144</v>
      </c>
      <c r="E4" s="2"/>
      <c r="F4" s="2"/>
      <c r="G4" s="2" t="s">
        <v>146</v>
      </c>
    </row>
    <row r="5" spans="1:7" x14ac:dyDescent="0.2">
      <c r="A5" s="2" t="s">
        <v>142</v>
      </c>
      <c r="B5" s="2" t="s">
        <v>150</v>
      </c>
      <c r="C5" s="28">
        <v>50</v>
      </c>
      <c r="D5" s="2" t="s">
        <v>151</v>
      </c>
      <c r="E5" s="2"/>
      <c r="F5" s="2"/>
      <c r="G5" s="2" t="s">
        <v>146</v>
      </c>
    </row>
    <row r="6" spans="1:7" x14ac:dyDescent="0.2">
      <c r="A6" s="2" t="s">
        <v>142</v>
      </c>
      <c r="B6" s="2" t="s">
        <v>152</v>
      </c>
      <c r="C6" s="28">
        <v>250</v>
      </c>
      <c r="D6" s="2" t="s">
        <v>153</v>
      </c>
      <c r="E6" s="2"/>
      <c r="F6" s="2"/>
      <c r="G6" s="2" t="s">
        <v>146</v>
      </c>
    </row>
    <row r="7" spans="1:7" x14ac:dyDescent="0.2">
      <c r="A7" s="2" t="s">
        <v>142</v>
      </c>
      <c r="B7" s="2" t="s">
        <v>154</v>
      </c>
      <c r="C7" s="28">
        <v>500</v>
      </c>
      <c r="D7" s="2" t="s">
        <v>155</v>
      </c>
      <c r="E7" s="2"/>
      <c r="F7" s="2"/>
      <c r="G7" s="2" t="s">
        <v>146</v>
      </c>
    </row>
    <row r="8" spans="1:7" x14ac:dyDescent="0.2">
      <c r="A8" s="2" t="s">
        <v>156</v>
      </c>
      <c r="B8" s="2" t="s">
        <v>157</v>
      </c>
      <c r="C8" s="28">
        <v>5</v>
      </c>
      <c r="D8" s="2"/>
      <c r="E8" s="2" t="s">
        <v>151</v>
      </c>
      <c r="F8" s="2"/>
      <c r="G8" s="2" t="s">
        <v>146</v>
      </c>
    </row>
    <row r="9" spans="1:7" x14ac:dyDescent="0.2">
      <c r="A9" s="2" t="s">
        <v>156</v>
      </c>
      <c r="B9" s="2" t="s">
        <v>158</v>
      </c>
      <c r="C9" s="28">
        <v>9</v>
      </c>
      <c r="D9" s="2"/>
      <c r="E9" s="2" t="s">
        <v>159</v>
      </c>
      <c r="F9" s="2"/>
      <c r="G9" s="2" t="s">
        <v>146</v>
      </c>
    </row>
    <row r="10" spans="1:7" x14ac:dyDescent="0.2">
      <c r="A10" s="2" t="s">
        <v>156</v>
      </c>
      <c r="B10" s="2" t="s">
        <v>160</v>
      </c>
      <c r="C10" s="28">
        <v>20</v>
      </c>
      <c r="D10" s="2"/>
      <c r="E10" s="2" t="s">
        <v>161</v>
      </c>
      <c r="F10" s="2"/>
      <c r="G10" s="2" t="s">
        <v>146</v>
      </c>
    </row>
    <row r="11" spans="1:7" x14ac:dyDescent="0.2">
      <c r="A11" s="2" t="s">
        <v>156</v>
      </c>
      <c r="B11" s="2" t="s">
        <v>162</v>
      </c>
      <c r="C11" s="28">
        <v>50</v>
      </c>
      <c r="D11" s="2" t="s">
        <v>163</v>
      </c>
      <c r="E11" s="2" t="s">
        <v>164</v>
      </c>
      <c r="F11" s="2"/>
      <c r="G11" s="2" t="s">
        <v>146</v>
      </c>
    </row>
    <row r="12" spans="1:7" x14ac:dyDescent="0.2">
      <c r="A12" s="2" t="s">
        <v>156</v>
      </c>
      <c r="B12" s="2" t="s">
        <v>165</v>
      </c>
      <c r="C12" s="28">
        <v>200</v>
      </c>
      <c r="D12" s="2" t="s">
        <v>166</v>
      </c>
      <c r="E12" s="2" t="s">
        <v>167</v>
      </c>
      <c r="F12" s="2"/>
      <c r="G12" s="2" t="s">
        <v>146</v>
      </c>
    </row>
    <row r="13" spans="1:7" x14ac:dyDescent="0.2">
      <c r="A13" s="2" t="s">
        <v>156</v>
      </c>
      <c r="B13" s="2" t="s">
        <v>168</v>
      </c>
      <c r="C13" s="28">
        <v>400</v>
      </c>
      <c r="D13" s="2" t="s">
        <v>169</v>
      </c>
      <c r="E13" s="2" t="s">
        <v>170</v>
      </c>
      <c r="F13" s="2"/>
      <c r="G13" s="2" t="s">
        <v>146</v>
      </c>
    </row>
    <row r="14" spans="1:7" x14ac:dyDescent="0.2">
      <c r="A14" s="2" t="s">
        <v>171</v>
      </c>
      <c r="B14" s="2" t="s">
        <v>172</v>
      </c>
      <c r="C14" s="28">
        <v>3</v>
      </c>
      <c r="D14" s="2" t="s">
        <v>173</v>
      </c>
      <c r="E14" s="2"/>
      <c r="F14" s="2"/>
      <c r="G14" s="2" t="s">
        <v>146</v>
      </c>
    </row>
    <row r="15" spans="1:7" x14ac:dyDescent="0.2">
      <c r="A15" s="2" t="s">
        <v>171</v>
      </c>
      <c r="B15" s="2" t="s">
        <v>174</v>
      </c>
      <c r="C15" s="28">
        <v>15</v>
      </c>
      <c r="D15" s="2" t="s">
        <v>175</v>
      </c>
      <c r="E15" s="2"/>
      <c r="F15" s="2"/>
      <c r="G15" s="2" t="s">
        <v>146</v>
      </c>
    </row>
    <row r="16" spans="1:7" x14ac:dyDescent="0.2">
      <c r="A16" s="2" t="s">
        <v>171</v>
      </c>
      <c r="B16" s="2" t="s">
        <v>176</v>
      </c>
      <c r="C16" s="28">
        <v>30</v>
      </c>
      <c r="D16" s="2" t="s">
        <v>177</v>
      </c>
      <c r="E16" s="2"/>
      <c r="F16" s="2"/>
      <c r="G16" s="2" t="s">
        <v>146</v>
      </c>
    </row>
    <row r="17" spans="1:7" x14ac:dyDescent="0.2">
      <c r="A17" s="2" t="s">
        <v>171</v>
      </c>
      <c r="B17" s="2" t="s">
        <v>178</v>
      </c>
      <c r="C17" s="28">
        <v>60</v>
      </c>
      <c r="D17" s="2" t="s">
        <v>179</v>
      </c>
      <c r="E17" s="2"/>
      <c r="F17" s="2"/>
      <c r="G17" s="2" t="s">
        <v>146</v>
      </c>
    </row>
    <row r="18" spans="1:7" x14ac:dyDescent="0.2">
      <c r="A18" s="2" t="s">
        <v>171</v>
      </c>
      <c r="B18" s="2" t="s">
        <v>180</v>
      </c>
      <c r="C18" s="28">
        <v>120</v>
      </c>
      <c r="D18" s="2" t="s">
        <v>181</v>
      </c>
      <c r="E18" s="2"/>
      <c r="F18" s="2"/>
      <c r="G18" s="2" t="s">
        <v>146</v>
      </c>
    </row>
    <row r="19" spans="1:7" x14ac:dyDescent="0.2">
      <c r="A19" s="2" t="s">
        <v>171</v>
      </c>
      <c r="B19" s="2" t="s">
        <v>182</v>
      </c>
      <c r="C19" s="28">
        <v>200</v>
      </c>
      <c r="D19" s="2" t="s">
        <v>151</v>
      </c>
      <c r="E19" s="2"/>
      <c r="F19" s="2"/>
      <c r="G19" s="2" t="s">
        <v>146</v>
      </c>
    </row>
    <row r="20" spans="1:7" ht="176" x14ac:dyDescent="0.2">
      <c r="A20" s="11" t="s">
        <v>134</v>
      </c>
      <c r="B20" s="11" t="s">
        <v>183</v>
      </c>
      <c r="C20" s="11" t="s">
        <v>184</v>
      </c>
      <c r="D20" s="26">
        <v>0.13200000000000001</v>
      </c>
      <c r="E20" s="11" t="s">
        <v>185</v>
      </c>
      <c r="F20" s="11" t="s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7" customWidth="1"/>
    <col min="3" max="3" width="13" customWidth="1"/>
    <col min="4" max="4" width="17" customWidth="1"/>
    <col min="5" max="5" width="22" customWidth="1"/>
    <col min="6" max="6" width="19" customWidth="1"/>
    <col min="7" max="7" width="31" customWidth="1"/>
    <col min="8" max="8" width="30" customWidth="1"/>
    <col min="9" max="9" width="14" customWidth="1"/>
    <col min="10" max="10" width="13" customWidth="1"/>
    <col min="11" max="11" width="15" customWidth="1"/>
    <col min="12" max="12" width="18" customWidth="1"/>
    <col min="13" max="13" width="16" customWidth="1"/>
    <col min="14" max="14" width="13" customWidth="1"/>
    <col min="15" max="15" width="17" customWidth="1"/>
    <col min="16" max="16" width="16" customWidth="1"/>
    <col min="17" max="17" width="17" customWidth="1"/>
    <col min="18" max="18" width="20" customWidth="1"/>
    <col min="19" max="19" width="12" customWidth="1"/>
    <col min="20" max="20" width="15" customWidth="1"/>
  </cols>
  <sheetData>
    <row r="1" spans="1:20" ht="16" x14ac:dyDescent="0.2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</row>
    <row r="2" spans="1:20" x14ac:dyDescent="0.2">
      <c r="A2" s="2" t="s">
        <v>207</v>
      </c>
      <c r="B2" s="2" t="s">
        <v>208</v>
      </c>
      <c r="C2" s="6">
        <v>100000</v>
      </c>
      <c r="D2" s="6">
        <v>50</v>
      </c>
      <c r="E2" s="7">
        <v>0.15</v>
      </c>
      <c r="F2" s="7">
        <v>0.05</v>
      </c>
      <c r="G2" s="7">
        <v>20</v>
      </c>
      <c r="H2" s="7">
        <v>0.15</v>
      </c>
      <c r="I2" s="7">
        <v>0.5</v>
      </c>
      <c r="J2" s="2">
        <v>1</v>
      </c>
      <c r="K2" s="2">
        <v>1</v>
      </c>
      <c r="L2" s="2" t="s">
        <v>209</v>
      </c>
      <c r="M2" s="2">
        <v>20</v>
      </c>
      <c r="N2" s="2">
        <v>1</v>
      </c>
      <c r="O2" s="2">
        <v>2</v>
      </c>
      <c r="P2" s="2">
        <v>4</v>
      </c>
      <c r="Q2" s="2" t="s">
        <v>209</v>
      </c>
      <c r="R2" s="2">
        <v>20</v>
      </c>
      <c r="S2" s="2">
        <v>1</v>
      </c>
      <c r="T2" s="2" t="s">
        <v>210</v>
      </c>
    </row>
    <row r="3" spans="1:20" x14ac:dyDescent="0.2">
      <c r="A3" s="2" t="s">
        <v>211</v>
      </c>
      <c r="B3" s="2" t="s">
        <v>212</v>
      </c>
      <c r="C3" s="6">
        <v>1000000</v>
      </c>
      <c r="D3" s="6">
        <v>200</v>
      </c>
      <c r="E3" s="7">
        <v>0.35</v>
      </c>
      <c r="F3" s="7">
        <v>0.1</v>
      </c>
      <c r="G3" s="7">
        <v>35</v>
      </c>
      <c r="H3" s="7">
        <v>0.25</v>
      </c>
      <c r="I3" s="7">
        <v>0.75</v>
      </c>
      <c r="J3" s="2">
        <v>2</v>
      </c>
      <c r="K3" s="2">
        <v>4</v>
      </c>
      <c r="L3" s="2" t="s">
        <v>213</v>
      </c>
      <c r="M3" s="2">
        <v>50</v>
      </c>
      <c r="N3" s="2">
        <v>2</v>
      </c>
      <c r="O3" s="2">
        <v>2</v>
      </c>
      <c r="P3" s="2">
        <v>8</v>
      </c>
      <c r="Q3" s="2" t="s">
        <v>213</v>
      </c>
      <c r="R3" s="2">
        <v>50</v>
      </c>
      <c r="S3" s="2">
        <v>1</v>
      </c>
      <c r="T3" s="2" t="s">
        <v>210</v>
      </c>
    </row>
    <row r="4" spans="1:20" x14ac:dyDescent="0.2">
      <c r="A4" s="2" t="s">
        <v>214</v>
      </c>
      <c r="B4" s="2" t="s">
        <v>215</v>
      </c>
      <c r="C4" s="6">
        <v>10000000</v>
      </c>
      <c r="D4" s="6">
        <v>1000</v>
      </c>
      <c r="E4" s="7">
        <v>0.7</v>
      </c>
      <c r="F4" s="7">
        <v>0.15</v>
      </c>
      <c r="G4" s="7">
        <v>50</v>
      </c>
      <c r="H4" s="7">
        <v>0.35</v>
      </c>
      <c r="I4" s="7">
        <v>1</v>
      </c>
      <c r="J4" s="2">
        <v>4</v>
      </c>
      <c r="K4" s="2">
        <v>8</v>
      </c>
      <c r="L4" s="2" t="s">
        <v>213</v>
      </c>
      <c r="M4" s="2">
        <v>100</v>
      </c>
      <c r="N4" s="2">
        <v>3</v>
      </c>
      <c r="O4" s="2">
        <v>4</v>
      </c>
      <c r="P4" s="2">
        <v>16</v>
      </c>
      <c r="Q4" s="2" t="s">
        <v>213</v>
      </c>
      <c r="R4" s="2">
        <v>100</v>
      </c>
      <c r="S4" s="2">
        <v>2</v>
      </c>
      <c r="T4" s="2" t="s">
        <v>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52" customWidth="1"/>
  </cols>
  <sheetData>
    <row r="1" spans="1:2" ht="16" x14ac:dyDescent="0.2">
      <c r="A1" s="1" t="s">
        <v>216</v>
      </c>
      <c r="B1" s="1" t="s">
        <v>217</v>
      </c>
    </row>
    <row r="2" spans="1:2" x14ac:dyDescent="0.2">
      <c r="A2" s="2" t="s">
        <v>36</v>
      </c>
      <c r="B2" s="2" t="s">
        <v>109</v>
      </c>
    </row>
    <row r="3" spans="1:2" x14ac:dyDescent="0.2">
      <c r="A3" s="2" t="s">
        <v>38</v>
      </c>
      <c r="B3" s="2" t="s">
        <v>146</v>
      </c>
    </row>
    <row r="4" spans="1:2" x14ac:dyDescent="0.2">
      <c r="A4" s="2" t="s">
        <v>40</v>
      </c>
      <c r="B4" s="2" t="s">
        <v>57</v>
      </c>
    </row>
    <row r="5" spans="1:2" x14ac:dyDescent="0.2">
      <c r="A5" s="2" t="s">
        <v>40</v>
      </c>
      <c r="B5" s="2" t="s">
        <v>69</v>
      </c>
    </row>
    <row r="6" spans="1:2" x14ac:dyDescent="0.2">
      <c r="A6" s="2" t="s">
        <v>40</v>
      </c>
      <c r="B6" s="2" t="s">
        <v>79</v>
      </c>
    </row>
    <row r="7" spans="1:2" x14ac:dyDescent="0.2">
      <c r="A7" s="2" t="s">
        <v>40</v>
      </c>
      <c r="B7" s="2" t="s">
        <v>64</v>
      </c>
    </row>
    <row r="8" spans="1:2" x14ac:dyDescent="0.2">
      <c r="A8" s="2" t="s">
        <v>40</v>
      </c>
      <c r="B8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Calculator</vt:lpstr>
      <vt:lpstr>YC_Rates</vt:lpstr>
      <vt:lpstr>YC_Compute_Grid</vt:lpstr>
      <vt:lpstr>Vercel_Rates</vt:lpstr>
      <vt:lpstr>Heroku_Rates</vt:lpstr>
      <vt:lpstr>Project_Templates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2026-02-02T11:29:23Z</dcterms:created>
  <dcterms:modified xsi:type="dcterms:W3CDTF">2026-02-08T20:21:00Z</dcterms:modified>
</cp:coreProperties>
</file>