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2\ifrs\МСФО\1 Консолидация\1 Permanent folder\Корректировка по капитализации НМА\Документы по разработке\По продуктам\Astra Infrastructure Cloud 3.0\"/>
    </mc:Choice>
  </mc:AlternateContent>
  <xr:revisionPtr revIDLastSave="0" documentId="8_{2CFA5AC4-4CD8-4787-99AC-F451C9ABDE5B}" xr6:coauthVersionLast="47" xr6:coauthVersionMax="47" xr10:uidLastSave="{00000000-0000-0000-0000-000000000000}"/>
  <bookViews>
    <workbookView xWindow="-110" yWindow="-110" windowWidth="22620" windowHeight="13620" xr2:uid="{0D414CB7-CAAA-4AF5-8BA5-BF2665B5EFFA}"/>
  </bookViews>
  <sheets>
    <sheet name="Бюджет на подпись" sheetId="1" r:id="rId1"/>
  </sheets>
  <definedNames>
    <definedName name="_xlnm.Print_Area" localSheetId="0">'Бюджет на подпись'!$A$1:$P$57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<sst xmlns="http://schemas.openxmlformats.org/spreadsheetml/2006/main" count="51" uniqueCount="32">
  <si>
    <t>ООО РусБиТех-Астра</t>
  </si>
  <si>
    <t>Бюджет на доработку продукта</t>
  </si>
  <si>
    <t>Продукт:</t>
  </si>
  <si>
    <t>Astra Infrastructure Cloud</t>
  </si>
  <si>
    <t>Поколение (версия, редакция):</t>
  </si>
  <si>
    <t>3.0</t>
  </si>
  <si>
    <t xml:space="preserve">Дата начала разработки: </t>
  </si>
  <si>
    <t xml:space="preserve">Планируемая дата окончания разработки: </t>
  </si>
  <si>
    <t xml:space="preserve">Общая сумма затрат, руб.: </t>
  </si>
  <si>
    <t>в руб.</t>
  </si>
  <si>
    <t>Сумма затрат за 2026 год</t>
  </si>
  <si>
    <t>Статья затрат</t>
  </si>
  <si>
    <t>Итого</t>
  </si>
  <si>
    <t>Количество часов сотрудников</t>
  </si>
  <si>
    <t>Ставка Аренды</t>
  </si>
  <si>
    <t>Ставка амортизация используемого оборудования</t>
  </si>
  <si>
    <t>Оплата труда и отчисления по соц. взносам</t>
  </si>
  <si>
    <t>Аренда помещений</t>
  </si>
  <si>
    <t>Амортизация используемого оборудования</t>
  </si>
  <si>
    <t>Затраты по договорам подряда и заказной разработки</t>
  </si>
  <si>
    <t>Функционал А</t>
  </si>
  <si>
    <t>Ставка</t>
  </si>
  <si>
    <t>Часы</t>
  </si>
  <si>
    <t>Функционал В</t>
  </si>
  <si>
    <t>Затраты по финансированию разработки</t>
  </si>
  <si>
    <t>Итого затрат на проект за период</t>
  </si>
  <si>
    <t>Сумма затрат за 2027 год</t>
  </si>
  <si>
    <t>Руководитель рабочей группы:</t>
  </si>
  <si>
    <t>Склабовский Сергей Юрьевич</t>
  </si>
  <si>
    <t>Утверждено:</t>
  </si>
  <si>
    <t>Технический директор</t>
  </si>
  <si>
    <t>Шмаков Антон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</si>
</sst>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);\(#,##0\);&quot;- &quot;;&quot;  &quot;@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49" fontId="5" fillId="0" borderId="0" xfId="0" quotePrefix="1" applyNumberFormat="1" applyFont="1" applyAlignment="1">
      <alignment horizontal="right"/>
    </xf>
    <xf numFmtId="14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9" fontId="4" fillId="0" borderId="0" xfId="2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 vertical="center" indent="1"/>
    </xf>
    <xf numFmtId="165" fontId="8" fillId="0" borderId="2" xfId="1" quotePrefix="1" applyNumberFormat="1" applyFont="1" applyBorder="1" applyAlignment="1">
      <alignment horizontal="left" vertical="center" indent="1"/>
    </xf>
    <xf numFmtId="165" fontId="9" fillId="0" borderId="2" xfId="1" applyNumberFormat="1" applyFont="1" applyBorder="1" applyAlignment="1">
      <alignment horizontal="center" vertical="center"/>
    </xf>
    <xf numFmtId="165" fontId="7" fillId="0" borderId="2" xfId="1" quotePrefix="1" applyNumberFormat="1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left" vertical="center" wrapText="1" indent="1"/>
    </xf>
    <xf numFmtId="165" fontId="7" fillId="0" borderId="2" xfId="1" quotePrefix="1" applyNumberFormat="1" applyFont="1" applyBorder="1" applyAlignment="1">
      <alignment horizontal="left" vertical="center" wrapText="1" indent="1"/>
    </xf>
    <xf numFmtId="0" fontId="8" fillId="0" borderId="2" xfId="0" quotePrefix="1" applyFont="1" applyBorder="1" applyAlignment="1">
      <alignment horizontal="left" vertical="center" wrapText="1" indent="3"/>
    </xf>
    <xf numFmtId="0" fontId="10" fillId="0" borderId="2" xfId="0" quotePrefix="1" applyFont="1" applyBorder="1" applyAlignment="1">
      <alignment horizontal="left" vertical="center"/>
    </xf>
    <xf numFmtId="165" fontId="10" fillId="0" borderId="2" xfId="1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/>
  </cellXfs>
  <cellStyles count="4">
    <cellStyle name="Comma" xfId="1" builtinId="3"/>
    <cellStyle name="Normal" xfId="0" builtinId="0"/>
    <cellStyle name="Normal 2" xfId="3" xr:uid="{A8B1B81F-C071-4725-92BC-BCC7ED8243E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E8C3-2ADC-421D-BCA3-0899D5952920}">
  <sheetPr>
    <tabColor rgb="FF002060"/>
    <pageSetUpPr fitToPage="1"/>
  </sheetPr>
  <dimension ref="B2:R57"/>
  <sheetViews>
    <sheetView tabSelected="1" view="pageBreakPreview" zoomScale="63" zoomScaleNormal="75" zoomScaleSheetLayoutView="70" workbookViewId="0">
      <selection activeCell="G14" sqref="G14"/>
    </sheetView>
  </sheetViews>
  <sheetFormatPr defaultColWidth="9.08984375" defaultRowHeight="12.5" x14ac:dyDescent="0.35"/>
  <cols>
    <col min="1" max="1" width="3" style="3" customWidth="1"/>
    <col min="2" max="2" width="50.6328125" style="3" customWidth="1"/>
    <col min="3" max="15" width="14" style="3" customWidth="1"/>
    <col min="16" max="18" width="11" style="3" customWidth="1"/>
    <col min="19" max="16384" width="9.08984375" style="3"/>
  </cols>
  <sheetData>
    <row r="2" spans="2:17" ht="13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2:17" ht="13" x14ac:dyDescent="0.3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</row>
    <row r="4" spans="2:17" ht="13" x14ac:dyDescent="0.35">
      <c r="B4" s="5"/>
      <c r="C4" s="5"/>
      <c r="D4" s="5"/>
      <c r="E4" s="5"/>
      <c r="F4" s="5"/>
      <c r="O4" s="6">
        <v>46055</v>
      </c>
    </row>
    <row r="6" spans="2:17" ht="13" x14ac:dyDescent="0.3">
      <c r="B6" s="3" t="s">
        <v>2</v>
      </c>
      <c r="C6" s="7" t="s">
        <v>3</v>
      </c>
      <c r="D6" s="8"/>
    </row>
    <row r="7" spans="2:17" ht="13" x14ac:dyDescent="0.3">
      <c r="B7" s="3" t="s">
        <v>4</v>
      </c>
      <c r="C7" s="9" t="s">
        <v>5</v>
      </c>
    </row>
    <row r="8" spans="2:17" ht="13" x14ac:dyDescent="0.35">
      <c r="B8" s="3" t="s">
        <v>6</v>
      </c>
      <c r="C8" s="10">
        <v>46055</v>
      </c>
    </row>
    <row r="9" spans="2:17" ht="13" x14ac:dyDescent="0.35">
      <c r="B9" s="3" t="s">
        <v>7</v>
      </c>
      <c r="C9" s="10">
        <v>46752</v>
      </c>
    </row>
    <row r="10" spans="2:17" x14ac:dyDescent="0.35">
      <c r="B10" s="11" t="s">
        <v>8</v>
      </c>
      <c r="C10" s="12">
        <f>SUM(O29,O48)</f>
        <v>91767499.399376422</v>
      </c>
    </row>
    <row r="11" spans="2:17" x14ac:dyDescent="0.3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2:17" ht="13" x14ac:dyDescent="0.35">
      <c r="N12" s="13" t="s">
        <v>9</v>
      </c>
      <c r="O12" s="14"/>
    </row>
    <row r="13" spans="2:17" ht="13" x14ac:dyDescent="0.35">
      <c r="C13" s="15" t="s"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2:17" ht="13" x14ac:dyDescent="0.35">
      <c r="B14" s="16" t="s">
        <v>11</v>
      </c>
      <c r="C14" s="17">
        <v>46023</v>
      </c>
      <c r="D14" s="17">
        <v>46054</v>
      </c>
      <c r="E14" s="17">
        <v>46082</v>
      </c>
      <c r="F14" s="17">
        <v>46113</v>
      </c>
      <c r="G14" s="17">
        <v>46143</v>
      </c>
      <c r="H14" s="17">
        <v>46174</v>
      </c>
      <c r="I14" s="17">
        <v>46204</v>
      </c>
      <c r="J14" s="17">
        <v>46235</v>
      </c>
      <c r="K14" s="17">
        <v>46266</v>
      </c>
      <c r="L14" s="17">
        <v>46296</v>
      </c>
      <c r="M14" s="17">
        <v>46327</v>
      </c>
      <c r="N14" s="17">
        <v>46357</v>
      </c>
      <c r="O14" s="16" t="s">
        <v>12</v>
      </c>
    </row>
    <row r="15" spans="2:17" ht="13" x14ac:dyDescent="0.35">
      <c r="B15" s="18" t="s">
        <v>13</v>
      </c>
      <c r="C15" s="19">
        <v>0</v>
      </c>
      <c r="D15" s="19">
        <v>1056.4000000000001</v>
      </c>
      <c r="E15" s="19">
        <v>1150.8</v>
      </c>
      <c r="F15" s="19">
        <v>1137.5</v>
      </c>
      <c r="G15" s="19">
        <v>777.65000000000009</v>
      </c>
      <c r="H15" s="19">
        <v>1151.923301136364</v>
      </c>
      <c r="I15" s="19">
        <v>1048.3849545454545</v>
      </c>
      <c r="J15" s="19">
        <v>965.62104545454554</v>
      </c>
      <c r="K15" s="19">
        <v>1011.603</v>
      </c>
      <c r="L15" s="19">
        <v>1293.203</v>
      </c>
      <c r="M15" s="19">
        <v>1168.2913465909089</v>
      </c>
      <c r="N15" s="19">
        <v>1002.803</v>
      </c>
      <c r="O15" s="20">
        <v>11764.179647727273</v>
      </c>
    </row>
    <row r="16" spans="2:17" ht="13" x14ac:dyDescent="0.35">
      <c r="B16" s="18" t="s">
        <v>14</v>
      </c>
      <c r="C16" s="19">
        <v>0</v>
      </c>
      <c r="D16" s="21">
        <v>162.53090121275034</v>
      </c>
      <c r="E16" s="21">
        <v>162.53090121275034</v>
      </c>
      <c r="F16" s="21">
        <v>147.05176776391698</v>
      </c>
      <c r="G16" s="21">
        <v>141.1696970533603</v>
      </c>
      <c r="H16" s="21">
        <v>163.60726479694071</v>
      </c>
      <c r="I16" s="21">
        <v>147.93231727148535</v>
      </c>
      <c r="J16" s="21">
        <v>134.2646575235764</v>
      </c>
      <c r="K16" s="21">
        <v>147.05176776391704</v>
      </c>
      <c r="L16" s="21">
        <v>140.36759650192073</v>
      </c>
      <c r="M16" s="21">
        <v>140.36759650192076</v>
      </c>
      <c r="N16" s="21">
        <v>155.37545273168587</v>
      </c>
      <c r="O16" s="20"/>
    </row>
    <row r="17" spans="2:15" ht="13" x14ac:dyDescent="0.35">
      <c r="B17" s="18" t="s">
        <v>15</v>
      </c>
      <c r="C17" s="19">
        <v>0</v>
      </c>
      <c r="D17" s="21">
        <v>70.074213833861094</v>
      </c>
      <c r="E17" s="21">
        <v>70.07421383386108</v>
      </c>
      <c r="F17" s="21">
        <v>63.40047918301719</v>
      </c>
      <c r="G17" s="21">
        <v>60.86446001569648</v>
      </c>
      <c r="H17" s="21">
        <v>70.538281475144927</v>
      </c>
      <c r="I17" s="21">
        <v>63.780122770939435</v>
      </c>
      <c r="J17" s="21">
        <v>57.887394036667857</v>
      </c>
      <c r="K17" s="21">
        <v>63.400479183017175</v>
      </c>
      <c r="L17" s="21">
        <v>60.518639220152771</v>
      </c>
      <c r="M17" s="21">
        <v>60.518639220152785</v>
      </c>
      <c r="N17" s="21">
        <v>66.989185551867195</v>
      </c>
      <c r="O17" s="20"/>
    </row>
    <row r="18" spans="2:15" ht="13" x14ac:dyDescent="0.35">
      <c r="B18" s="22" t="s">
        <v>16</v>
      </c>
      <c r="C18" s="19">
        <v>0</v>
      </c>
      <c r="D18" s="19">
        <v>2387563.3000000003</v>
      </c>
      <c r="E18" s="19">
        <v>2181981.6640000003</v>
      </c>
      <c r="F18" s="19">
        <v>2582627.0360000003</v>
      </c>
      <c r="G18" s="19">
        <v>1822182.8660000004</v>
      </c>
      <c r="H18" s="19">
        <v>2488242.0561854551</v>
      </c>
      <c r="I18" s="19">
        <v>2168544.1819761363</v>
      </c>
      <c r="J18" s="19">
        <v>2168592.4405761366</v>
      </c>
      <c r="K18" s="19">
        <v>2146845.1355761369</v>
      </c>
      <c r="L18" s="19">
        <v>2687880.961976137</v>
      </c>
      <c r="M18" s="19">
        <v>2682020.6355761369</v>
      </c>
      <c r="N18" s="19">
        <v>2079632.0423761366</v>
      </c>
      <c r="O18" s="20">
        <v>25396112.320242275</v>
      </c>
    </row>
    <row r="19" spans="2:15" ht="13" x14ac:dyDescent="0.35">
      <c r="B19" s="22" t="s">
        <v>17</v>
      </c>
      <c r="C19" s="19">
        <v>0</v>
      </c>
      <c r="D19" s="19">
        <v>171697.64404114947</v>
      </c>
      <c r="E19" s="19">
        <v>187040.56111563309</v>
      </c>
      <c r="F19" s="19">
        <v>167271.38583145558</v>
      </c>
      <c r="G19" s="19">
        <v>109780.61491354564</v>
      </c>
      <c r="H19" s="19">
        <v>188463.02055478317</v>
      </c>
      <c r="I19" s="19">
        <v>155090.01571846992</v>
      </c>
      <c r="J19" s="19">
        <v>129648.77896551235</v>
      </c>
      <c r="K19" s="19">
        <v>148758.00942528175</v>
      </c>
      <c r="L19" s="19">
        <v>181523.79689907341</v>
      </c>
      <c r="M19" s="19">
        <v>163990.24833495836</v>
      </c>
      <c r="N19" s="19">
        <v>155810.97012569278</v>
      </c>
      <c r="O19" s="20">
        <v>1759075.0459255553</v>
      </c>
    </row>
    <row r="20" spans="2:15" ht="13" x14ac:dyDescent="0.35">
      <c r="B20" s="22" t="s">
        <v>18</v>
      </c>
      <c r="C20" s="19">
        <v>0</v>
      </c>
      <c r="D20" s="19">
        <v>74026.39949409086</v>
      </c>
      <c r="E20" s="19">
        <v>80641.405280007326</v>
      </c>
      <c r="F20" s="19">
        <v>72118.045070682056</v>
      </c>
      <c r="G20" s="19">
        <v>47331.247331206374</v>
      </c>
      <c r="H20" s="19">
        <v>81254.690053334984</v>
      </c>
      <c r="I20" s="19">
        <v>66866.121112114852</v>
      </c>
      <c r="J20" s="19">
        <v>55897.28594832644</v>
      </c>
      <c r="K20" s="19">
        <v>64136.114942977722</v>
      </c>
      <c r="L20" s="19">
        <v>78262.885795419221</v>
      </c>
      <c r="M20" s="19">
        <v>70703.402508361687</v>
      </c>
      <c r="N20" s="19">
        <v>67176.956238969084</v>
      </c>
      <c r="O20" s="20">
        <v>758414.55377549073</v>
      </c>
    </row>
    <row r="21" spans="2:15" ht="13" x14ac:dyDescent="0.35">
      <c r="B21" s="23" t="s">
        <v>19</v>
      </c>
      <c r="C21" s="21">
        <v>0</v>
      </c>
      <c r="D21" s="21">
        <v>12302980.434419382</v>
      </c>
      <c r="E21" s="21">
        <v>12007922.105263157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0">
        <v>24310902.539682537</v>
      </c>
    </row>
    <row r="22" spans="2:15" ht="13" x14ac:dyDescent="0.35">
      <c r="B22" s="24" t="s">
        <v>20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0"/>
    </row>
    <row r="23" spans="2:15" ht="13" x14ac:dyDescent="0.35">
      <c r="B23" s="26" t="s">
        <v>21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0"/>
    </row>
    <row r="24" spans="2:15" ht="13" x14ac:dyDescent="0.35">
      <c r="B24" s="26" t="s">
        <v>22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0">
        <v>0</v>
      </c>
    </row>
    <row r="25" spans="2:15" ht="13" x14ac:dyDescent="0.35">
      <c r="B25" s="24" t="s">
        <v>23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0"/>
    </row>
    <row r="26" spans="2:15" ht="13" x14ac:dyDescent="0.35">
      <c r="B26" s="26" t="s">
        <v>21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0"/>
    </row>
    <row r="27" spans="2:15" ht="13" x14ac:dyDescent="0.35">
      <c r="B27" s="26" t="s">
        <v>22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0">
        <v>0</v>
      </c>
    </row>
    <row r="28" spans="2:15" ht="13" x14ac:dyDescent="0.35">
      <c r="B28" s="22" t="s">
        <v>24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0">
        <v>0</v>
      </c>
    </row>
    <row r="29" spans="2:15" ht="13" x14ac:dyDescent="0.35">
      <c r="B29" s="27" t="s">
        <v>25</v>
      </c>
      <c r="C29" s="28">
        <v>0</v>
      </c>
      <c r="D29" s="28">
        <v>14936267.777954623</v>
      </c>
      <c r="E29" s="28">
        <v>14457585.735658798</v>
      </c>
      <c r="F29" s="28">
        <v>2822016.4669021382</v>
      </c>
      <c r="G29" s="28">
        <v>1979294.7282447524</v>
      </c>
      <c r="H29" s="28">
        <v>2757959.7667935733</v>
      </c>
      <c r="I29" s="28">
        <v>2390500.3188067209</v>
      </c>
      <c r="J29" s="28">
        <v>2354138.5054899752</v>
      </c>
      <c r="K29" s="28">
        <v>2359739.2599443961</v>
      </c>
      <c r="L29" s="28">
        <v>2947667.6446706294</v>
      </c>
      <c r="M29" s="28">
        <v>2916714.2864194568</v>
      </c>
      <c r="N29" s="28">
        <v>2302619.9687407985</v>
      </c>
      <c r="O29" s="28">
        <v>52224504.459625855</v>
      </c>
    </row>
    <row r="31" spans="2:15" ht="13" x14ac:dyDescent="0.35">
      <c r="N31" s="13" t="s">
        <v>9</v>
      </c>
    </row>
    <row r="32" spans="2:15" ht="13" x14ac:dyDescent="0.35">
      <c r="C32" s="15" t="s">
        <v>26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2:15" ht="13" x14ac:dyDescent="0.35">
      <c r="B33" s="16" t="s">
        <v>11</v>
      </c>
      <c r="C33" s="17">
        <v>46388</v>
      </c>
      <c r="D33" s="17">
        <v>46419</v>
      </c>
      <c r="E33" s="17">
        <v>46447</v>
      </c>
      <c r="F33" s="17">
        <v>46478</v>
      </c>
      <c r="G33" s="17">
        <v>46508</v>
      </c>
      <c r="H33" s="17">
        <v>46539</v>
      </c>
      <c r="I33" s="17">
        <v>46569</v>
      </c>
      <c r="J33" s="17">
        <v>46600</v>
      </c>
      <c r="K33" s="17">
        <v>46631</v>
      </c>
      <c r="L33" s="17">
        <v>46661</v>
      </c>
      <c r="M33" s="17">
        <v>46692</v>
      </c>
      <c r="N33" s="17">
        <v>46722</v>
      </c>
      <c r="O33" s="17">
        <v>46753</v>
      </c>
    </row>
    <row r="34" spans="2:15" ht="13" x14ac:dyDescent="0.35">
      <c r="B34" s="18" t="s">
        <v>13</v>
      </c>
      <c r="C34" s="19">
        <v>881.72931818181814</v>
      </c>
      <c r="D34" s="19">
        <v>1109.5093920454547</v>
      </c>
      <c r="E34" s="19">
        <v>1293.203</v>
      </c>
      <c r="F34" s="19">
        <v>1285.8552556818181</v>
      </c>
      <c r="G34" s="19">
        <v>1109.2571363636364</v>
      </c>
      <c r="H34" s="19">
        <v>951.52330113636367</v>
      </c>
      <c r="I34" s="19">
        <v>1011.603</v>
      </c>
      <c r="J34" s="19">
        <v>1011.603</v>
      </c>
      <c r="K34" s="19">
        <v>1363.6030000000003</v>
      </c>
      <c r="L34" s="19">
        <v>1377.2210454545457</v>
      </c>
      <c r="M34" s="19">
        <v>1303.4413465909092</v>
      </c>
      <c r="N34" s="19">
        <v>1442.8030000000001</v>
      </c>
      <c r="O34" s="20">
        <v>14141.351795454546</v>
      </c>
    </row>
    <row r="35" spans="2:15" ht="13" x14ac:dyDescent="0.35">
      <c r="B35" s="18" t="s">
        <v>14</v>
      </c>
      <c r="C35" s="21">
        <v>140.36759650192076</v>
      </c>
      <c r="D35" s="21">
        <v>205.87247486948374</v>
      </c>
      <c r="E35" s="21">
        <v>163.60726479694074</v>
      </c>
      <c r="F35" s="21">
        <v>140.36759650192073</v>
      </c>
      <c r="G35" s="21">
        <v>141.16969705336027</v>
      </c>
      <c r="H35" s="21">
        <v>162.53090121275031</v>
      </c>
      <c r="I35" s="21">
        <v>147.9323172714854</v>
      </c>
      <c r="J35" s="21">
        <v>140.36759650192079</v>
      </c>
      <c r="K35" s="21">
        <v>140.36759650192073</v>
      </c>
      <c r="L35" s="21">
        <v>140.36759650192076</v>
      </c>
      <c r="M35" s="21">
        <v>147.05176776391698</v>
      </c>
      <c r="N35" s="21">
        <v>155.37545273168587</v>
      </c>
      <c r="O35" s="20"/>
    </row>
    <row r="36" spans="2:15" ht="13" x14ac:dyDescent="0.35">
      <c r="B36" s="18" t="s">
        <v>15</v>
      </c>
      <c r="C36" s="21">
        <v>60.518639220152771</v>
      </c>
      <c r="D36" s="21">
        <v>88.760670856224039</v>
      </c>
      <c r="E36" s="21">
        <v>70.538281475144942</v>
      </c>
      <c r="F36" s="21">
        <v>60.518639220152771</v>
      </c>
      <c r="G36" s="21">
        <v>60.864460015696494</v>
      </c>
      <c r="H36" s="21">
        <v>70.07421383386108</v>
      </c>
      <c r="I36" s="21">
        <v>63.780122770939442</v>
      </c>
      <c r="J36" s="21">
        <v>60.518639220152757</v>
      </c>
      <c r="K36" s="21">
        <v>60.518639220152757</v>
      </c>
      <c r="L36" s="21">
        <v>60.518639220152757</v>
      </c>
      <c r="M36" s="21">
        <v>63.400479183017175</v>
      </c>
      <c r="N36" s="21">
        <v>66.989185551867209</v>
      </c>
      <c r="O36" s="20"/>
    </row>
    <row r="37" spans="2:15" ht="13" x14ac:dyDescent="0.35">
      <c r="B37" s="22" t="s">
        <v>16</v>
      </c>
      <c r="C37" s="19">
        <v>2850781.461766819</v>
      </c>
      <c r="D37" s="19">
        <v>2923258.9565575011</v>
      </c>
      <c r="E37" s="19">
        <v>2995736.4513481827</v>
      </c>
      <c r="F37" s="19">
        <v>3068213.9461388648</v>
      </c>
      <c r="G37" s="19">
        <v>3119779.3809295464</v>
      </c>
      <c r="H37" s="19">
        <v>2507968.4887202275</v>
      </c>
      <c r="I37" s="19">
        <v>2564596.2775509097</v>
      </c>
      <c r="J37" s="19">
        <v>2538877.72555091</v>
      </c>
      <c r="K37" s="19">
        <v>3339725.6309909103</v>
      </c>
      <c r="L37" s="19">
        <v>3543039.7476309105</v>
      </c>
      <c r="M37" s="19">
        <v>3522627.33899091</v>
      </c>
      <c r="N37" s="19">
        <v>3494698.2343771649</v>
      </c>
      <c r="O37" s="20">
        <v>36469303.640552856</v>
      </c>
    </row>
    <row r="38" spans="2:15" ht="13" x14ac:dyDescent="0.35">
      <c r="B38" s="22" t="s">
        <v>17</v>
      </c>
      <c r="C38" s="19">
        <v>123766.22515845916</v>
      </c>
      <c r="D38" s="19">
        <v>228417.44443133404</v>
      </c>
      <c r="E38" s="19">
        <v>211577.40565719813</v>
      </c>
      <c r="F38" s="19">
        <v>180492.41168941956</v>
      </c>
      <c r="G38" s="19">
        <v>156593.4938947325</v>
      </c>
      <c r="H38" s="19">
        <v>154651.93965862438</v>
      </c>
      <c r="I38" s="19">
        <v>149648.77594878644</v>
      </c>
      <c r="J38" s="19">
        <v>141996.28172413257</v>
      </c>
      <c r="K38" s="19">
        <v>191405.67569280864</v>
      </c>
      <c r="L38" s="19">
        <v>193317.20800231714</v>
      </c>
      <c r="M38" s="19">
        <v>191673.35419277361</v>
      </c>
      <c r="N38" s="19">
        <v>224176.16932763459</v>
      </c>
      <c r="O38" s="20">
        <v>2147716.3853782206</v>
      </c>
    </row>
    <row r="39" spans="2:15" ht="13" x14ac:dyDescent="0.35">
      <c r="B39" s="22" t="s">
        <v>18</v>
      </c>
      <c r="C39" s="19">
        <v>53361.058496876743</v>
      </c>
      <c r="D39" s="19">
        <v>98480.797959235846</v>
      </c>
      <c r="E39" s="19">
        <v>91220.317218501863</v>
      </c>
      <c r="F39" s="19">
        <v>77818.21030794525</v>
      </c>
      <c r="G39" s="19">
        <v>67514.336623330542</v>
      </c>
      <c r="H39" s="19">
        <v>66677.247271730943</v>
      </c>
      <c r="I39" s="19">
        <v>64520.163535450651</v>
      </c>
      <c r="J39" s="19">
        <v>61220.836991024189</v>
      </c>
      <c r="K39" s="19">
        <v>82523.397996517975</v>
      </c>
      <c r="L39" s="19">
        <v>83347.543576265249</v>
      </c>
      <c r="M39" s="19">
        <v>82638.805960820813</v>
      </c>
      <c r="N39" s="19">
        <v>96652.197881790664</v>
      </c>
      <c r="O39" s="20">
        <v>925974.91381949058</v>
      </c>
    </row>
    <row r="40" spans="2:15" ht="13" x14ac:dyDescent="0.35">
      <c r="B40" s="23" t="s">
        <v>19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0">
        <v>0</v>
      </c>
    </row>
    <row r="41" spans="2:15" ht="13" x14ac:dyDescent="0.35">
      <c r="B41" s="24" t="s">
        <v>20</v>
      </c>
      <c r="C41" s="25"/>
      <c r="D41" s="25"/>
      <c r="E41" s="25"/>
      <c r="F41" s="25"/>
      <c r="G41" s="25"/>
      <c r="H41" s="25"/>
      <c r="I41" s="25"/>
      <c r="J41" s="25"/>
      <c r="K41" s="25"/>
      <c r="L41" s="21">
        <v>0</v>
      </c>
      <c r="M41" s="21">
        <v>0</v>
      </c>
      <c r="N41" s="21">
        <v>0</v>
      </c>
      <c r="O41" s="20"/>
    </row>
    <row r="42" spans="2:15" ht="13" x14ac:dyDescent="0.35">
      <c r="B42" s="26" t="s">
        <v>21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0"/>
    </row>
    <row r="43" spans="2:15" ht="13" x14ac:dyDescent="0.35">
      <c r="B43" s="26" t="s">
        <v>22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0">
        <v>0</v>
      </c>
    </row>
    <row r="44" spans="2:15" ht="13" x14ac:dyDescent="0.35">
      <c r="B44" s="24" t="s">
        <v>23</v>
      </c>
      <c r="C44" s="25"/>
      <c r="D44" s="25"/>
      <c r="E44" s="25"/>
      <c r="F44" s="25"/>
      <c r="G44" s="25"/>
      <c r="H44" s="25"/>
      <c r="I44" s="25"/>
      <c r="J44" s="25"/>
      <c r="K44" s="25"/>
      <c r="L44" s="21">
        <v>0</v>
      </c>
      <c r="M44" s="21">
        <v>0</v>
      </c>
      <c r="N44" s="21">
        <v>0</v>
      </c>
      <c r="O44" s="20"/>
    </row>
    <row r="45" spans="2:15" ht="13" x14ac:dyDescent="0.35">
      <c r="B45" s="26" t="s">
        <v>21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0"/>
    </row>
    <row r="46" spans="2:15" ht="13" x14ac:dyDescent="0.35">
      <c r="B46" s="26" t="s">
        <v>22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0">
        <v>0</v>
      </c>
    </row>
    <row r="47" spans="2:15" ht="13" x14ac:dyDescent="0.35">
      <c r="B47" s="22" t="s">
        <v>24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0">
        <v>0</v>
      </c>
    </row>
    <row r="48" spans="2:15" ht="13" x14ac:dyDescent="0.35">
      <c r="B48" s="27" t="s">
        <v>25</v>
      </c>
      <c r="C48" s="28">
        <v>3027908.7454221547</v>
      </c>
      <c r="D48" s="28">
        <v>3250157.1989480709</v>
      </c>
      <c r="E48" s="28">
        <v>3298534.1742238831</v>
      </c>
      <c r="F48" s="28">
        <v>3326524.5681362296</v>
      </c>
      <c r="G48" s="28">
        <v>3343887.2114476096</v>
      </c>
      <c r="H48" s="28">
        <v>2729297.6756505831</v>
      </c>
      <c r="I48" s="28">
        <v>2778765.2170351469</v>
      </c>
      <c r="J48" s="28">
        <v>2742094.8442660668</v>
      </c>
      <c r="K48" s="28">
        <v>3613654.704680237</v>
      </c>
      <c r="L48" s="28">
        <v>3819704.4992094929</v>
      </c>
      <c r="M48" s="28">
        <v>3796939.4991445048</v>
      </c>
      <c r="N48" s="28">
        <v>3815526.6015865901</v>
      </c>
      <c r="O48" s="28">
        <v>39542994.939750567</v>
      </c>
    </row>
    <row r="51" spans="2:18" x14ac:dyDescent="0.25">
      <c r="B51" s="3" t="s">
        <v>27</v>
      </c>
      <c r="O51" s="29" t="s">
        <v>28</v>
      </c>
      <c r="R51" s="30"/>
    </row>
    <row r="52" spans="2:18" x14ac:dyDescent="0.25">
      <c r="O52" s="31"/>
      <c r="R52" s="30"/>
    </row>
    <row r="53" spans="2:18" x14ac:dyDescent="0.25">
      <c r="O53" s="31"/>
      <c r="R53" s="30"/>
    </row>
    <row r="54" spans="2:18" x14ac:dyDescent="0.25">
      <c r="O54" s="31"/>
      <c r="R54" s="30"/>
    </row>
    <row r="55" spans="2:18" x14ac:dyDescent="0.25">
      <c r="B55" s="3" t="s">
        <v>29</v>
      </c>
      <c r="O55" s="31"/>
      <c r="R55" s="30"/>
    </row>
    <row r="56" spans="2:18" x14ac:dyDescent="0.25">
      <c r="B56" s="3" t="s">
        <v>30</v>
      </c>
      <c r="O56" s="29" t="s">
        <v>31</v>
      </c>
      <c r="R56" s="30"/>
    </row>
    <row r="57" spans="2:18" x14ac:dyDescent="0.35">
      <c r="D57" s="11"/>
    </row>
  </sheetData>
  <mergeCells count="5">
    <mergeCell ref="B2:O2"/>
    <mergeCell ref="B3:O3"/>
    <mergeCell ref="B4:F4"/>
    <mergeCell ref="C13:N13"/>
    <mergeCell ref="C32:N32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Бюджет на подпись</vt:lpstr>
      <vt:lpstr>'Бюджет на подпись'!Print_Area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Нестеров Павел</dc:creator>
  <cp:lastModifiedBy>Нестеров Павел</cp:lastModifiedBy>
  <dcterms:created xsi:type="dcterms:W3CDTF">2026-06-09T08:49:05Z</dcterms:created>
  <dcterms:modified xsi:type="dcterms:W3CDTF">2026-06-09T08:49:38Z</dcterms:modified>
</cp:coreProperties>
</file>