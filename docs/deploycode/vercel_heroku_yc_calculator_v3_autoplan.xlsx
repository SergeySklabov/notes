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YC_Rates" sheetId="2" state="visible" r:id="rId2"/>
    <sheet xmlns:r="http://schemas.openxmlformats.org/officeDocument/2006/relationships" name="YC_Compute_Grid" sheetId="3" state="visible" r:id="rId3"/>
    <sheet xmlns:r="http://schemas.openxmlformats.org/officeDocument/2006/relationships" name="Vercel_Rates" sheetId="4" state="visible" r:id="rId4"/>
    <sheet xmlns:r="http://schemas.openxmlformats.org/officeDocument/2006/relationships" name="Heroku_Rates" sheetId="5" state="visible" r:id="rId5"/>
    <sheet xmlns:r="http://schemas.openxmlformats.org/officeDocument/2006/relationships" name="Project_Templat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_-"/>
    <numFmt numFmtId="165" formatCode="0.000"/>
    <numFmt numFmtId="166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5A2A"/>
      </patternFill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 style="thin">
        <color rgb="00D0D0D0"/>
      </left>
      <right/>
      <top/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/>
      <bottom/>
      <diagonal/>
    </border>
    <border>
      <left style="thin">
        <color rgb="00D0D0D0"/>
      </left>
      <right/>
      <top/>
      <bottom style="thin">
        <color rgb="00D0D0D0"/>
      </bottom>
      <diagonal/>
    </border>
    <border>
      <left/>
      <right style="thin">
        <color rgb="00D0D0D0"/>
      </right>
      <top/>
      <bottom style="thin">
        <color rgb="00D0D0D0"/>
      </bottom>
      <diagonal/>
    </border>
    <border>
      <left/>
      <right/>
      <top/>
      <bottom style="thin">
        <color rgb="00D0D0D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2" fontId="2" fillId="5" borderId="1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  <xf numFmtId="0" fontId="0" fillId="5" borderId="1" pivotButton="0" quotePrefix="0" xfId="0"/>
    <xf numFmtId="164" fontId="2" fillId="5" borderId="1" applyAlignment="1" pivotButton="0" quotePrefix="0" xfId="0">
      <alignment vertical="center"/>
    </xf>
    <xf numFmtId="0" fontId="0" fillId="6" borderId="1" pivotButton="0" quotePrefix="0" xfId="0"/>
    <xf numFmtId="0" fontId="2" fillId="5" borderId="1" pivotButton="0" quotePrefix="0" xfId="0"/>
    <xf numFmtId="166" fontId="2" fillId="5" borderId="1" applyAlignment="1" pivotButton="0" quotePrefix="0" xfId="0">
      <alignment vertical="center"/>
    </xf>
    <xf numFmtId="1" fontId="2" fillId="5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2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6" fontId="0" fillId="0" borderId="1" pivotButton="0" quotePrefix="0" xfId="0"/>
    <xf numFmtId="166" fontId="2" fillId="4" borderId="1" applyAlignment="1" pivotButton="0" quotePrefix="0" xfId="0">
      <alignment vertical="center" wrapText="1"/>
    </xf>
    <xf numFmtId="166" fontId="0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Hint</author>
  </authors>
  <commentList>
    <comment ref="B5" authorId="0" shapeId="0">
      <text>
        <t>If Y: Requests/Bandwidth are computed from visitors/pages/page weight.</t>
      </text>
    </comment>
    <comment ref="E5" authorId="0" shapeId="0">
      <text>
        <t>Pick a template to prefill typical sizing values below (you can still edit).</t>
      </text>
    </comment>
    <comment ref="I5" authorId="0" shapeId="0">
      <text>
        <t>Our platform fixed fee (USD/mo).</t>
      </text>
    </comment>
    <comment ref="B6" authorId="0" shapeId="0">
      <text>
        <t>Example: 50k for early product. Use GA/Metрика if you have it.</t>
      </text>
    </comment>
    <comment ref="I6" authorId="0" shapeId="0">
      <text>
        <t>Markup on YC infra bill (0..1).</t>
      </text>
    </comment>
    <comment ref="B7" authorId="0" shapeId="0">
      <text>
        <t>Typical: 3–15 depending on product (landing lower, SaaS higher).</t>
      </text>
    </comment>
    <comment ref="B8" authorId="0" shapeId="0">
      <text>
        <t>Typical: 1–3MB for modern web pages. Heavy images/video can be 5MB+.</t>
      </text>
    </comment>
    <comment ref="B9" authorId="0" shapeId="0">
      <text>
        <t>Requests ≈ visitors × pages/visit</t>
      </text>
    </comment>
    <comment ref="B10" authorId="0" shapeId="0">
      <text>
        <t>Bandwidth ≈ visitors × pages × pageMB / 1024</t>
      </text>
    </comment>
    <comment ref="B13" authorId="0" shapeId="0">
      <text>
        <t>If estimator is on: uses estimated requests. Else: uses template or default.</t>
      </text>
    </comment>
    <comment ref="B14" authorId="0" shapeId="0">
      <text>
        <t>If estimator is on: uses estimated bandwidth. Else: uses template or default.</t>
      </text>
    </comment>
    <comment ref="B15" authorId="0" shapeId="0">
      <text>
        <t>Fraction of requests requiring server compute (SSR/API).</t>
      </text>
    </comment>
    <comment ref="B16" authorId="0" shapeId="0">
      <text>
        <t>Fraction served at edge.</t>
      </text>
    </comment>
    <comment ref="B17" authorId="0" shapeId="0">
      <text>
        <t>Roughly CPU time per dynamic request.</t>
      </text>
    </comment>
    <comment ref="B18" authorId="0" shapeId="0">
      <text>
        <t>Wall-clock duration for dyn requests.</t>
      </text>
    </comment>
    <comment ref="B19" authorId="0" shapeId="0">
      <text>
        <t>Used to estimate Vercel memory GB-hours.</t>
      </text>
    </comment>
    <comment ref="B20" authorId="0" shapeId="0">
      <text>
        <t>Compute billing hours (default 720).</t>
      </text>
    </comment>
    <comment ref="B21" authorId="0" shapeId="0">
      <text>
        <t>Y: use CDN egress rate, N: storage egress rate.</t>
      </text>
    </comment>
    <comment ref="B24" authorId="0" shapeId="0">
      <text>
        <t>Typical: 1–2 MVP, 2–4 growing, 4–8+ heavy.</t>
      </text>
    </comment>
    <comment ref="B25" authorId="0" shapeId="0">
      <text>
        <t>Typical: 1–2GB MVP, 4–8GB growing, 8–16+ heavy.</t>
      </text>
    </comment>
    <comment ref="B26" authorId="0" shapeId="0">
      <text>
        <t>network-ssd for performance; network-hdd cheaper.</t>
      </text>
    </comment>
    <comment ref="B27" authorId="0" shapeId="0">
      <text>
        <t>10–50GB typical for app+logs (assets better in object storage).</t>
      </text>
    </comment>
    <comment ref="B28" authorId="0" shapeId="0">
      <text>
        <t>HA usually 2+ hosts.</t>
      </text>
    </comment>
    <comment ref="B29" authorId="0" shapeId="0">
      <text>
        <t>2 vCPU small; 4 vCPU medium; 8 vCPU heavy.</t>
      </text>
    </comment>
    <comment ref="B30" authorId="0" shapeId="0">
      <text>
        <t>4–8GB small/med; 16GB+ heavy.</t>
      </text>
    </comment>
    <comment ref="B32" authorId="0" shapeId="0">
      <text>
        <t>Disk ≈ data×2 as starting point (indexes+growth).</t>
      </text>
    </comment>
    <comment ref="B33" authorId="0" shapeId="0">
      <text>
        <t>Usually 1 unless multiple public entrypoints.</t>
      </text>
    </comment>
    <comment ref="E40" authorId="0" shapeId="0">
      <text>
        <t>Rule: choose minimal dyno plan whose RAM &gt;= App RAM. If &gt;14GB, still selects Performance-L (cap).</t>
      </text>
    </comment>
    <comment ref="E41" authorId="0" shapeId="0">
      <text>
        <t>Rule of thumb: ~2 vCPU per dyno equivalent =&gt; dynos ≈ ceil(app vCPU / 2).</t>
      </text>
    </comment>
    <comment ref="E42" authorId="0" shapeId="0">
      <text>
        <t>Rule: pick Essential-1 up to 10GB, Essential-2 up to 32GB, else Standard-0 (coarse).</t>
      </text>
    </comment>
    <comment ref="E43" authorId="0" shapeId="0">
      <text>
        <t>Left blank by default. Add plan in Advanced override if you need Redis.</t>
      </text>
    </comment>
    <comment ref="E46" authorId="0" shapeId="0">
      <text>
        <t>Override auto-selection if needed (advanced).</t>
      </text>
    </comment>
    <comment ref="E47" authorId="0" shapeId="0">
      <text>
        <t>Override auto-selection if needed (advanced).</t>
      </text>
    </comment>
    <comment ref="E48" authorId="0" shapeId="0">
      <text>
        <t>Override auto-selection if needed (advanced).</t>
      </text>
    </comment>
    <comment ref="E49" authorId="0" shapeId="0">
      <text>
        <t>Override auto-selection if needed (advanced).</t>
      </text>
    </comment>
    <comment ref="E50" authorId="0" shapeId="0">
      <text>
        <t>Override auto-selection if needed (advanced).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30" customWidth="1" min="4" max="4"/>
    <col width="24" customWidth="1" min="5" max="5"/>
    <col width="24" customWidth="1" min="6" max="6"/>
    <col width="24" customWidth="1" min="7" max="7"/>
    <col width="18" customWidth="1" min="8" max="8"/>
    <col width="16" customWidth="1" min="9" max="9"/>
  </cols>
  <sheetData>
    <row r="1">
      <c r="A1" s="9" t="inlineStr">
        <is>
          <t>Pricing calculator: Vercel vs Heroku vs YC vs Our PaaS on YC</t>
        </is>
      </c>
    </row>
    <row r="2">
      <c r="A2" s="27" t="inlineStr">
        <is>
          <t>Legend:</t>
        </is>
      </c>
      <c r="B2" s="28" t="inlineStr">
        <is>
          <t>Yellow = inputs you can edit</t>
        </is>
      </c>
      <c r="C2" s="30" t="inlineStr">
        <is>
          <t>Gray = auto-selected (can override in advanced)</t>
        </is>
      </c>
    </row>
    <row r="4">
      <c r="A4" s="10" t="inlineStr">
        <is>
          <t>1) Traffic estimation (optional)</t>
        </is>
      </c>
      <c r="D4" s="10" t="inlineStr">
        <is>
          <t>2) Quick templates (optional)</t>
        </is>
      </c>
    </row>
    <row r="5">
      <c r="A5" s="11" t="inlineStr">
        <is>
          <t>Use estimator? (Y/N)</t>
        </is>
      </c>
      <c r="B5" s="19" t="inlineStr">
        <is>
          <t>Y</t>
        </is>
      </c>
      <c r="D5" s="6" t="inlineStr">
        <is>
          <t>Template</t>
        </is>
      </c>
      <c r="E5" s="31" t="inlineStr"/>
      <c r="H5" s="6" t="inlineStr">
        <is>
          <t>PaaS_Fee</t>
        </is>
      </c>
      <c r="I5" s="32" t="n">
        <v>29</v>
      </c>
    </row>
    <row r="6">
      <c r="A6" s="11" t="inlineStr">
        <is>
          <t>Visitors / month</t>
        </is>
      </c>
      <c r="B6" s="20" t="n">
        <v>50000</v>
      </c>
      <c r="H6" s="6" t="inlineStr">
        <is>
          <t>PaaS_Markup</t>
        </is>
      </c>
      <c r="I6" s="24" t="n">
        <v>0.1</v>
      </c>
    </row>
    <row r="7">
      <c r="A7" s="11" t="inlineStr">
        <is>
          <t>Pages per visit</t>
        </is>
      </c>
      <c r="B7" s="33" t="n">
        <v>10</v>
      </c>
    </row>
    <row r="8">
      <c r="A8" s="11" t="inlineStr">
        <is>
          <t>Avg page weight (MB)</t>
        </is>
      </c>
      <c r="B8" s="24" t="n">
        <v>2</v>
      </c>
    </row>
    <row r="9">
      <c r="A9" s="11" t="inlineStr">
        <is>
          <t>Estimated Requests / month</t>
        </is>
      </c>
      <c r="B9" s="34">
        <f>B6*B7</f>
        <v/>
      </c>
    </row>
    <row r="10">
      <c r="A10" s="11" t="inlineStr">
        <is>
          <t>Estimated Bandwidth (GB)/month</t>
        </is>
      </c>
      <c r="B10" s="35">
        <f>B6*B7*B8/1024</f>
        <v/>
      </c>
    </row>
    <row r="12">
      <c r="A12" s="10" t="inlineStr">
        <is>
          <t>3) Project inputs (final values used in calculation)</t>
        </is>
      </c>
      <c r="D12" s="10" t="inlineStr">
        <is>
          <t>4) YC sizing inputs (in column B)</t>
        </is>
      </c>
    </row>
    <row r="13">
      <c r="A13" s="11" t="inlineStr">
        <is>
          <t>Requests / month (final)</t>
        </is>
      </c>
      <c r="B13" s="20">
        <f>IF(B5="Y",B9,IF(E5&lt;&gt;"",XLOOKUP(E5,Project_Templates!A:A,Project_Templates!C:C),1000000))</f>
        <v/>
      </c>
    </row>
    <row r="14">
      <c r="A14" s="11" t="inlineStr">
        <is>
          <t>Bandwidth (GB) / month (final)</t>
        </is>
      </c>
      <c r="B14" s="24">
        <f>IF(B5="Y",B10,IF(E5&lt;&gt;"",XLOOKUP(E5,Project_Templates!A:A,Project_Templates!D:D),200))</f>
        <v/>
      </c>
    </row>
    <row r="15">
      <c r="A15" s="11" t="inlineStr">
        <is>
          <t>Dynamic share (0..1)</t>
        </is>
      </c>
      <c r="B15" s="24">
        <f>IF(E5&lt;&gt;"",XLOOKUP(E5,Project_Templates!A:A,Project_Templates!E:E),0.35)</f>
        <v/>
      </c>
    </row>
    <row r="16">
      <c r="A16" s="11" t="inlineStr">
        <is>
          <t>Edge share (0..1)</t>
        </is>
      </c>
      <c r="B16" s="24">
        <f>IF(E5&lt;&gt;"",XLOOKUP(E5,Project_Templates!A:A,Project_Templates!F:F),0.10)</f>
        <v/>
      </c>
    </row>
    <row r="17">
      <c r="A17" s="11" t="inlineStr">
        <is>
          <t>Avg Active CPU ms per dyn request</t>
        </is>
      </c>
      <c r="B17" s="24">
        <f>IF(E5&lt;&gt;"",XLOOKUP(E5,Project_Templates!A:A,Project_Templates!G:G),35)</f>
        <v/>
      </c>
    </row>
    <row r="18">
      <c r="A18" s="11" t="inlineStr">
        <is>
          <t>Avg duration sec per dyn request</t>
        </is>
      </c>
      <c r="B18" s="24">
        <f>IF(E5&lt;&gt;"",XLOOKUP(E5,Project_Templates!A:A,Project_Templates!H:H),0.25)</f>
        <v/>
      </c>
    </row>
    <row r="19">
      <c r="A19" s="11" t="inlineStr">
        <is>
          <t>Function memory (GB) (Vercel)</t>
        </is>
      </c>
      <c r="B19" s="24">
        <f>IF(E5&lt;&gt;"",XLOOKUP(E5,Project_Templates!A:A,Project_Templates!I:I),0.75)</f>
        <v/>
      </c>
    </row>
    <row r="20">
      <c r="A20" s="11" t="inlineStr">
        <is>
          <t>Hours in month</t>
        </is>
      </c>
      <c r="B20" s="20" t="n">
        <v>720</v>
      </c>
    </row>
    <row r="21">
      <c r="A21" s="11" t="inlineStr">
        <is>
          <t>Use CDN for egress (Y/N)</t>
        </is>
      </c>
      <c r="B21" s="19">
        <f>IF(E5&lt;&gt;"",XLOOKUP(E5,Project_Templates!A:A,Project_Templates!T:T),"Y")</f>
        <v/>
      </c>
    </row>
    <row r="24">
      <c r="A24" s="11" t="inlineStr">
        <is>
          <t>YC App vCPU</t>
        </is>
      </c>
      <c r="B24" s="20">
        <f>IF(E5&lt;&gt;"",XLOOKUP(E5,Project_Templates!A:A,Project_Templates!J:J),2)</f>
        <v/>
      </c>
    </row>
    <row r="25">
      <c r="A25" s="11" t="inlineStr">
        <is>
          <t>YC App RAM (GB)</t>
        </is>
      </c>
      <c r="B25" s="20">
        <f>IF(E5&lt;&gt;"",XLOOKUP(E5,Project_Templates!A:A,Project_Templates!K:K),4)</f>
        <v/>
      </c>
    </row>
    <row r="26">
      <c r="A26" s="11" t="inlineStr">
        <is>
          <t>YC App disk type</t>
        </is>
      </c>
      <c r="B26" s="19">
        <f>IF(E5&lt;&gt;"",XLOOKUP(E5,Project_Templates!A:A,Project_Templates!L:L),"network-ssd")</f>
        <v/>
      </c>
    </row>
    <row r="27">
      <c r="A27" s="11" t="inlineStr">
        <is>
          <t>YC App disk size (GB)</t>
        </is>
      </c>
      <c r="B27" s="20">
        <f>IF(E5&lt;&gt;"",XLOOKUP(E5,Project_Templates!A:A,Project_Templates!M:M),50)</f>
        <v/>
      </c>
    </row>
    <row r="28">
      <c r="A28" s="11" t="inlineStr">
        <is>
          <t>YC DB hosts</t>
        </is>
      </c>
      <c r="B28" s="20">
        <f>IF(E5&lt;&gt;"",XLOOKUP(E5,Project_Templates!A:A,Project_Templates!N:N),2)</f>
        <v/>
      </c>
    </row>
    <row r="29">
      <c r="A29" s="11" t="inlineStr">
        <is>
          <t>YC DB vCPU/host</t>
        </is>
      </c>
      <c r="B29" s="20">
        <f>IF(E5&lt;&gt;"",XLOOKUP(E5,Project_Templates!A:A,Project_Templates!O:O),2)</f>
        <v/>
      </c>
    </row>
    <row r="30">
      <c r="A30" s="11" t="inlineStr">
        <is>
          <t>YC DB RAM/host (GB)</t>
        </is>
      </c>
      <c r="B30" s="20">
        <f>IF(E5&lt;&gt;"",XLOOKUP(E5,Project_Templates!A:A,Project_Templates!P:P),8)</f>
        <v/>
      </c>
    </row>
    <row r="31">
      <c r="A31" s="11" t="inlineStr">
        <is>
          <t>YC DB disk type</t>
        </is>
      </c>
      <c r="B31" s="19">
        <f>IF(E5&lt;&gt;"",XLOOKUP(E5,Project_Templates!A:A,Project_Templates!Q:Q),"network-ssd")</f>
        <v/>
      </c>
    </row>
    <row r="32">
      <c r="A32" s="11" t="inlineStr">
        <is>
          <t>YC DB disk size/host (GB)</t>
        </is>
      </c>
      <c r="B32" s="20">
        <f>IF(E5&lt;&gt;"",XLOOKUP(E5,Project_Templates!A:A,Project_Templates!R:R),50)</f>
        <v/>
      </c>
    </row>
    <row r="33">
      <c r="A33" s="11" t="inlineStr">
        <is>
          <t>Public IP count</t>
        </is>
      </c>
      <c r="B33" s="20">
        <f>IF(E5&lt;&gt;"",XLOOKUP(E5,Project_Templates!A:A,Project_Templates!S:S),1)</f>
        <v/>
      </c>
      <c r="D33" s="10" t="inlineStr">
        <is>
          <t>Derived usage (from inputs)</t>
        </is>
      </c>
    </row>
    <row r="34">
      <c r="D34" s="11" t="inlineStr">
        <is>
          <t>Dynamic invocations (req/mo)</t>
        </is>
      </c>
      <c r="E34" s="34">
        <f>B13*B15</f>
        <v/>
      </c>
    </row>
    <row r="35">
      <c r="D35" s="11" t="inlineStr">
        <is>
          <t>Edge requests (req/mo)</t>
        </is>
      </c>
      <c r="E35" s="34">
        <f>B13*B16</f>
        <v/>
      </c>
    </row>
    <row r="36">
      <c r="D36" s="11" t="inlineStr">
        <is>
          <t>Active CPU hours (Vercel Functions)</t>
        </is>
      </c>
      <c r="E36" s="36">
        <f>E34*(B17/1000)/3600</f>
        <v/>
      </c>
    </row>
    <row r="37">
      <c r="D37" s="11" t="inlineStr">
        <is>
          <t>Provisioned memory GB-hours (Vercel Functions)</t>
        </is>
      </c>
      <c r="E37" s="36">
        <f>E34*(B18/3600)*B19</f>
        <v/>
      </c>
    </row>
    <row r="39">
      <c r="D39" s="10" t="inlineStr">
        <is>
          <t>5) Auto-select plans (simple rules)</t>
        </is>
      </c>
    </row>
    <row r="40">
      <c r="D40" s="11" t="inlineStr">
        <is>
          <t>Heroku dyno plan (AUTO)</t>
        </is>
      </c>
      <c r="E40" s="37">
        <f>IF(B25&lt;=0.5,"Standard-1X",IF(B25&lt;=1,"Standard-2X",IF(B25&lt;=2.5,"Performance-M",IF(B25&lt;=14,"Performance-L","Performance-L"))))</f>
        <v/>
      </c>
    </row>
    <row r="41">
      <c r="D41" s="11" t="inlineStr">
        <is>
          <t>Heroku dyno count (AUTO)</t>
        </is>
      </c>
      <c r="E41" s="37">
        <f>MAX(1,ROUNDUP(B24/2,0))</f>
        <v/>
      </c>
    </row>
    <row r="42">
      <c r="D42" s="11" t="inlineStr">
        <is>
          <t>Heroku Postgres plan (AUTO)</t>
        </is>
      </c>
      <c r="E42" s="37">
        <f>IF(B28*B32&lt;=10,"Essential-1",IF(B28*B32&lt;=32,"Essential-2","Standard-0"))</f>
        <v/>
      </c>
    </row>
    <row r="43">
      <c r="D43" s="11" t="inlineStr">
        <is>
          <t>Heroku Redis plan (AUTO)</t>
        </is>
      </c>
      <c r="E43" s="37" t="inlineStr">
        <is>
          <t>""</t>
        </is>
      </c>
    </row>
    <row r="45">
      <c r="D45" s="10" t="inlineStr">
        <is>
          <t>Advanced overrides (optional)</t>
        </is>
      </c>
    </row>
    <row r="46">
      <c r="D46" s="11" t="inlineStr">
        <is>
          <t>Heroku dyno plan (OVERRIDE)</t>
        </is>
      </c>
      <c r="E46" s="19">
        <f>E40</f>
        <v/>
      </c>
    </row>
    <row r="47">
      <c r="D47" s="11" t="inlineStr">
        <is>
          <t>Heroku dyno count (OVERRIDE)</t>
        </is>
      </c>
      <c r="E47" s="20">
        <f>E41</f>
        <v/>
      </c>
    </row>
    <row r="48">
      <c r="D48" s="11" t="inlineStr">
        <is>
          <t>Heroku Postgres plan (OVERRIDE)</t>
        </is>
      </c>
      <c r="E48" s="19">
        <f>E42</f>
        <v/>
      </c>
    </row>
    <row r="49">
      <c r="D49" s="11" t="inlineStr">
        <is>
          <t>Heroku Redis plan (OVERRIDE)</t>
        </is>
      </c>
      <c r="E49" s="19">
        <f>E43</f>
        <v/>
      </c>
    </row>
    <row r="50">
      <c r="D50" s="11" t="inlineStr">
        <is>
          <t>Vercel paid seats</t>
        </is>
      </c>
      <c r="E50" s="20" t="n">
        <v>1</v>
      </c>
    </row>
    <row r="52">
      <c r="A52" s="10" t="inlineStr">
        <is>
          <t>6) Monthly cost breakdown</t>
        </is>
      </c>
    </row>
    <row r="53">
      <c r="A53" s="1" t="inlineStr">
        <is>
          <t>Cost component</t>
        </is>
      </c>
      <c r="B53" s="1" t="inlineStr">
        <is>
          <t>Vercel base</t>
        </is>
      </c>
      <c r="C53" s="1" t="inlineStr">
        <is>
          <t>Vercel overage</t>
        </is>
      </c>
      <c r="D53" s="1" t="inlineStr">
        <is>
          <t>Heroku base</t>
        </is>
      </c>
      <c r="E53" s="1" t="inlineStr">
        <is>
          <t>Heroku overage</t>
        </is>
      </c>
      <c r="F53" s="1" t="inlineStr">
        <is>
          <t>YC infra</t>
        </is>
      </c>
      <c r="G53" s="1" t="inlineStr">
        <is>
          <t>Our PaaS fee/markup</t>
        </is>
      </c>
      <c r="H53" s="1" t="inlineStr">
        <is>
          <t>Totals</t>
        </is>
      </c>
    </row>
    <row r="54">
      <c r="A54" s="11" t="inlineStr">
        <is>
          <t>Base subscription / plans</t>
        </is>
      </c>
      <c r="B54" s="38">
        <f>E50*Vercel_Rates!$E$2</f>
        <v/>
      </c>
      <c r="C54" s="38" t="inlineStr">
        <is>
          <t>0</t>
        </is>
      </c>
      <c r="D54" s="38">
        <f>E47*VLOOKUP(E46,Heroku_Rates!$B$2:$C$7,2,FALSE) + IF(E48="",0,VLOOKUP(E48,Heroku_Rates!$B$8:$C$13,2,FALSE)) + IF(E49="",0,VLOOKUP(E49,Heroku_Rates!$B$14:$C$19,2,FALSE))</f>
        <v/>
      </c>
      <c r="E54" s="38">
        <f>MAX(0,(E47*VLOOKUP(E46,Heroku_Rates!$B$2:$C$7,2,FALSE) + IF(E48="",0,VLOOKUP(E48,Heroku_Rates!$B$8:$C$13,2,FALSE)) + IF(E49="",0,VLOOKUP(E49,Heroku_Rates!$B$14:$C$19,2,FALSE))) - (E41*VLOOKUP(E40,Heroku_Rates!$B$2:$C$7,2,FALSE) + IF(E42="",0,VLOOKUP(E42,Heroku_Rates!$B$8:$C$13,2,FALSE)) + IF(E43="",0,VLOOKUP(E43,Heroku_Rates!$B$14:$C$19,2,FALSE))))</f>
        <v/>
      </c>
      <c r="F54" s="38" t="inlineStr">
        <is>
          <t>0</t>
        </is>
      </c>
      <c r="G54" s="38">
        <f>$I$5 + $I$6*F66</f>
        <v/>
      </c>
      <c r="H54" s="38">
        <f>SUM(B54:G54)</f>
        <v/>
      </c>
    </row>
    <row r="55">
      <c r="A55" s="11" t="inlineStr">
        <is>
          <t>Bandwidth / data transfer</t>
        </is>
      </c>
      <c r="B55" s="38" t="inlineStr">
        <is>
          <t>0</t>
        </is>
      </c>
      <c r="C55" s="38">
        <f>MAX(0,B14-1024)*Vercel_Rates!$E$3</f>
        <v/>
      </c>
      <c r="D55" s="38" t="inlineStr">
        <is>
          <t>0</t>
        </is>
      </c>
      <c r="E55" s="38" t="inlineStr">
        <is>
          <t>0</t>
        </is>
      </c>
      <c r="F55" s="38">
        <f>IF(B21="Y",B14*YC_Rates!$D$10,B14*YC_Rates!$D$9)</f>
        <v/>
      </c>
      <c r="G55" s="38" t="inlineStr">
        <is>
          <t>0</t>
        </is>
      </c>
      <c r="H55" s="38">
        <f>SUM(B55:G55)</f>
        <v/>
      </c>
    </row>
    <row r="56">
      <c r="A56" s="11" t="inlineStr">
        <is>
          <t>Edge requests</t>
        </is>
      </c>
      <c r="B56" s="38" t="inlineStr">
        <is>
          <t>0</t>
        </is>
      </c>
      <c r="C56" s="38">
        <f>MAX(0,E35-10000000)/1000000*Vercel_Rates!$E$4</f>
        <v/>
      </c>
      <c r="D56" s="38" t="inlineStr">
        <is>
          <t>0</t>
        </is>
      </c>
      <c r="E56" s="38" t="inlineStr">
        <is>
          <t>0</t>
        </is>
      </c>
      <c r="F56" s="38" t="inlineStr">
        <is>
          <t>0</t>
        </is>
      </c>
      <c r="G56" s="38" t="inlineStr">
        <is>
          <t>0</t>
        </is>
      </c>
      <c r="H56" s="38">
        <f>SUM(B56:G56)</f>
        <v/>
      </c>
    </row>
    <row r="57">
      <c r="A57" s="11" t="inlineStr">
        <is>
          <t>Functions: invocations</t>
        </is>
      </c>
      <c r="B57" s="38" t="inlineStr">
        <is>
          <t>0</t>
        </is>
      </c>
      <c r="C57" s="38">
        <f>MAX(0,E34-1000000)/1000000*Vercel_Rates!$E$5</f>
        <v/>
      </c>
      <c r="D57" s="38" t="inlineStr">
        <is>
          <t>0</t>
        </is>
      </c>
      <c r="E57" s="38" t="inlineStr">
        <is>
          <t>0</t>
        </is>
      </c>
      <c r="F57" s="38" t="inlineStr">
        <is>
          <t>0</t>
        </is>
      </c>
      <c r="G57" s="38" t="inlineStr">
        <is>
          <t>0</t>
        </is>
      </c>
      <c r="H57" s="38">
        <f>SUM(B57:G57)</f>
        <v/>
      </c>
    </row>
    <row r="58">
      <c r="A58" s="11" t="inlineStr">
        <is>
          <t>Functions: Active CPU</t>
        </is>
      </c>
      <c r="B58" s="38" t="inlineStr">
        <is>
          <t>0</t>
        </is>
      </c>
      <c r="C58" s="38">
        <f>MAX(0,E36-4)*Vercel_Rates!$E$6</f>
        <v/>
      </c>
      <c r="D58" s="38" t="inlineStr">
        <is>
          <t>0</t>
        </is>
      </c>
      <c r="E58" s="38" t="inlineStr">
        <is>
          <t>0</t>
        </is>
      </c>
      <c r="F58" s="38" t="inlineStr">
        <is>
          <t>0</t>
        </is>
      </c>
      <c r="G58" s="38" t="inlineStr">
        <is>
          <t>0</t>
        </is>
      </c>
      <c r="H58" s="38">
        <f>SUM(B58:G58)</f>
        <v/>
      </c>
    </row>
    <row r="59">
      <c r="A59" s="11" t="inlineStr">
        <is>
          <t>Functions: Memory</t>
        </is>
      </c>
      <c r="B59" s="38" t="inlineStr">
        <is>
          <t>0</t>
        </is>
      </c>
      <c r="C59" s="38">
        <f>MAX(0,E37-360)*Vercel_Rates!$E$7</f>
        <v/>
      </c>
      <c r="D59" s="38" t="inlineStr">
        <is>
          <t>0</t>
        </is>
      </c>
      <c r="E59" s="38" t="inlineStr">
        <is>
          <t>0</t>
        </is>
      </c>
      <c r="F59" s="38" t="inlineStr">
        <is>
          <t>0</t>
        </is>
      </c>
      <c r="G59" s="38" t="inlineStr">
        <is>
          <t>0</t>
        </is>
      </c>
      <c r="H59" s="38">
        <f>SUM(B59:G59)</f>
        <v/>
      </c>
    </row>
    <row r="60">
      <c r="A60" s="11" t="inlineStr">
        <is>
          <t>Vercel usage credit (subtract)</t>
        </is>
      </c>
      <c r="B60" s="38" t="inlineStr">
        <is>
          <t>0</t>
        </is>
      </c>
      <c r="C60" s="38">
        <f>-MIN(Vercel_Rates!$D$8,SUM(C55:C59))</f>
        <v/>
      </c>
      <c r="D60" s="38" t="inlineStr">
        <is>
          <t>0</t>
        </is>
      </c>
      <c r="E60" s="38" t="inlineStr">
        <is>
          <t>0</t>
        </is>
      </c>
      <c r="F60" s="38" t="inlineStr">
        <is>
          <t>0</t>
        </is>
      </c>
      <c r="G60" s="38" t="inlineStr">
        <is>
          <t>0</t>
        </is>
      </c>
      <c r="H60" s="38">
        <f>SUM(B60:G60)</f>
        <v/>
      </c>
    </row>
    <row r="61">
      <c r="A61" s="11" t="inlineStr">
        <is>
          <t>Compute (YC app)</t>
        </is>
      </c>
      <c r="B61" s="38" t="inlineStr">
        <is>
          <t>0</t>
        </is>
      </c>
      <c r="C61" s="38" t="inlineStr">
        <is>
          <t>0</t>
        </is>
      </c>
      <c r="D61" s="38" t="inlineStr">
        <is>
          <t>0</t>
        </is>
      </c>
      <c r="E61" s="38" t="inlineStr">
        <is>
          <t>0</t>
        </is>
      </c>
      <c r="F61" s="38">
        <f>B20*(B24*YC_Rates!$D$2 + B25*YC_Rates!$D$3)</f>
        <v/>
      </c>
      <c r="G61" s="38" t="inlineStr">
        <is>
          <t>0</t>
        </is>
      </c>
      <c r="H61" s="38">
        <f>SUM(B61:G61)</f>
        <v/>
      </c>
    </row>
    <row r="62">
      <c r="A62" s="11" t="inlineStr">
        <is>
          <t>Disk (YC app)</t>
        </is>
      </c>
      <c r="B62" s="38" t="inlineStr">
        <is>
          <t>0</t>
        </is>
      </c>
      <c r="C62" s="38" t="inlineStr">
        <is>
          <t>0</t>
        </is>
      </c>
      <c r="D62" s="38" t="inlineStr">
        <is>
          <t>0</t>
        </is>
      </c>
      <c r="E62" s="38" t="inlineStr">
        <is>
          <t>0</t>
        </is>
      </c>
      <c r="F62" s="38">
        <f>B27*IF(B26="network-ssd",YC_Rates!$D$6,YC_Rates!$D$5)</f>
        <v/>
      </c>
      <c r="G62" s="38" t="inlineStr">
        <is>
          <t>0</t>
        </is>
      </c>
      <c r="H62" s="38">
        <f>SUM(B62:G62)</f>
        <v/>
      </c>
    </row>
    <row r="63">
      <c r="A63" s="11" t="inlineStr">
        <is>
          <t>Database (YC managed Postgres)</t>
        </is>
      </c>
      <c r="B63" s="38" t="inlineStr">
        <is>
          <t>0</t>
        </is>
      </c>
      <c r="C63" s="38" t="inlineStr">
        <is>
          <t>0</t>
        </is>
      </c>
      <c r="D63" s="38" t="inlineStr">
        <is>
          <t>0</t>
        </is>
      </c>
      <c r="E63" s="38" t="inlineStr">
        <is>
          <t>0</t>
        </is>
      </c>
      <c r="F63" s="38">
        <f>B28*B20*(B29*YC_Rates!$D$7 + B30*YC_Rates!$D$8) + B28*(B32*IF(B31="network-ssd",YC_Rates!$D$6,YC_Rates!$D$5))</f>
        <v/>
      </c>
      <c r="G63" s="38" t="inlineStr">
        <is>
          <t>0</t>
        </is>
      </c>
      <c r="H63" s="38">
        <f>SUM(B63:G63)</f>
        <v/>
      </c>
    </row>
    <row r="64">
      <c r="A64" s="11" t="inlineStr">
        <is>
          <t>Public IP addresses (YC)</t>
        </is>
      </c>
      <c r="B64" s="38" t="inlineStr">
        <is>
          <t>0</t>
        </is>
      </c>
      <c r="C64" s="38" t="inlineStr">
        <is>
          <t>0</t>
        </is>
      </c>
      <c r="D64" s="38" t="inlineStr">
        <is>
          <t>0</t>
        </is>
      </c>
      <c r="E64" s="38" t="inlineStr">
        <is>
          <t>0</t>
        </is>
      </c>
      <c r="F64" s="38">
        <f>B33*B20*YC_Rates!$D$4</f>
        <v/>
      </c>
      <c r="G64" s="38" t="inlineStr">
        <is>
          <t>0</t>
        </is>
      </c>
      <c r="H64" s="38">
        <f>SUM(B64:G64)</f>
        <v/>
      </c>
    </row>
    <row r="66">
      <c r="E66" s="6" t="inlineStr">
        <is>
          <t>YC infra total</t>
        </is>
      </c>
      <c r="F66" s="39">
        <f>SUM(F54:F64)</f>
        <v/>
      </c>
      <c r="G66" s="39">
        <f>$I$6*F66</f>
        <v/>
      </c>
    </row>
    <row r="68">
      <c r="A68" s="17" t="inlineStr">
        <is>
          <t>TOTAL / month</t>
        </is>
      </c>
      <c r="B68" s="40">
        <f>SUM(B54:B64)</f>
        <v/>
      </c>
      <c r="C68" s="40">
        <f>SUM(C54:C64)</f>
        <v/>
      </c>
      <c r="D68" s="40">
        <f>SUM(D54:D64)</f>
        <v/>
      </c>
      <c r="E68" s="40">
        <f>SUM(E54:E64)</f>
        <v/>
      </c>
      <c r="F68" s="40">
        <f>F66</f>
        <v/>
      </c>
      <c r="G68" s="40">
        <f>$I$5 + $I$6*F66</f>
        <v/>
      </c>
      <c r="H68" s="40">
        <f>SUM(B68:G68)</f>
        <v/>
      </c>
    </row>
    <row r="70">
      <c r="A70" s="10" t="inlineStr">
        <is>
          <t>7) Comparison insights</t>
        </is>
      </c>
    </row>
    <row r="71">
      <c r="A71" s="11" t="inlineStr">
        <is>
          <t>Vercel overage (monthly)</t>
        </is>
      </c>
      <c r="B71" s="38">
        <f>C68</f>
        <v/>
      </c>
    </row>
    <row r="72">
      <c r="A72" s="11" t="inlineStr">
        <is>
          <t>YC infra incremental cost vs Vercel overage (Bandwidth+Compute only)</t>
        </is>
      </c>
      <c r="B72" s="38">
        <f>F55+F61</f>
        <v/>
      </c>
    </row>
    <row r="73">
      <c r="A73" s="11" t="inlineStr">
        <is>
          <t>Delta (YC bandwidth+compute) - (Vercel overage)</t>
        </is>
      </c>
      <c r="B73" s="41">
        <f>B72-B71</f>
        <v/>
      </c>
    </row>
    <row r="74">
      <c r="A74" s="11" t="inlineStr">
        <is>
          <t>Message</t>
        </is>
      </c>
      <c r="B74" s="42">
        <f>IF(B73&lt;0,"YC infra cheaper than Vercel overage (for bandwidth+compute)","Vercel overage cheaper / comparable (for bandwidth+compute)")</f>
        <v/>
      </c>
    </row>
  </sheetData>
  <mergeCells count="3">
    <mergeCell ref="G4:H14"/>
    <mergeCell ref="G17:H30"/>
    <mergeCell ref="A1:H1"/>
  </mergeCells>
  <dataValidations count="12">
    <dataValidation sqref="B4" showDropDown="0" showInputMessage="0" showErrorMessage="0" allowBlank="1" type="list">
      <formula1>Project_Templates!$A$2:$A$4</formula1>
    </dataValidation>
    <dataValidation sqref="B13" showDropDown="0" showInputMessage="0" showErrorMessage="0" allowBlank="0" type="list">
      <formula1>"Y,N"</formula1>
    </dataValidation>
    <dataValidation sqref="E11 E16" showDropDown="0" showInputMessage="0" showErrorMessage="0" allowBlank="0" type="list">
      <formula1>"network-hdd,network-ssd"</formula1>
    </dataValidation>
    <dataValidation sqref="E5" showDropDown="0" showInputMessage="0" showErrorMessage="0" allowBlank="0" type="list">
      <formula1>Heroku_Rates!$B$2:$B$7</formula1>
    </dataValidation>
    <dataValidation sqref="E7" showDropDown="0" showInputMessage="0" showErrorMessage="0" allowBlank="0" type="list">
      <formula1>Heroku_Rates!$B$8:$B$13</formula1>
    </dataValidation>
    <dataValidation sqref="E8" showDropDown="0" showInputMessage="0" showErrorMessage="0" allowBlank="0" type="list">
      <formula1>Heroku_Rates!$B$14:$B$19</formula1>
    </dataValidation>
    <dataValidation sqref="B5 B21" showDropDown="0" showInputMessage="0" showErrorMessage="0" allowBlank="0" type="list">
      <formula1>"Y,N"</formula1>
    </dataValidation>
    <dataValidation sqref="E5" showDropDown="0" showInputMessage="0" showErrorMessage="0" allowBlank="1" type="list">
      <formula1>Project_Templates!$A$2:$A$4</formula1>
    </dataValidation>
    <dataValidation sqref="B26 B31" showDropDown="0" showInputMessage="0" showErrorMessage="0" allowBlank="0" type="list">
      <formula1>"network-hdd,network-ssd"</formula1>
    </dataValidation>
    <dataValidation sqref="E46" showDropDown="0" showInputMessage="0" showErrorMessage="0" allowBlank="0" type="list">
      <formula1>Heroku_Rates!$B$2:$B$7</formula1>
    </dataValidation>
    <dataValidation sqref="E48" showDropDown="0" showInputMessage="0" showErrorMessage="0" allowBlank="0" type="list">
      <formula1>Heroku_Rates!$B$8:$B$13</formula1>
    </dataValidation>
    <dataValidation sqref="E49" showDropDown="0" showInputMessage="0" showErrorMessage="0" allowBlank="1" type="list">
      <formula1>Heroku_Rates!$B$14:$B$19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9" customWidth="1" min="3" max="3"/>
    <col width="13" customWidth="1" min="4" max="4"/>
    <col width="38" customWidth="1" min="5" max="5"/>
    <col width="52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Price (USD)</t>
        </is>
      </c>
      <c r="E1" s="1" t="inlineStr">
        <is>
          <t>Notes</t>
        </is>
      </c>
      <c r="F1" s="1" t="inlineStr">
        <is>
          <t>Source (pricing page)</t>
        </is>
      </c>
    </row>
    <row r="2">
      <c r="A2" s="2" t="inlineStr">
        <is>
          <t>Compute Cloud</t>
        </is>
      </c>
      <c r="B2" s="2" t="inlineStr">
        <is>
          <t>vCPU-hour (100% guaranteed)</t>
        </is>
      </c>
      <c r="C2" s="2" t="inlineStr">
        <is>
          <t>USD per vCPU-hour</t>
        </is>
      </c>
      <c r="D2" s="3" t="n">
        <v>0.00945</v>
      </c>
      <c r="E2" s="2" t="inlineStr">
        <is>
          <t>Example unit price (standard-v3).</t>
        </is>
      </c>
      <c r="F2" s="2" t="inlineStr">
        <is>
          <t>https://yandex.cloud/en/docs/compute/pricing</t>
        </is>
      </c>
    </row>
    <row r="3">
      <c r="A3" s="2" t="inlineStr">
        <is>
          <t>Compute Cloud</t>
        </is>
      </c>
      <c r="B3" s="2" t="inlineStr">
        <is>
          <t>RAM GB-hour</t>
        </is>
      </c>
      <c r="C3" s="2" t="inlineStr">
        <is>
          <t>USD per GB-hour</t>
        </is>
      </c>
      <c r="D3" s="3" t="n">
        <v>0.00252</v>
      </c>
      <c r="E3" s="2" t="inlineStr">
        <is>
          <t>Example unit price (standard-v3).</t>
        </is>
      </c>
      <c r="F3" s="2" t="inlineStr">
        <is>
          <t>https://yandex.cloud/en/docs/compute/pricing</t>
        </is>
      </c>
    </row>
    <row r="4">
      <c r="A4" s="2" t="inlineStr">
        <is>
          <t>VPC</t>
        </is>
      </c>
      <c r="B4" s="2" t="inlineStr">
        <is>
          <t>Public IP address</t>
        </is>
      </c>
      <c r="C4" s="2" t="inlineStr">
        <is>
          <t>USD per IP-hour</t>
        </is>
      </c>
      <c r="D4" s="3" t="n">
        <v>0.00216</v>
      </c>
      <c r="E4" s="2" t="inlineStr">
        <is>
          <t>Public IPv4 address hourly.</t>
        </is>
      </c>
      <c r="F4" s="2" t="inlineStr">
        <is>
          <t>https://yandex.cloud/en/docs/vpc/pricing</t>
        </is>
      </c>
    </row>
    <row r="5">
      <c r="A5" s="2" t="inlineStr">
        <is>
          <t>Disks</t>
        </is>
      </c>
      <c r="B5" s="2" t="inlineStr">
        <is>
          <t>Network HDD</t>
        </is>
      </c>
      <c r="C5" s="2" t="inlineStr">
        <is>
          <t>USD per GB-month</t>
        </is>
      </c>
      <c r="D5" s="3" t="n">
        <v>0.0288</v>
      </c>
      <c r="E5" s="2" t="inlineStr">
        <is>
          <t>Used by managed DB examples.</t>
        </is>
      </c>
      <c r="F5" s="2" t="inlineStr">
        <is>
          <t>https://yandex.cloud/en/docs/managed-postgresql/pricing</t>
        </is>
      </c>
    </row>
    <row r="6">
      <c r="A6" s="2" t="inlineStr">
        <is>
          <t>Disks</t>
        </is>
      </c>
      <c r="B6" s="2" t="inlineStr">
        <is>
          <t>Network SSD</t>
        </is>
      </c>
      <c r="C6" s="2" t="inlineStr">
        <is>
          <t>USD per GB-month</t>
        </is>
      </c>
      <c r="D6" s="3" t="n">
        <v>0.11709</v>
      </c>
      <c r="E6" s="2" t="inlineStr">
        <is>
          <t>Used by managed DB examples.</t>
        </is>
      </c>
      <c r="F6" s="2" t="inlineStr">
        <is>
          <t>https://yandex.cloud/en/docs/managed-valkey/pricing</t>
        </is>
      </c>
    </row>
    <row r="7">
      <c r="A7" s="2" t="inlineStr">
        <is>
          <t>Managed PostgreSQL</t>
        </is>
      </c>
      <c r="B7" s="2" t="inlineStr">
        <is>
          <t>vCPU-hour</t>
        </is>
      </c>
      <c r="C7" s="2" t="inlineStr">
        <is>
          <t>USD per vCPU-hour</t>
        </is>
      </c>
      <c r="D7" s="3" t="n">
        <v>0.01467</v>
      </c>
      <c r="E7" s="2" t="inlineStr">
        <is>
          <t>Example unit price (Intel Ice Lake).</t>
        </is>
      </c>
      <c r="F7" s="2" t="inlineStr">
        <is>
          <t>https://yandex.cloud/en/docs/managed-postgresql/pricing</t>
        </is>
      </c>
    </row>
    <row r="8">
      <c r="A8" s="2" t="inlineStr">
        <is>
          <t>Managed PostgreSQL</t>
        </is>
      </c>
      <c r="B8" s="2" t="inlineStr">
        <is>
          <t>RAM GB-hour</t>
        </is>
      </c>
      <c r="C8" s="2" t="inlineStr">
        <is>
          <t>USD per GB-hour</t>
        </is>
      </c>
      <c r="D8" s="3" t="n">
        <v>0.00396</v>
      </c>
      <c r="E8" s="2" t="inlineStr">
        <is>
          <t>Example unit price.</t>
        </is>
      </c>
      <c r="F8" s="2" t="inlineStr">
        <is>
          <t>https://yandex.cloud/en/docs/managed-postgresql/pricing</t>
        </is>
      </c>
    </row>
    <row r="9">
      <c r="A9" s="2" t="inlineStr">
        <is>
          <t>Object Storage</t>
        </is>
      </c>
      <c r="B9" s="2" t="inlineStr">
        <is>
          <t>Standard storage</t>
        </is>
      </c>
      <c r="C9" s="2" t="inlineStr">
        <is>
          <t>USD per GB-month</t>
        </is>
      </c>
      <c r="D9" s="3" t="n">
        <v>0.01809</v>
      </c>
      <c r="E9" s="2" t="inlineStr">
        <is>
          <t>Example standard storage.</t>
        </is>
      </c>
      <c r="F9" s="2" t="inlineStr">
        <is>
          <t>https://yandex.cloud/en/docs/storage/pricing</t>
        </is>
      </c>
    </row>
    <row r="10">
      <c r="A10" s="2" t="inlineStr">
        <is>
          <t>Traffic</t>
        </is>
      </c>
      <c r="B10" s="2" t="inlineStr">
        <is>
          <t>Object Storage outgoing (tier ~100GB..1TB)</t>
        </is>
      </c>
      <c r="C10" s="2" t="inlineStr">
        <is>
          <t>USD per GB</t>
        </is>
      </c>
      <c r="D10" s="3" t="n">
        <v>0.01377</v>
      </c>
      <c r="E10" s="2" t="inlineStr">
        <is>
          <t>Example tiered egress price.</t>
        </is>
      </c>
      <c r="F10" s="2" t="inlineStr">
        <is>
          <t>https://yandex.cloud/en/docs/storage/pricing</t>
        </is>
      </c>
    </row>
    <row r="11">
      <c r="A11" s="2" t="inlineStr">
        <is>
          <t>CDN</t>
        </is>
      </c>
      <c r="B11" s="2" t="inlineStr">
        <is>
          <t>Outgoing traffic from CDN</t>
        </is>
      </c>
      <c r="C11" s="2" t="inlineStr">
        <is>
          <t>USD per GB</t>
        </is>
      </c>
      <c r="D11" s="3" t="n">
        <v>0.007692</v>
      </c>
      <c r="E11" s="2" t="inlineStr">
        <is>
          <t>Charged for CDN egress to Internet.</t>
        </is>
      </c>
      <c r="F11" s="2" t="inlineStr">
        <is>
          <t>https://yandex.cloud/en/services/cdn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2" customWidth="1" min="4" max="4"/>
    <col width="20" customWidth="1" min="5" max="5"/>
    <col width="22" customWidth="1" min="6" max="6"/>
    <col width="19" customWidth="1" min="7" max="7"/>
    <col width="12" customWidth="1" min="8" max="8"/>
  </cols>
  <sheetData>
    <row r="1">
      <c r="A1" s="1" t="inlineStr">
        <is>
          <t>vCPU</t>
        </is>
      </c>
      <c r="B1" s="1" t="inlineStr">
        <is>
          <t>vCPU-hours/month</t>
        </is>
      </c>
      <c r="C1" s="1" t="inlineStr">
        <is>
          <t>vCPU cost/month (USD)</t>
        </is>
      </c>
      <c r="D1" s="1" t="inlineStr">
        <is>
          <t>RAM (GB)</t>
        </is>
      </c>
      <c r="E1" s="1" t="inlineStr">
        <is>
          <t>RAM GB-hours/month</t>
        </is>
      </c>
      <c r="F1" s="1" t="inlineStr">
        <is>
          <t>RAM cost/month (USD)</t>
        </is>
      </c>
      <c r="G1" s="1" t="inlineStr">
        <is>
          <t>Hours/month input</t>
        </is>
      </c>
    </row>
    <row r="2">
      <c r="A2" s="4" t="n">
        <v>1</v>
      </c>
      <c r="B2" s="4">
        <f>$H$2*A2</f>
        <v/>
      </c>
      <c r="C2" s="5">
        <f>B2*YC_Rates!$D$2</f>
        <v/>
      </c>
      <c r="D2" s="4" t="n">
        <v>1</v>
      </c>
      <c r="E2" s="4">
        <f>$H$2*D2</f>
        <v/>
      </c>
      <c r="F2" s="5">
        <f>E2*YC_Rates!$D$3</f>
        <v/>
      </c>
      <c r="G2" s="6" t="inlineStr">
        <is>
          <t>Edit hours/month:</t>
        </is>
      </c>
      <c r="H2" s="7" t="n">
        <v>720</v>
      </c>
    </row>
    <row r="3">
      <c r="A3" s="4" t="n">
        <v>2</v>
      </c>
      <c r="B3" s="4">
        <f>$H$2*A3</f>
        <v/>
      </c>
      <c r="C3" s="5">
        <f>B3*YC_Rates!$D$2</f>
        <v/>
      </c>
      <c r="D3" s="4" t="n">
        <v>2</v>
      </c>
      <c r="E3" s="4">
        <f>$H$2*D3</f>
        <v/>
      </c>
      <c r="F3" s="5">
        <f>E3*YC_Rates!$D$3</f>
        <v/>
      </c>
    </row>
    <row r="4">
      <c r="A4" s="4" t="n">
        <v>3</v>
      </c>
      <c r="B4" s="4">
        <f>$H$2*A4</f>
        <v/>
      </c>
      <c r="C4" s="5">
        <f>B4*YC_Rates!$D$2</f>
        <v/>
      </c>
      <c r="D4" s="4" t="n">
        <v>3</v>
      </c>
      <c r="E4" s="4">
        <f>$H$2*D4</f>
        <v/>
      </c>
      <c r="F4" s="5">
        <f>E4*YC_Rates!$D$3</f>
        <v/>
      </c>
    </row>
    <row r="5">
      <c r="A5" s="4" t="n">
        <v>4</v>
      </c>
      <c r="B5" s="4">
        <f>$H$2*A5</f>
        <v/>
      </c>
      <c r="C5" s="5">
        <f>B5*YC_Rates!$D$2</f>
        <v/>
      </c>
      <c r="D5" s="4" t="n">
        <v>4</v>
      </c>
      <c r="E5" s="4">
        <f>$H$2*D5</f>
        <v/>
      </c>
      <c r="F5" s="5">
        <f>E5*YC_Rates!$D$3</f>
        <v/>
      </c>
    </row>
    <row r="6">
      <c r="A6" s="4" t="n">
        <v>5</v>
      </c>
      <c r="B6" s="4">
        <f>$H$2*A6</f>
        <v/>
      </c>
      <c r="C6" s="5">
        <f>B6*YC_Rates!$D$2</f>
        <v/>
      </c>
      <c r="D6" s="4" t="n">
        <v>5</v>
      </c>
      <c r="E6" s="4">
        <f>$H$2*D6</f>
        <v/>
      </c>
      <c r="F6" s="5">
        <f>E6*YC_Rates!$D$3</f>
        <v/>
      </c>
    </row>
    <row r="7">
      <c r="A7" s="4" t="n">
        <v>6</v>
      </c>
      <c r="B7" s="4">
        <f>$H$2*A7</f>
        <v/>
      </c>
      <c r="C7" s="5">
        <f>B7*YC_Rates!$D$2</f>
        <v/>
      </c>
      <c r="D7" s="4" t="n">
        <v>6</v>
      </c>
      <c r="E7" s="4">
        <f>$H$2*D7</f>
        <v/>
      </c>
      <c r="F7" s="5">
        <f>E7*YC_Rates!$D$3</f>
        <v/>
      </c>
    </row>
    <row r="8">
      <c r="A8" s="4" t="n">
        <v>7</v>
      </c>
      <c r="B8" s="4">
        <f>$H$2*A8</f>
        <v/>
      </c>
      <c r="C8" s="5">
        <f>B8*YC_Rates!$D$2</f>
        <v/>
      </c>
      <c r="D8" s="4" t="n">
        <v>7</v>
      </c>
      <c r="E8" s="4">
        <f>$H$2*D8</f>
        <v/>
      </c>
      <c r="F8" s="5">
        <f>E8*YC_Rates!$D$3</f>
        <v/>
      </c>
    </row>
    <row r="9">
      <c r="A9" s="4" t="n">
        <v>8</v>
      </c>
      <c r="B9" s="4">
        <f>$H$2*A9</f>
        <v/>
      </c>
      <c r="C9" s="5">
        <f>B9*YC_Rates!$D$2</f>
        <v/>
      </c>
      <c r="D9" s="4" t="n">
        <v>8</v>
      </c>
      <c r="E9" s="4">
        <f>$H$2*D9</f>
        <v/>
      </c>
      <c r="F9" s="5">
        <f>E9*YC_Rates!$D$3</f>
        <v/>
      </c>
    </row>
    <row r="10">
      <c r="A10" s="4" t="n">
        <v>9</v>
      </c>
      <c r="B10" s="4">
        <f>$H$2*A10</f>
        <v/>
      </c>
      <c r="C10" s="5">
        <f>B10*YC_Rates!$D$2</f>
        <v/>
      </c>
      <c r="D10" s="4" t="n">
        <v>9</v>
      </c>
      <c r="E10" s="4">
        <f>$H$2*D10</f>
        <v/>
      </c>
      <c r="F10" s="5">
        <f>E10*YC_Rates!$D$3</f>
        <v/>
      </c>
    </row>
    <row r="11">
      <c r="A11" s="4" t="n">
        <v>10</v>
      </c>
      <c r="B11" s="4">
        <f>$H$2*A11</f>
        <v/>
      </c>
      <c r="C11" s="5">
        <f>B11*YC_Rates!$D$2</f>
        <v/>
      </c>
      <c r="D11" s="4" t="n">
        <v>10</v>
      </c>
      <c r="E11" s="4">
        <f>$H$2*D11</f>
        <v/>
      </c>
      <c r="F11" s="5">
        <f>E11*YC_Rates!$D$3</f>
        <v/>
      </c>
    </row>
    <row r="12">
      <c r="A12" s="4" t="n">
        <v>11</v>
      </c>
      <c r="B12" s="4">
        <f>$H$2*A12</f>
        <v/>
      </c>
      <c r="C12" s="5">
        <f>B12*YC_Rates!$D$2</f>
        <v/>
      </c>
      <c r="D12" s="4" t="n">
        <v>11</v>
      </c>
      <c r="E12" s="4">
        <f>$H$2*D12</f>
        <v/>
      </c>
      <c r="F12" s="5">
        <f>E12*YC_Rates!$D$3</f>
        <v/>
      </c>
    </row>
    <row r="13">
      <c r="A13" s="4" t="n">
        <v>12</v>
      </c>
      <c r="B13" s="4">
        <f>$H$2*A13</f>
        <v/>
      </c>
      <c r="C13" s="5">
        <f>B13*YC_Rates!$D$2</f>
        <v/>
      </c>
      <c r="D13" s="4" t="n">
        <v>12</v>
      </c>
      <c r="E13" s="4">
        <f>$H$2*D13</f>
        <v/>
      </c>
      <c r="F13" s="5">
        <f>E13*YC_Rates!$D$3</f>
        <v/>
      </c>
    </row>
    <row r="14">
      <c r="A14" s="4" t="n">
        <v>13</v>
      </c>
      <c r="B14" s="4">
        <f>$H$2*A14</f>
        <v/>
      </c>
      <c r="C14" s="5">
        <f>B14*YC_Rates!$D$2</f>
        <v/>
      </c>
      <c r="D14" s="4" t="n">
        <v>13</v>
      </c>
      <c r="E14" s="4">
        <f>$H$2*D14</f>
        <v/>
      </c>
      <c r="F14" s="5">
        <f>E14*YC_Rates!$D$3</f>
        <v/>
      </c>
    </row>
    <row r="15">
      <c r="A15" s="4" t="n">
        <v>14</v>
      </c>
      <c r="B15" s="4">
        <f>$H$2*A15</f>
        <v/>
      </c>
      <c r="C15" s="5">
        <f>B15*YC_Rates!$D$2</f>
        <v/>
      </c>
      <c r="D15" s="4" t="n">
        <v>14</v>
      </c>
      <c r="E15" s="4">
        <f>$H$2*D15</f>
        <v/>
      </c>
      <c r="F15" s="5">
        <f>E15*YC_Rates!$D$3</f>
        <v/>
      </c>
    </row>
    <row r="16">
      <c r="A16" s="4" t="n">
        <v>15</v>
      </c>
      <c r="B16" s="4">
        <f>$H$2*A16</f>
        <v/>
      </c>
      <c r="C16" s="5">
        <f>B16*YC_Rates!$D$2</f>
        <v/>
      </c>
      <c r="D16" s="4" t="n">
        <v>15</v>
      </c>
      <c r="E16" s="4">
        <f>$H$2*D16</f>
        <v/>
      </c>
      <c r="F16" s="5">
        <f>E16*YC_Rates!$D$3</f>
        <v/>
      </c>
    </row>
    <row r="17">
      <c r="A17" s="4" t="n">
        <v>16</v>
      </c>
      <c r="B17" s="4">
        <f>$H$2*A17</f>
        <v/>
      </c>
      <c r="C17" s="5">
        <f>B17*YC_Rates!$D$2</f>
        <v/>
      </c>
      <c r="D17" s="4" t="n">
        <v>16</v>
      </c>
      <c r="E17" s="4">
        <f>$H$2*D17</f>
        <v/>
      </c>
      <c r="F17" s="5">
        <f>E17*YC_Rates!$D$3</f>
        <v/>
      </c>
    </row>
    <row r="18">
      <c r="A18" s="4" t="n">
        <v>17</v>
      </c>
      <c r="B18" s="4">
        <f>$H$2*A18</f>
        <v/>
      </c>
      <c r="C18" s="5">
        <f>B18*YC_Rates!$D$2</f>
        <v/>
      </c>
      <c r="D18" s="4" t="n">
        <v>17</v>
      </c>
      <c r="E18" s="4">
        <f>$H$2*D18</f>
        <v/>
      </c>
      <c r="F18" s="5">
        <f>E18*YC_Rates!$D$3</f>
        <v/>
      </c>
    </row>
    <row r="19">
      <c r="A19" s="4" t="n">
        <v>18</v>
      </c>
      <c r="B19" s="4">
        <f>$H$2*A19</f>
        <v/>
      </c>
      <c r="C19" s="5">
        <f>B19*YC_Rates!$D$2</f>
        <v/>
      </c>
      <c r="D19" s="4" t="n">
        <v>18</v>
      </c>
      <c r="E19" s="4">
        <f>$H$2*D19</f>
        <v/>
      </c>
      <c r="F19" s="5">
        <f>E19*YC_Rates!$D$3</f>
        <v/>
      </c>
    </row>
    <row r="20">
      <c r="A20" s="4" t="n">
        <v>19</v>
      </c>
      <c r="B20" s="4">
        <f>$H$2*A20</f>
        <v/>
      </c>
      <c r="C20" s="5">
        <f>B20*YC_Rates!$D$2</f>
        <v/>
      </c>
      <c r="D20" s="4" t="n">
        <v>19</v>
      </c>
      <c r="E20" s="4">
        <f>$H$2*D20</f>
        <v/>
      </c>
      <c r="F20" s="5">
        <f>E20*YC_Rates!$D$3</f>
        <v/>
      </c>
    </row>
    <row r="21">
      <c r="A21" s="4" t="n">
        <v>20</v>
      </c>
      <c r="B21" s="4">
        <f>$H$2*A21</f>
        <v/>
      </c>
      <c r="C21" s="5">
        <f>B21*YC_Rates!$D$2</f>
        <v/>
      </c>
      <c r="D21" s="4" t="n">
        <v>20</v>
      </c>
      <c r="E21" s="4">
        <f>$H$2*D21</f>
        <v/>
      </c>
      <c r="F21" s="5">
        <f>E21*YC_Rates!$D$3</f>
        <v/>
      </c>
    </row>
    <row r="22">
      <c r="A22" s="4" t="n">
        <v>21</v>
      </c>
      <c r="B22" s="4">
        <f>$H$2*A22</f>
        <v/>
      </c>
      <c r="C22" s="5">
        <f>B22*YC_Rates!$D$2</f>
        <v/>
      </c>
      <c r="D22" s="4" t="n">
        <v>21</v>
      </c>
      <c r="E22" s="4">
        <f>$H$2*D22</f>
        <v/>
      </c>
      <c r="F22" s="5">
        <f>E22*YC_Rates!$D$3</f>
        <v/>
      </c>
    </row>
    <row r="23">
      <c r="A23" s="4" t="n">
        <v>22</v>
      </c>
      <c r="B23" s="4">
        <f>$H$2*A23</f>
        <v/>
      </c>
      <c r="C23" s="5">
        <f>B23*YC_Rates!$D$2</f>
        <v/>
      </c>
      <c r="D23" s="4" t="n">
        <v>22</v>
      </c>
      <c r="E23" s="4">
        <f>$H$2*D23</f>
        <v/>
      </c>
      <c r="F23" s="5">
        <f>E23*YC_Rates!$D$3</f>
        <v/>
      </c>
    </row>
    <row r="24">
      <c r="A24" s="4" t="n">
        <v>23</v>
      </c>
      <c r="B24" s="4">
        <f>$H$2*A24</f>
        <v/>
      </c>
      <c r="C24" s="5">
        <f>B24*YC_Rates!$D$2</f>
        <v/>
      </c>
      <c r="D24" s="4" t="n">
        <v>23</v>
      </c>
      <c r="E24" s="4">
        <f>$H$2*D24</f>
        <v/>
      </c>
      <c r="F24" s="5">
        <f>E24*YC_Rates!$D$3</f>
        <v/>
      </c>
    </row>
    <row r="25">
      <c r="A25" s="4" t="n">
        <v>24</v>
      </c>
      <c r="B25" s="4">
        <f>$H$2*A25</f>
        <v/>
      </c>
      <c r="C25" s="5">
        <f>B25*YC_Rates!$D$2</f>
        <v/>
      </c>
      <c r="D25" s="4" t="n">
        <v>24</v>
      </c>
      <c r="E25" s="4">
        <f>$H$2*D25</f>
        <v/>
      </c>
      <c r="F25" s="5">
        <f>E25*YC_Rates!$D$3</f>
        <v/>
      </c>
    </row>
    <row r="26">
      <c r="A26" s="4" t="n">
        <v>25</v>
      </c>
      <c r="B26" s="4">
        <f>$H$2*A26</f>
        <v/>
      </c>
      <c r="C26" s="5">
        <f>B26*YC_Rates!$D$2</f>
        <v/>
      </c>
      <c r="D26" s="4" t="n">
        <v>25</v>
      </c>
      <c r="E26" s="4">
        <f>$H$2*D26</f>
        <v/>
      </c>
      <c r="F26" s="5">
        <f>E26*YC_Rates!$D$3</f>
        <v/>
      </c>
    </row>
    <row r="27">
      <c r="A27" s="4" t="n">
        <v>26</v>
      </c>
      <c r="B27" s="4">
        <f>$H$2*A27</f>
        <v/>
      </c>
      <c r="C27" s="5">
        <f>B27*YC_Rates!$D$2</f>
        <v/>
      </c>
      <c r="D27" s="4" t="n">
        <v>26</v>
      </c>
      <c r="E27" s="4">
        <f>$H$2*D27</f>
        <v/>
      </c>
      <c r="F27" s="5">
        <f>E27*YC_Rates!$D$3</f>
        <v/>
      </c>
    </row>
    <row r="28">
      <c r="A28" s="4" t="n">
        <v>27</v>
      </c>
      <c r="B28" s="4">
        <f>$H$2*A28</f>
        <v/>
      </c>
      <c r="C28" s="5">
        <f>B28*YC_Rates!$D$2</f>
        <v/>
      </c>
      <c r="D28" s="4" t="n">
        <v>27</v>
      </c>
      <c r="E28" s="4">
        <f>$H$2*D28</f>
        <v/>
      </c>
      <c r="F28" s="5">
        <f>E28*YC_Rates!$D$3</f>
        <v/>
      </c>
    </row>
    <row r="29">
      <c r="A29" s="4" t="n">
        <v>28</v>
      </c>
      <c r="B29" s="4">
        <f>$H$2*A29</f>
        <v/>
      </c>
      <c r="C29" s="5">
        <f>B29*YC_Rates!$D$2</f>
        <v/>
      </c>
      <c r="D29" s="4" t="n">
        <v>28</v>
      </c>
      <c r="E29" s="4">
        <f>$H$2*D29</f>
        <v/>
      </c>
      <c r="F29" s="5">
        <f>E29*YC_Rates!$D$3</f>
        <v/>
      </c>
    </row>
    <row r="30">
      <c r="A30" s="4" t="n">
        <v>29</v>
      </c>
      <c r="B30" s="4">
        <f>$H$2*A30</f>
        <v/>
      </c>
      <c r="C30" s="5">
        <f>B30*YC_Rates!$D$2</f>
        <v/>
      </c>
      <c r="D30" s="4" t="n">
        <v>29</v>
      </c>
      <c r="E30" s="4">
        <f>$H$2*D30</f>
        <v/>
      </c>
      <c r="F30" s="5">
        <f>E30*YC_Rates!$D$3</f>
        <v/>
      </c>
    </row>
    <row r="31">
      <c r="A31" s="4" t="n">
        <v>30</v>
      </c>
      <c r="B31" s="4">
        <f>$H$2*A31</f>
        <v/>
      </c>
      <c r="C31" s="5">
        <f>B31*YC_Rates!$D$2</f>
        <v/>
      </c>
      <c r="D31" s="4" t="n">
        <v>30</v>
      </c>
      <c r="E31" s="4">
        <f>$H$2*D31</f>
        <v/>
      </c>
      <c r="F31" s="5">
        <f>E31*YC_Rates!$D$3</f>
        <v/>
      </c>
    </row>
    <row r="32">
      <c r="A32" s="4" t="n">
        <v>31</v>
      </c>
      <c r="B32" s="4">
        <f>$H$2*A32</f>
        <v/>
      </c>
      <c r="C32" s="5">
        <f>B32*YC_Rates!$D$2</f>
        <v/>
      </c>
      <c r="D32" s="4" t="n">
        <v>31</v>
      </c>
      <c r="E32" s="4">
        <f>$H$2*D32</f>
        <v/>
      </c>
      <c r="F32" s="5">
        <f>E32*YC_Rates!$D$3</f>
        <v/>
      </c>
    </row>
    <row r="33">
      <c r="A33" s="4" t="n">
        <v>32</v>
      </c>
      <c r="B33" s="4">
        <f>$H$2*A33</f>
        <v/>
      </c>
      <c r="C33" s="5">
        <f>B33*YC_Rates!$D$2</f>
        <v/>
      </c>
      <c r="D33" s="4" t="n">
        <v>32</v>
      </c>
      <c r="E33" s="4">
        <f>$H$2*D33</f>
        <v/>
      </c>
      <c r="F33" s="5">
        <f>E33*YC_Rates!$D$3</f>
        <v/>
      </c>
    </row>
    <row r="34">
      <c r="A34" s="4" t="n"/>
      <c r="B34" s="4" t="n"/>
      <c r="C34" s="4" t="n"/>
      <c r="D34" s="4" t="n">
        <v>33</v>
      </c>
      <c r="E34" s="4">
        <f>$H$2*D34</f>
        <v/>
      </c>
      <c r="F34" s="5">
        <f>E34*YC_Rates!$D$3</f>
        <v/>
      </c>
    </row>
    <row r="35">
      <c r="A35" s="4" t="n"/>
      <c r="B35" s="4" t="n"/>
      <c r="C35" s="4" t="n"/>
      <c r="D35" s="4" t="n">
        <v>34</v>
      </c>
      <c r="E35" s="4">
        <f>$H$2*D35</f>
        <v/>
      </c>
      <c r="F35" s="5">
        <f>E35*YC_Rates!$D$3</f>
        <v/>
      </c>
    </row>
    <row r="36">
      <c r="A36" s="4" t="n"/>
      <c r="B36" s="4" t="n"/>
      <c r="C36" s="4" t="n"/>
      <c r="D36" s="4" t="n">
        <v>35</v>
      </c>
      <c r="E36" s="4">
        <f>$H$2*D36</f>
        <v/>
      </c>
      <c r="F36" s="5">
        <f>E36*YC_Rates!$D$3</f>
        <v/>
      </c>
    </row>
    <row r="37">
      <c r="A37" s="4" t="n"/>
      <c r="B37" s="4" t="n"/>
      <c r="C37" s="4" t="n"/>
      <c r="D37" s="4" t="n">
        <v>36</v>
      </c>
      <c r="E37" s="4">
        <f>$H$2*D37</f>
        <v/>
      </c>
      <c r="F37" s="5">
        <f>E37*YC_Rates!$D$3</f>
        <v/>
      </c>
    </row>
    <row r="38">
      <c r="A38" s="4" t="n"/>
      <c r="B38" s="4" t="n"/>
      <c r="C38" s="4" t="n"/>
      <c r="D38" s="4" t="n">
        <v>37</v>
      </c>
      <c r="E38" s="4">
        <f>$H$2*D38</f>
        <v/>
      </c>
      <c r="F38" s="5">
        <f>E38*YC_Rates!$D$3</f>
        <v/>
      </c>
    </row>
    <row r="39">
      <c r="A39" s="4" t="n"/>
      <c r="B39" s="4" t="n"/>
      <c r="C39" s="4" t="n"/>
      <c r="D39" s="4" t="n">
        <v>38</v>
      </c>
      <c r="E39" s="4">
        <f>$H$2*D39</f>
        <v/>
      </c>
      <c r="F39" s="5">
        <f>E39*YC_Rates!$D$3</f>
        <v/>
      </c>
    </row>
    <row r="40">
      <c r="A40" s="4" t="n"/>
      <c r="B40" s="4" t="n"/>
      <c r="C40" s="4" t="n"/>
      <c r="D40" s="4" t="n">
        <v>39</v>
      </c>
      <c r="E40" s="4">
        <f>$H$2*D40</f>
        <v/>
      </c>
      <c r="F40" s="5">
        <f>E40*YC_Rates!$D$3</f>
        <v/>
      </c>
    </row>
    <row r="41">
      <c r="A41" s="4" t="n"/>
      <c r="B41" s="4" t="n"/>
      <c r="C41" s="4" t="n"/>
      <c r="D41" s="4" t="n">
        <v>40</v>
      </c>
      <c r="E41" s="4">
        <f>$H$2*D41</f>
        <v/>
      </c>
      <c r="F41" s="5">
        <f>E41*YC_Rates!$D$3</f>
        <v/>
      </c>
    </row>
    <row r="42">
      <c r="A42" s="4" t="n"/>
      <c r="B42" s="4" t="n"/>
      <c r="C42" s="4" t="n"/>
      <c r="D42" s="4" t="n">
        <v>41</v>
      </c>
      <c r="E42" s="4">
        <f>$H$2*D42</f>
        <v/>
      </c>
      <c r="F42" s="5">
        <f>E42*YC_Rates!$D$3</f>
        <v/>
      </c>
    </row>
    <row r="43">
      <c r="A43" s="4" t="n"/>
      <c r="B43" s="4" t="n"/>
      <c r="C43" s="4" t="n"/>
      <c r="D43" s="4" t="n">
        <v>42</v>
      </c>
      <c r="E43" s="4">
        <f>$H$2*D43</f>
        <v/>
      </c>
      <c r="F43" s="5">
        <f>E43*YC_Rates!$D$3</f>
        <v/>
      </c>
    </row>
    <row r="44">
      <c r="A44" s="4" t="n"/>
      <c r="B44" s="4" t="n"/>
      <c r="C44" s="4" t="n"/>
      <c r="D44" s="4" t="n">
        <v>43</v>
      </c>
      <c r="E44" s="4">
        <f>$H$2*D44</f>
        <v/>
      </c>
      <c r="F44" s="5">
        <f>E44*YC_Rates!$D$3</f>
        <v/>
      </c>
    </row>
    <row r="45">
      <c r="A45" s="4" t="n"/>
      <c r="B45" s="4" t="n"/>
      <c r="C45" s="4" t="n"/>
      <c r="D45" s="4" t="n">
        <v>44</v>
      </c>
      <c r="E45" s="4">
        <f>$H$2*D45</f>
        <v/>
      </c>
      <c r="F45" s="5">
        <f>E45*YC_Rates!$D$3</f>
        <v/>
      </c>
    </row>
    <row r="46">
      <c r="A46" s="4" t="n"/>
      <c r="B46" s="4" t="n"/>
      <c r="C46" s="4" t="n"/>
      <c r="D46" s="4" t="n">
        <v>45</v>
      </c>
      <c r="E46" s="4">
        <f>$H$2*D46</f>
        <v/>
      </c>
      <c r="F46" s="5">
        <f>E46*YC_Rates!$D$3</f>
        <v/>
      </c>
    </row>
    <row r="47">
      <c r="A47" s="4" t="n"/>
      <c r="B47" s="4" t="n"/>
      <c r="C47" s="4" t="n"/>
      <c r="D47" s="4" t="n">
        <v>46</v>
      </c>
      <c r="E47" s="4">
        <f>$H$2*D47</f>
        <v/>
      </c>
      <c r="F47" s="5">
        <f>E47*YC_Rates!$D$3</f>
        <v/>
      </c>
    </row>
    <row r="48">
      <c r="A48" s="4" t="n"/>
      <c r="B48" s="4" t="n"/>
      <c r="C48" s="4" t="n"/>
      <c r="D48" s="4" t="n">
        <v>47</v>
      </c>
      <c r="E48" s="4">
        <f>$H$2*D48</f>
        <v/>
      </c>
      <c r="F48" s="5">
        <f>E48*YC_Rates!$D$3</f>
        <v/>
      </c>
    </row>
    <row r="49">
      <c r="A49" s="4" t="n"/>
      <c r="B49" s="4" t="n"/>
      <c r="C49" s="4" t="n"/>
      <c r="D49" s="4" t="n">
        <v>48</v>
      </c>
      <c r="E49" s="4">
        <f>$H$2*D49</f>
        <v/>
      </c>
      <c r="F49" s="5">
        <f>E49*YC_Rates!$D$3</f>
        <v/>
      </c>
    </row>
    <row r="50">
      <c r="A50" s="4" t="n"/>
      <c r="B50" s="4" t="n"/>
      <c r="C50" s="4" t="n"/>
      <c r="D50" s="4" t="n">
        <v>49</v>
      </c>
      <c r="E50" s="4">
        <f>$H$2*D50</f>
        <v/>
      </c>
      <c r="F50" s="5">
        <f>E50*YC_Rates!$D$3</f>
        <v/>
      </c>
    </row>
    <row r="51">
      <c r="A51" s="4" t="n"/>
      <c r="B51" s="4" t="n"/>
      <c r="C51" s="4" t="n"/>
      <c r="D51" s="4" t="n">
        <v>50</v>
      </c>
      <c r="E51" s="4">
        <f>$H$2*D51</f>
        <v/>
      </c>
      <c r="F51" s="5">
        <f>E51*YC_Rates!$D$3</f>
        <v/>
      </c>
    </row>
    <row r="52">
      <c r="A52" s="4" t="n"/>
      <c r="B52" s="4" t="n"/>
      <c r="C52" s="4" t="n"/>
      <c r="D52" s="4" t="n">
        <v>51</v>
      </c>
      <c r="E52" s="4">
        <f>$H$2*D52</f>
        <v/>
      </c>
      <c r="F52" s="5">
        <f>E52*YC_Rates!$D$3</f>
        <v/>
      </c>
    </row>
    <row r="53">
      <c r="A53" s="4" t="n"/>
      <c r="B53" s="4" t="n"/>
      <c r="C53" s="4" t="n"/>
      <c r="D53" s="4" t="n">
        <v>52</v>
      </c>
      <c r="E53" s="4">
        <f>$H$2*D53</f>
        <v/>
      </c>
      <c r="F53" s="5">
        <f>E53*YC_Rates!$D$3</f>
        <v/>
      </c>
    </row>
    <row r="54">
      <c r="A54" s="4" t="n"/>
      <c r="B54" s="4" t="n"/>
      <c r="C54" s="4" t="n"/>
      <c r="D54" s="4" t="n">
        <v>53</v>
      </c>
      <c r="E54" s="4">
        <f>$H$2*D54</f>
        <v/>
      </c>
      <c r="F54" s="5">
        <f>E54*YC_Rates!$D$3</f>
        <v/>
      </c>
    </row>
    <row r="55">
      <c r="A55" s="4" t="n"/>
      <c r="B55" s="4" t="n"/>
      <c r="C55" s="4" t="n"/>
      <c r="D55" s="4" t="n">
        <v>54</v>
      </c>
      <c r="E55" s="4">
        <f>$H$2*D55</f>
        <v/>
      </c>
      <c r="F55" s="5">
        <f>E55*YC_Rates!$D$3</f>
        <v/>
      </c>
    </row>
    <row r="56">
      <c r="A56" s="4" t="n"/>
      <c r="B56" s="4" t="n"/>
      <c r="C56" s="4" t="n"/>
      <c r="D56" s="4" t="n">
        <v>55</v>
      </c>
      <c r="E56" s="4">
        <f>$H$2*D56</f>
        <v/>
      </c>
      <c r="F56" s="5">
        <f>E56*YC_Rates!$D$3</f>
        <v/>
      </c>
    </row>
    <row r="57">
      <c r="A57" s="4" t="n"/>
      <c r="B57" s="4" t="n"/>
      <c r="C57" s="4" t="n"/>
      <c r="D57" s="4" t="n">
        <v>56</v>
      </c>
      <c r="E57" s="4">
        <f>$H$2*D57</f>
        <v/>
      </c>
      <c r="F57" s="5">
        <f>E57*YC_Rates!$D$3</f>
        <v/>
      </c>
    </row>
    <row r="58">
      <c r="A58" s="4" t="n"/>
      <c r="B58" s="4" t="n"/>
      <c r="C58" s="4" t="n"/>
      <c r="D58" s="4" t="n">
        <v>57</v>
      </c>
      <c r="E58" s="4">
        <f>$H$2*D58</f>
        <v/>
      </c>
      <c r="F58" s="5">
        <f>E58*YC_Rates!$D$3</f>
        <v/>
      </c>
    </row>
    <row r="59">
      <c r="A59" s="4" t="n"/>
      <c r="B59" s="4" t="n"/>
      <c r="C59" s="4" t="n"/>
      <c r="D59" s="4" t="n">
        <v>58</v>
      </c>
      <c r="E59" s="4">
        <f>$H$2*D59</f>
        <v/>
      </c>
      <c r="F59" s="5">
        <f>E59*YC_Rates!$D$3</f>
        <v/>
      </c>
    </row>
    <row r="60">
      <c r="A60" s="4" t="n"/>
      <c r="B60" s="4" t="n"/>
      <c r="C60" s="4" t="n"/>
      <c r="D60" s="4" t="n">
        <v>59</v>
      </c>
      <c r="E60" s="4">
        <f>$H$2*D60</f>
        <v/>
      </c>
      <c r="F60" s="5">
        <f>E60*YC_Rates!$D$3</f>
        <v/>
      </c>
    </row>
    <row r="61">
      <c r="A61" s="4" t="n"/>
      <c r="B61" s="4" t="n"/>
      <c r="C61" s="4" t="n"/>
      <c r="D61" s="4" t="n">
        <v>60</v>
      </c>
      <c r="E61" s="4">
        <f>$H$2*D61</f>
        <v/>
      </c>
      <c r="F61" s="5">
        <f>E61*YC_Rates!$D$3</f>
        <v/>
      </c>
    </row>
    <row r="62">
      <c r="A62" s="4" t="n"/>
      <c r="B62" s="4" t="n"/>
      <c r="C62" s="4" t="n"/>
      <c r="D62" s="4" t="n">
        <v>61</v>
      </c>
      <c r="E62" s="4">
        <f>$H$2*D62</f>
        <v/>
      </c>
      <c r="F62" s="5">
        <f>E62*YC_Rates!$D$3</f>
        <v/>
      </c>
    </row>
    <row r="63">
      <c r="A63" s="4" t="n"/>
      <c r="B63" s="4" t="n"/>
      <c r="C63" s="4" t="n"/>
      <c r="D63" s="4" t="n">
        <v>62</v>
      </c>
      <c r="E63" s="4">
        <f>$H$2*D63</f>
        <v/>
      </c>
      <c r="F63" s="5">
        <f>E63*YC_Rates!$D$3</f>
        <v/>
      </c>
    </row>
    <row r="64">
      <c r="A64" s="4" t="n"/>
      <c r="B64" s="4" t="n"/>
      <c r="C64" s="4" t="n"/>
      <c r="D64" s="4" t="n">
        <v>63</v>
      </c>
      <c r="E64" s="4">
        <f>$H$2*D64</f>
        <v/>
      </c>
      <c r="F64" s="5">
        <f>E64*YC_Rates!$D$3</f>
        <v/>
      </c>
    </row>
    <row r="65">
      <c r="A65" s="4" t="n"/>
      <c r="B65" s="4" t="n"/>
      <c r="C65" s="4" t="n"/>
      <c r="D65" s="4" t="n">
        <v>64</v>
      </c>
      <c r="E65" s="4">
        <f>$H$2*D65</f>
        <v/>
      </c>
      <c r="F65" s="5">
        <f>E65*YC_Rates!$D$3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4" customWidth="1" min="3" max="3"/>
    <col width="16" customWidth="1" min="4" max="4"/>
    <col width="21" customWidth="1" min="5" max="5"/>
    <col width="42" customWidth="1" min="6" max="6"/>
    <col width="28" customWidth="1" min="7" max="7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Included (Pro)</t>
        </is>
      </c>
      <c r="E1" s="1" t="inlineStr">
        <is>
          <t>Overage price (USD)</t>
        </is>
      </c>
      <c r="F1" s="1" t="inlineStr">
        <is>
          <t>Notes</t>
        </is>
      </c>
      <c r="G1" s="1" t="inlineStr">
        <is>
          <t>Source (pricing page)</t>
        </is>
      </c>
    </row>
    <row r="2">
      <c r="A2" s="2" t="inlineStr">
        <is>
          <t>Plan</t>
        </is>
      </c>
      <c r="B2" s="2" t="inlineStr">
        <is>
          <t>Paid seat</t>
        </is>
      </c>
      <c r="C2" s="2" t="inlineStr">
        <is>
          <t>USD per seat-month</t>
        </is>
      </c>
      <c r="D2" s="2" t="inlineStr">
        <is>
          <t>-</t>
        </is>
      </c>
      <c r="E2" s="3" t="n">
        <v>20</v>
      </c>
      <c r="F2" s="2" t="inlineStr">
        <is>
          <t>Per paid seat on Pro team.</t>
        </is>
      </c>
      <c r="G2" s="2" t="inlineStr">
        <is>
          <t>https://vercel.com/pricing</t>
        </is>
      </c>
    </row>
    <row r="3">
      <c r="A3" s="2" t="inlineStr">
        <is>
          <t>Delivery</t>
        </is>
      </c>
      <c r="B3" s="2" t="inlineStr">
        <is>
          <t>Fast Data Transfer</t>
        </is>
      </c>
      <c r="C3" s="2" t="inlineStr">
        <is>
          <t>USD per GB</t>
        </is>
      </c>
      <c r="D3" s="2" t="inlineStr">
        <is>
          <t>1024 GB</t>
        </is>
      </c>
      <c r="E3" s="3" t="n">
        <v>0.15</v>
      </c>
      <c r="F3" s="2" t="inlineStr">
        <is>
          <t>Overage per GB after included.</t>
        </is>
      </c>
      <c r="G3" s="2" t="inlineStr">
        <is>
          <t>https://vercel.com/pricing</t>
        </is>
      </c>
    </row>
    <row r="4">
      <c r="A4" s="2" t="inlineStr">
        <is>
          <t>Requests</t>
        </is>
      </c>
      <c r="B4" s="2" t="inlineStr">
        <is>
          <t>Edge Requests</t>
        </is>
      </c>
      <c r="C4" s="2" t="inlineStr">
        <is>
          <t>USD per 1M requests</t>
        </is>
      </c>
      <c r="D4" s="2" t="inlineStr">
        <is>
          <t>10,000,000</t>
        </is>
      </c>
      <c r="E4" s="3" t="n">
        <v>2</v>
      </c>
      <c r="F4" s="2" t="inlineStr">
        <is>
          <t>Overage per 1M after included.</t>
        </is>
      </c>
      <c r="G4" s="2" t="inlineStr">
        <is>
          <t>https://vercel.com/pricing</t>
        </is>
      </c>
    </row>
    <row r="5">
      <c r="A5" s="2" t="inlineStr">
        <is>
          <t>Functions</t>
        </is>
      </c>
      <c r="B5" s="2" t="inlineStr">
        <is>
          <t>Invocations</t>
        </is>
      </c>
      <c r="C5" s="2" t="inlineStr">
        <is>
          <t>USD per 1M invocations</t>
        </is>
      </c>
      <c r="D5" s="2" t="inlineStr">
        <is>
          <t>1,000,000</t>
        </is>
      </c>
      <c r="E5" s="3" t="n">
        <v>0.6</v>
      </c>
      <c r="F5" s="2" t="inlineStr">
        <is>
          <t>Overage per 1M after included.</t>
        </is>
      </c>
      <c r="G5" s="2" t="inlineStr">
        <is>
          <t>https://vercel.com/pricing</t>
        </is>
      </c>
    </row>
    <row r="6">
      <c r="A6" s="2" t="inlineStr">
        <is>
          <t>Functions</t>
        </is>
      </c>
      <c r="B6" s="2" t="inlineStr">
        <is>
          <t>Active CPU</t>
        </is>
      </c>
      <c r="C6" s="2" t="inlineStr">
        <is>
          <t>USD per CPU-hour</t>
        </is>
      </c>
      <c r="D6" s="2" t="inlineStr">
        <is>
          <t>4</t>
        </is>
      </c>
      <c r="E6" s="3" t="n">
        <v>0.128</v>
      </c>
      <c r="F6" s="2" t="inlineStr">
        <is>
          <t>Overage per CPU-hour after included.</t>
        </is>
      </c>
      <c r="G6" s="2" t="inlineStr">
        <is>
          <t>https://vercel.com/pricing</t>
        </is>
      </c>
    </row>
    <row r="7">
      <c r="A7" s="2" t="inlineStr">
        <is>
          <t>Functions</t>
        </is>
      </c>
      <c r="B7" s="2" t="inlineStr">
        <is>
          <t>Provisioned Memory</t>
        </is>
      </c>
      <c r="C7" s="2" t="inlineStr">
        <is>
          <t>USD per GB-hour</t>
        </is>
      </c>
      <c r="D7" s="2" t="inlineStr">
        <is>
          <t>360</t>
        </is>
      </c>
      <c r="E7" s="3" t="n">
        <v>0.0106</v>
      </c>
      <c r="F7" s="2" t="inlineStr">
        <is>
          <t>Overage per GB-hour after included.</t>
        </is>
      </c>
      <c r="G7" s="2" t="inlineStr">
        <is>
          <t>https://vercel.com/pricing</t>
        </is>
      </c>
    </row>
    <row r="8">
      <c r="A8" s="2" t="inlineStr">
        <is>
          <t>Plan</t>
        </is>
      </c>
      <c r="B8" s="2" t="inlineStr">
        <is>
          <t>Included usage credit</t>
        </is>
      </c>
      <c r="C8" s="2" t="inlineStr">
        <is>
          <t>USD per month</t>
        </is>
      </c>
      <c r="D8" s="2" t="inlineStr">
        <is>
          <t>20</t>
        </is>
      </c>
      <c r="E8" s="3" t="n">
        <v>20</v>
      </c>
      <c r="F8" s="2" t="inlineStr">
        <is>
          <t>Pro includes $20 credit to offset usage.</t>
        </is>
      </c>
      <c r="G8" s="2" t="inlineStr">
        <is>
          <t>https://vercel.com/pricing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0" customWidth="1" min="4" max="4"/>
    <col width="10" customWidth="1" min="5" max="5"/>
    <col width="23" customWidth="1" min="6" max="6"/>
    <col width="33" customWidth="1" min="7" max="7"/>
  </cols>
  <sheetData>
    <row r="1">
      <c r="A1" s="1" t="inlineStr">
        <is>
          <t>Section</t>
        </is>
      </c>
      <c r="B1" s="1" t="inlineStr">
        <is>
          <t>Plan</t>
        </is>
      </c>
      <c r="C1" s="1" t="inlineStr">
        <is>
          <t>Price / Month (USD)</t>
        </is>
      </c>
      <c r="D1" s="1" t="inlineStr">
        <is>
          <t>RAM</t>
        </is>
      </c>
      <c r="E1" s="1" t="inlineStr">
        <is>
          <t>Disk</t>
        </is>
      </c>
      <c r="F1" s="1" t="inlineStr">
        <is>
          <t>Notes</t>
        </is>
      </c>
      <c r="G1" s="1" t="inlineStr">
        <is>
          <t>Source (pricing page)</t>
        </is>
      </c>
    </row>
    <row r="2">
      <c r="A2" s="2" t="inlineStr">
        <is>
          <t>Dyno</t>
        </is>
      </c>
      <c r="B2" s="2" t="inlineStr">
        <is>
          <t>Eco</t>
        </is>
      </c>
      <c r="C2" s="3" t="n">
        <v>5</v>
      </c>
      <c r="D2" s="2" t="inlineStr">
        <is>
          <t>0.5 GB</t>
        </is>
      </c>
      <c r="E2" s="2" t="inlineStr"/>
      <c r="F2" s="2" t="inlineStr">
        <is>
          <t>Sleeps on inactivity.</t>
        </is>
      </c>
      <c r="G2" s="2" t="inlineStr">
        <is>
          <t>https://www.heroku.com/pricing/</t>
        </is>
      </c>
    </row>
    <row r="3">
      <c r="A3" s="2" t="inlineStr">
        <is>
          <t>Dyno</t>
        </is>
      </c>
      <c r="B3" s="2" t="inlineStr">
        <is>
          <t>Basic</t>
        </is>
      </c>
      <c r="C3" s="3" t="n">
        <v>7</v>
      </c>
      <c r="D3" s="2" t="inlineStr">
        <is>
          <t>0.5 GB</t>
        </is>
      </c>
      <c r="E3" s="2" t="inlineStr"/>
      <c r="F3" s="2" t="inlineStr">
        <is>
          <t>Always on.</t>
        </is>
      </c>
      <c r="G3" s="2" t="inlineStr">
        <is>
          <t>https://www.heroku.com/pricing/</t>
        </is>
      </c>
    </row>
    <row r="4">
      <c r="A4" s="2" t="inlineStr">
        <is>
          <t>Dyno</t>
        </is>
      </c>
      <c r="B4" s="2" t="inlineStr">
        <is>
          <t>Standard-1X</t>
        </is>
      </c>
      <c r="C4" s="3" t="n">
        <v>25</v>
      </c>
      <c r="D4" s="2" t="inlineStr">
        <is>
          <t>0.5 GB</t>
        </is>
      </c>
      <c r="E4" s="2" t="inlineStr"/>
      <c r="F4" s="2" t="inlineStr"/>
      <c r="G4" s="2" t="inlineStr">
        <is>
          <t>https://www.heroku.com/pricing/</t>
        </is>
      </c>
    </row>
    <row r="5">
      <c r="A5" s="2" t="inlineStr">
        <is>
          <t>Dyno</t>
        </is>
      </c>
      <c r="B5" s="2" t="inlineStr">
        <is>
          <t>Standard-2X</t>
        </is>
      </c>
      <c r="C5" s="3" t="n">
        <v>50</v>
      </c>
      <c r="D5" s="2" t="inlineStr">
        <is>
          <t>1 GB</t>
        </is>
      </c>
      <c r="E5" s="2" t="inlineStr"/>
      <c r="F5" s="2" t="inlineStr"/>
      <c r="G5" s="2" t="inlineStr">
        <is>
          <t>https://www.heroku.com/pricing/</t>
        </is>
      </c>
    </row>
    <row r="6">
      <c r="A6" s="2" t="inlineStr">
        <is>
          <t>Dyno</t>
        </is>
      </c>
      <c r="B6" s="2" t="inlineStr">
        <is>
          <t>Performance-M</t>
        </is>
      </c>
      <c r="C6" s="3" t="n">
        <v>250</v>
      </c>
      <c r="D6" s="2" t="inlineStr">
        <is>
          <t>2.5 GB</t>
        </is>
      </c>
      <c r="E6" s="2" t="inlineStr"/>
      <c r="F6" s="2" t="inlineStr"/>
      <c r="G6" s="2" t="inlineStr">
        <is>
          <t>https://www.heroku.com/pricing/</t>
        </is>
      </c>
    </row>
    <row r="7">
      <c r="A7" s="2" t="inlineStr">
        <is>
          <t>Dyno</t>
        </is>
      </c>
      <c r="B7" s="2" t="inlineStr">
        <is>
          <t>Performance-L</t>
        </is>
      </c>
      <c r="C7" s="3" t="n">
        <v>500</v>
      </c>
      <c r="D7" s="2" t="inlineStr">
        <is>
          <t>14 GB</t>
        </is>
      </c>
      <c r="E7" s="2" t="inlineStr"/>
      <c r="F7" s="2" t="inlineStr"/>
      <c r="G7" s="2" t="inlineStr">
        <is>
          <t>https://www.heroku.com/pricing/</t>
        </is>
      </c>
    </row>
    <row r="8">
      <c r="A8" s="2" t="inlineStr">
        <is>
          <t>Postgres</t>
        </is>
      </c>
      <c r="B8" s="2" t="inlineStr">
        <is>
          <t>Essential-0</t>
        </is>
      </c>
      <c r="C8" s="3" t="n">
        <v>5</v>
      </c>
      <c r="D8" s="2" t="inlineStr"/>
      <c r="E8" s="2" t="inlineStr">
        <is>
          <t>1 GB</t>
        </is>
      </c>
      <c r="F8" s="2" t="inlineStr"/>
      <c r="G8" s="2" t="inlineStr">
        <is>
          <t>https://www.heroku.com/pricing/</t>
        </is>
      </c>
    </row>
    <row r="9">
      <c r="A9" s="2" t="inlineStr">
        <is>
          <t>Postgres</t>
        </is>
      </c>
      <c r="B9" s="2" t="inlineStr">
        <is>
          <t>Essential-1</t>
        </is>
      </c>
      <c r="C9" s="3" t="n">
        <v>9</v>
      </c>
      <c r="D9" s="2" t="inlineStr"/>
      <c r="E9" s="2" t="inlineStr">
        <is>
          <t>10 GB</t>
        </is>
      </c>
      <c r="F9" s="2" t="inlineStr"/>
      <c r="G9" s="2" t="inlineStr">
        <is>
          <t>https://www.heroku.com/pricing/</t>
        </is>
      </c>
    </row>
    <row r="10">
      <c r="A10" s="2" t="inlineStr">
        <is>
          <t>Postgres</t>
        </is>
      </c>
      <c r="B10" s="2" t="inlineStr">
        <is>
          <t>Essential-2</t>
        </is>
      </c>
      <c r="C10" s="3" t="n">
        <v>20</v>
      </c>
      <c r="D10" s="2" t="inlineStr"/>
      <c r="E10" s="2" t="inlineStr">
        <is>
          <t>32 GB</t>
        </is>
      </c>
      <c r="F10" s="2" t="inlineStr"/>
      <c r="G10" s="2" t="inlineStr">
        <is>
          <t>https://www.heroku.com/pricing/</t>
        </is>
      </c>
    </row>
    <row r="11">
      <c r="A11" s="2" t="inlineStr">
        <is>
          <t>Postgres</t>
        </is>
      </c>
      <c r="B11" s="2" t="inlineStr">
        <is>
          <t>Standard-0</t>
        </is>
      </c>
      <c r="C11" s="3" t="n">
        <v>50</v>
      </c>
      <c r="D11" s="2" t="inlineStr">
        <is>
          <t>4 GB</t>
        </is>
      </c>
      <c r="E11" s="2" t="inlineStr">
        <is>
          <t>64 GB</t>
        </is>
      </c>
      <c r="F11" s="2" t="inlineStr"/>
      <c r="G11" s="2" t="inlineStr">
        <is>
          <t>https://www.heroku.com/pricing/</t>
        </is>
      </c>
    </row>
    <row r="12">
      <c r="A12" s="2" t="inlineStr">
        <is>
          <t>Postgres</t>
        </is>
      </c>
      <c r="B12" s="2" t="inlineStr">
        <is>
          <t>Standard-2</t>
        </is>
      </c>
      <c r="C12" s="3" t="n">
        <v>200</v>
      </c>
      <c r="D12" s="2" t="inlineStr">
        <is>
          <t>8 GB</t>
        </is>
      </c>
      <c r="E12" s="2" t="inlineStr">
        <is>
          <t>256 GB</t>
        </is>
      </c>
      <c r="F12" s="2" t="inlineStr"/>
      <c r="G12" s="2" t="inlineStr">
        <is>
          <t>https://www.heroku.com/pricing/</t>
        </is>
      </c>
    </row>
    <row r="13">
      <c r="A13" s="2" t="inlineStr">
        <is>
          <t>Postgres</t>
        </is>
      </c>
      <c r="B13" s="2" t="inlineStr">
        <is>
          <t>Standard-3</t>
        </is>
      </c>
      <c r="C13" s="3" t="n">
        <v>400</v>
      </c>
      <c r="D13" s="2" t="inlineStr">
        <is>
          <t>15 GB</t>
        </is>
      </c>
      <c r="E13" s="2" t="inlineStr">
        <is>
          <t>512 GB</t>
        </is>
      </c>
      <c r="F13" s="2" t="inlineStr"/>
      <c r="G13" s="2" t="inlineStr">
        <is>
          <t>https://www.heroku.com/pricing/</t>
        </is>
      </c>
    </row>
    <row r="14">
      <c r="A14" s="2" t="inlineStr">
        <is>
          <t>Redis</t>
        </is>
      </c>
      <c r="B14" s="2" t="inlineStr">
        <is>
          <t>Mini</t>
        </is>
      </c>
      <c r="C14" s="3" t="n">
        <v>3</v>
      </c>
      <c r="D14" s="2" t="inlineStr">
        <is>
          <t>25 MB</t>
        </is>
      </c>
      <c r="E14" s="2" t="inlineStr"/>
      <c r="F14" s="2" t="inlineStr"/>
      <c r="G14" s="2" t="inlineStr">
        <is>
          <t>https://www.heroku.com/pricing/</t>
        </is>
      </c>
    </row>
    <row r="15">
      <c r="A15" s="2" t="inlineStr">
        <is>
          <t>Redis</t>
        </is>
      </c>
      <c r="B15" s="2" t="inlineStr">
        <is>
          <t>Premium 0</t>
        </is>
      </c>
      <c r="C15" s="3" t="n">
        <v>15</v>
      </c>
      <c r="D15" s="2" t="inlineStr">
        <is>
          <t>50 MB</t>
        </is>
      </c>
      <c r="E15" s="2" t="inlineStr"/>
      <c r="F15" s="2" t="inlineStr"/>
      <c r="G15" s="2" t="inlineStr">
        <is>
          <t>https://www.heroku.com/pricing/</t>
        </is>
      </c>
    </row>
    <row r="16">
      <c r="A16" s="2" t="inlineStr">
        <is>
          <t>Redis</t>
        </is>
      </c>
      <c r="B16" s="2" t="inlineStr">
        <is>
          <t>Premium 1</t>
        </is>
      </c>
      <c r="C16" s="3" t="n">
        <v>30</v>
      </c>
      <c r="D16" s="2" t="inlineStr">
        <is>
          <t>100 MB</t>
        </is>
      </c>
      <c r="E16" s="2" t="inlineStr"/>
      <c r="F16" s="2" t="inlineStr"/>
      <c r="G16" s="2" t="inlineStr">
        <is>
          <t>https://www.heroku.com/pricing/</t>
        </is>
      </c>
    </row>
    <row r="17">
      <c r="A17" s="2" t="inlineStr">
        <is>
          <t>Redis</t>
        </is>
      </c>
      <c r="B17" s="2" t="inlineStr">
        <is>
          <t>Premium 2</t>
        </is>
      </c>
      <c r="C17" s="3" t="n">
        <v>60</v>
      </c>
      <c r="D17" s="2" t="inlineStr">
        <is>
          <t>250 MB</t>
        </is>
      </c>
      <c r="E17" s="2" t="inlineStr"/>
      <c r="F17" s="2" t="inlineStr"/>
      <c r="G17" s="2" t="inlineStr">
        <is>
          <t>https://www.heroku.com/pricing/</t>
        </is>
      </c>
    </row>
    <row r="18">
      <c r="A18" s="2" t="inlineStr">
        <is>
          <t>Redis</t>
        </is>
      </c>
      <c r="B18" s="2" t="inlineStr">
        <is>
          <t>Premium 3</t>
        </is>
      </c>
      <c r="C18" s="3" t="n">
        <v>120</v>
      </c>
      <c r="D18" s="2" t="inlineStr">
        <is>
          <t>500 MB</t>
        </is>
      </c>
      <c r="E18" s="2" t="inlineStr"/>
      <c r="F18" s="2" t="inlineStr"/>
      <c r="G18" s="2" t="inlineStr">
        <is>
          <t>https://www.heroku.com/pricing/</t>
        </is>
      </c>
    </row>
    <row r="19">
      <c r="A19" s="2" t="inlineStr">
        <is>
          <t>Redis</t>
        </is>
      </c>
      <c r="B19" s="2" t="inlineStr">
        <is>
          <t>Premium 5</t>
        </is>
      </c>
      <c r="C19" s="3" t="n">
        <v>200</v>
      </c>
      <c r="D19" s="2" t="inlineStr">
        <is>
          <t>1 GB</t>
        </is>
      </c>
      <c r="E19" s="2" t="inlineStr"/>
      <c r="F19" s="2" t="inlineStr"/>
      <c r="G19" s="2" t="inlineStr">
        <is>
          <t>https://www.heroku.com/pricing/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3" customWidth="1" min="3" max="3"/>
    <col width="17" customWidth="1" min="4" max="4"/>
    <col width="22" customWidth="1" min="5" max="5"/>
    <col width="19" customWidth="1" min="6" max="6"/>
    <col width="31" customWidth="1" min="7" max="7"/>
    <col width="30" customWidth="1" min="8" max="8"/>
    <col width="14" customWidth="1" min="9" max="9"/>
    <col width="13" customWidth="1" min="10" max="10"/>
    <col width="15" customWidth="1" min="11" max="11"/>
    <col width="18" customWidth="1" min="12" max="12"/>
    <col width="16" customWidth="1" min="13" max="13"/>
    <col width="13" customWidth="1" min="14" max="14"/>
    <col width="17" customWidth="1" min="15" max="15"/>
    <col width="16" customWidth="1" min="16" max="16"/>
    <col width="17" customWidth="1" min="17" max="17"/>
    <col width="20" customWidth="1" min="18" max="18"/>
    <col width="12" customWidth="1" min="19" max="19"/>
    <col width="15" customWidth="1" min="20" max="20"/>
  </cols>
  <sheetData>
    <row r="1">
      <c r="A1" s="1" t="inlineStr">
        <is>
          <t>Template</t>
        </is>
      </c>
      <c r="B1" s="1" t="inlineStr">
        <is>
          <t>Description</t>
        </is>
      </c>
      <c r="C1" s="1" t="inlineStr">
        <is>
          <t>Requests/mo</t>
        </is>
      </c>
      <c r="D1" s="1" t="inlineStr">
        <is>
          <t>Bandwidth GB/mo</t>
        </is>
      </c>
      <c r="E1" s="1" t="inlineStr">
        <is>
          <t>Dynamic share (0..1)</t>
        </is>
      </c>
      <c r="F1" s="1" t="inlineStr">
        <is>
          <t>Edge share (0..1)</t>
        </is>
      </c>
      <c r="G1" s="1" t="inlineStr">
        <is>
          <t>Avg Active CPU ms per dyn req</t>
        </is>
      </c>
      <c r="H1" s="1" t="inlineStr">
        <is>
          <t>Avg Duration sec per dyn req</t>
        </is>
      </c>
      <c r="I1" s="1" t="inlineStr">
        <is>
          <t>Fn Memory GB</t>
        </is>
      </c>
      <c r="J1" s="1" t="inlineStr">
        <is>
          <t>YC App vCPU</t>
        </is>
      </c>
      <c r="K1" s="1" t="inlineStr">
        <is>
          <t>YC App RAM GB</t>
        </is>
      </c>
      <c r="L1" s="1" t="inlineStr">
        <is>
          <t>YC App Disk Type</t>
        </is>
      </c>
      <c r="M1" s="1" t="inlineStr">
        <is>
          <t>YC App Disk GB</t>
        </is>
      </c>
      <c r="N1" s="1" t="inlineStr">
        <is>
          <t>YC DB Hosts</t>
        </is>
      </c>
      <c r="O1" s="1" t="inlineStr">
        <is>
          <t>YC DB vCPU/host</t>
        </is>
      </c>
      <c r="P1" s="1" t="inlineStr">
        <is>
          <t>YC DB RAM/host</t>
        </is>
      </c>
      <c r="Q1" s="1" t="inlineStr">
        <is>
          <t>YC DB Disk Type</t>
        </is>
      </c>
      <c r="R1" s="1" t="inlineStr">
        <is>
          <t>YC DB Disk GB/host</t>
        </is>
      </c>
      <c r="S1" s="1" t="inlineStr">
        <is>
          <t>Public IPs</t>
        </is>
      </c>
      <c r="T1" s="1" t="inlineStr">
        <is>
          <t>Use CDN (Y/N)</t>
        </is>
      </c>
    </row>
    <row r="2">
      <c r="A2" s="2" t="inlineStr">
        <is>
          <t>Starter MVP</t>
        </is>
      </c>
      <c r="B2" s="2" t="inlineStr">
        <is>
          <t>Mostly static + small API/SSR</t>
        </is>
      </c>
      <c r="C2" s="7" t="n">
        <v>100000</v>
      </c>
      <c r="D2" s="7" t="n">
        <v>50</v>
      </c>
      <c r="E2" s="8" t="n">
        <v>0.15</v>
      </c>
      <c r="F2" s="8" t="n">
        <v>0.05</v>
      </c>
      <c r="G2" s="8" t="n">
        <v>20</v>
      </c>
      <c r="H2" s="8" t="n">
        <v>0.15</v>
      </c>
      <c r="I2" s="8" t="n">
        <v>0.5</v>
      </c>
      <c r="J2" s="2" t="n">
        <v>1</v>
      </c>
      <c r="K2" s="2" t="n">
        <v>1</v>
      </c>
      <c r="L2" s="2" t="inlineStr">
        <is>
          <t>network-hdd</t>
        </is>
      </c>
      <c r="M2" s="2" t="n">
        <v>20</v>
      </c>
      <c r="N2" s="2" t="n">
        <v>1</v>
      </c>
      <c r="O2" s="2" t="n">
        <v>2</v>
      </c>
      <c r="P2" s="2" t="n">
        <v>4</v>
      </c>
      <c r="Q2" s="2" t="inlineStr">
        <is>
          <t>network-hdd</t>
        </is>
      </c>
      <c r="R2" s="2" t="n">
        <v>20</v>
      </c>
      <c r="S2" s="2" t="n">
        <v>1</v>
      </c>
      <c r="T2" s="2" t="inlineStr">
        <is>
          <t>Y</t>
        </is>
      </c>
    </row>
    <row r="3">
      <c r="A3" s="2" t="inlineStr">
        <is>
          <t>Growing SaaS</t>
        </is>
      </c>
      <c r="B3" s="2" t="inlineStr">
        <is>
          <t>Dashboard + API + background jobs</t>
        </is>
      </c>
      <c r="C3" s="7" t="n">
        <v>1000000</v>
      </c>
      <c r="D3" s="7" t="n">
        <v>200</v>
      </c>
      <c r="E3" s="8" t="n">
        <v>0.35</v>
      </c>
      <c r="F3" s="8" t="n">
        <v>0.1</v>
      </c>
      <c r="G3" s="8" t="n">
        <v>35</v>
      </c>
      <c r="H3" s="8" t="n">
        <v>0.25</v>
      </c>
      <c r="I3" s="8" t="n">
        <v>0.75</v>
      </c>
      <c r="J3" s="2" t="n">
        <v>2</v>
      </c>
      <c r="K3" s="2" t="n">
        <v>4</v>
      </c>
      <c r="L3" s="2" t="inlineStr">
        <is>
          <t>network-ssd</t>
        </is>
      </c>
      <c r="M3" s="2" t="n">
        <v>50</v>
      </c>
      <c r="N3" s="2" t="n">
        <v>2</v>
      </c>
      <c r="O3" s="2" t="n">
        <v>2</v>
      </c>
      <c r="P3" s="2" t="n">
        <v>8</v>
      </c>
      <c r="Q3" s="2" t="inlineStr">
        <is>
          <t>network-ssd</t>
        </is>
      </c>
      <c r="R3" s="2" t="n">
        <v>50</v>
      </c>
      <c r="S3" s="2" t="n">
        <v>1</v>
      </c>
      <c r="T3" s="2" t="inlineStr">
        <is>
          <t>Y</t>
        </is>
      </c>
    </row>
    <row r="4">
      <c r="A4" s="2" t="inlineStr">
        <is>
          <t>High traffic API</t>
        </is>
      </c>
      <c r="B4" s="2" t="inlineStr">
        <is>
          <t>API + realtime + heavy dynamic load</t>
        </is>
      </c>
      <c r="C4" s="7" t="n">
        <v>10000000</v>
      </c>
      <c r="D4" s="7" t="n">
        <v>1000</v>
      </c>
      <c r="E4" s="8" t="n">
        <v>0.7</v>
      </c>
      <c r="F4" s="8" t="n">
        <v>0.15</v>
      </c>
      <c r="G4" s="8" t="n">
        <v>50</v>
      </c>
      <c r="H4" s="8" t="n">
        <v>0.35</v>
      </c>
      <c r="I4" s="8" t="n">
        <v>1</v>
      </c>
      <c r="J4" s="2" t="n">
        <v>4</v>
      </c>
      <c r="K4" s="2" t="n">
        <v>8</v>
      </c>
      <c r="L4" s="2" t="inlineStr">
        <is>
          <t>network-ssd</t>
        </is>
      </c>
      <c r="M4" s="2" t="n">
        <v>100</v>
      </c>
      <c r="N4" s="2" t="n">
        <v>3</v>
      </c>
      <c r="O4" s="2" t="n">
        <v>4</v>
      </c>
      <c r="P4" s="2" t="n">
        <v>16</v>
      </c>
      <c r="Q4" s="2" t="inlineStr">
        <is>
          <t>network-ssd</t>
        </is>
      </c>
      <c r="R4" s="2" t="n">
        <v>100</v>
      </c>
      <c r="S4" s="2" t="n">
        <v>2</v>
      </c>
      <c r="T4" s="2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Provider</t>
        </is>
      </c>
      <c r="B1" s="1" t="inlineStr">
        <is>
          <t>Pricing page URL</t>
        </is>
      </c>
    </row>
    <row r="2">
      <c r="A2" s="2" t="inlineStr">
        <is>
          <t>Vercel</t>
        </is>
      </c>
      <c r="B2" s="2" t="inlineStr">
        <is>
          <t>https://vercel.com/pricing</t>
        </is>
      </c>
    </row>
    <row r="3">
      <c r="A3" s="2" t="inlineStr">
        <is>
          <t>Heroku</t>
        </is>
      </c>
      <c r="B3" s="2" t="inlineStr">
        <is>
          <t>https://www.heroku.com/pricing/</t>
        </is>
      </c>
    </row>
    <row r="4">
      <c r="A4" s="2" t="inlineStr">
        <is>
          <t>Yandex Cloud</t>
        </is>
      </c>
      <c r="B4" s="2" t="inlineStr">
        <is>
          <t>https://yandex.cloud/en/docs/compute/pricing</t>
        </is>
      </c>
    </row>
    <row r="5">
      <c r="A5" s="2" t="inlineStr">
        <is>
          <t>Yandex Cloud</t>
        </is>
      </c>
      <c r="B5" s="2" t="inlineStr">
        <is>
          <t>https://yandex.cloud/en/docs/managed-postgresql/pricing</t>
        </is>
      </c>
    </row>
    <row r="6">
      <c r="A6" s="2" t="inlineStr">
        <is>
          <t>Yandex Cloud</t>
        </is>
      </c>
      <c r="B6" s="2" t="inlineStr">
        <is>
          <t>https://yandex.cloud/en/docs/storage/pricing</t>
        </is>
      </c>
    </row>
    <row r="7">
      <c r="A7" s="2" t="inlineStr">
        <is>
          <t>Yandex Cloud</t>
        </is>
      </c>
      <c r="B7" s="2" t="inlineStr">
        <is>
          <t>https://yandex.cloud/en/docs/vpc/pricing</t>
        </is>
      </c>
    </row>
    <row r="8">
      <c r="A8" s="2" t="inlineStr">
        <is>
          <t>Yandex Cloud</t>
        </is>
      </c>
      <c r="B8" s="2" t="inlineStr">
        <is>
          <t>https://yandex.cloud/en/services/cdn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2026-02-02T11:29:23Z</dcterms:created>
  <dcterms:modified xmlns:dcterms="http://purl.org/dc/terms/" xmlns:xsi="http://www.w3.org/2001/XMLSchema-instance" xsi:type="dcterms:W3CDTF">2026-02-02T14:44:08Z</dcterms:modified>
</cp:coreProperties>
</file>