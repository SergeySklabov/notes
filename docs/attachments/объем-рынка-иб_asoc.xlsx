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s.sklabovskiy/Library/Containers/Mail.Ru.DiskO.as/Data/Disk-O.as.mounts/s.sklabovskiy@vk.team-mailru/SecurityGate/"/>
    </mc:Choice>
  </mc:AlternateContent>
  <xr:revisionPtr revIDLastSave="0" documentId="13_ncr:1_{19A5DC2D-D6D5-EC41-87E8-9E6FB20B3509}" xr6:coauthVersionLast="47" xr6:coauthVersionMax="47" xr10:uidLastSave="{00000000-0000-0000-0000-000000000000}"/>
  <bookViews>
    <workbookView xWindow="0" yWindow="760" windowWidth="30240" windowHeight="17420" activeTab="1" xr2:uid="{00000000-000D-0000-FFFF-FFFF00000000}"/>
  </bookViews>
  <sheets>
    <sheet name="Объем рынка" sheetId="1" r:id="rId1"/>
    <sheet name="Шаблон инициатив для ИБ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2" l="1"/>
  <c r="K6" i="2"/>
  <c r="L6" i="2" s="1"/>
  <c r="M6" i="2" s="1"/>
  <c r="M7" i="2" s="1"/>
  <c r="J6" i="2"/>
  <c r="I7" i="2"/>
  <c r="J16" i="2"/>
  <c r="O3" i="2"/>
  <c r="L7" i="2" l="1"/>
  <c r="K7" i="2"/>
  <c r="K15" i="2"/>
  <c r="AK12" i="2"/>
  <c r="K3" i="2"/>
  <c r="I3" i="2"/>
  <c r="I1" i="2"/>
  <c r="J1" i="2" s="1"/>
  <c r="K1" i="2" s="1"/>
  <c r="L1" i="2" s="1"/>
  <c r="M1" i="2" s="1"/>
  <c r="E4" i="1"/>
  <c r="F4" i="1" s="1"/>
  <c r="G4" i="1" s="1"/>
  <c r="H4" i="1" s="1"/>
  <c r="M3" i="2" s="1"/>
  <c r="D2" i="1"/>
  <c r="E2" i="1" s="1"/>
  <c r="F2" i="1" s="1"/>
  <c r="J19" i="2" l="1"/>
  <c r="AM12" i="2"/>
  <c r="J20" i="2" s="1"/>
  <c r="L3" i="2"/>
  <c r="J3" i="2"/>
  <c r="G2" i="1"/>
  <c r="K20" i="2" l="1"/>
  <c r="J23" i="2"/>
  <c r="J17" i="2"/>
  <c r="K19" i="2"/>
  <c r="K16" i="2"/>
  <c r="L15" i="2"/>
  <c r="H2" i="1"/>
  <c r="L20" i="2" l="1"/>
  <c r="M20" i="2" s="1"/>
  <c r="K23" i="2"/>
  <c r="L19" i="2"/>
  <c r="M19" i="2" s="1"/>
  <c r="K17" i="2"/>
  <c r="L16" i="2"/>
  <c r="M15" i="2"/>
  <c r="M23" i="2" s="1"/>
  <c r="L23" i="2" l="1"/>
  <c r="L17" i="2"/>
  <c r="M17" i="2"/>
  <c r="M16" i="2"/>
</calcChain>
</file>

<file path=xl/sharedStrings.xml><?xml version="1.0" encoding="utf-8"?>
<sst xmlns="http://schemas.openxmlformats.org/spreadsheetml/2006/main" count="82" uniqueCount="56">
  <si>
    <r>
      <rPr>
        <b/>
        <i/>
        <sz val="10"/>
        <color theme="1"/>
        <rFont val="Arial"/>
        <family val="2"/>
      </rPr>
      <t>Легенда:</t>
    </r>
    <r>
      <rPr>
        <i/>
        <sz val="10"/>
        <color theme="1"/>
        <rFont val="Arial"/>
        <family val="2"/>
      </rPr>
      <t xml:space="preserve"> черным - вводные данные; </t>
    </r>
    <r>
      <rPr>
        <i/>
        <sz val="10"/>
        <color indexed="4"/>
        <rFont val="Arial"/>
        <family val="2"/>
      </rPr>
      <t xml:space="preserve">синим </t>
    </r>
    <r>
      <rPr>
        <i/>
        <sz val="10"/>
        <color theme="1"/>
        <rFont val="Arial"/>
        <family val="2"/>
      </rPr>
      <t xml:space="preserve">- расчет </t>
    </r>
  </si>
  <si>
    <t>Рынок</t>
  </si>
  <si>
    <t>ед. изм.</t>
  </si>
  <si>
    <t>CAGR 2023-2027 гг., %</t>
  </si>
  <si>
    <t>Источник</t>
  </si>
  <si>
    <t>Ссылка</t>
  </si>
  <si>
    <t>Экспертные оценки</t>
  </si>
  <si>
    <t>млрд руб.</t>
  </si>
  <si>
    <t>ASOC</t>
  </si>
  <si>
    <t>Оценки ЦСР</t>
  </si>
  <si>
    <t>*Для данных ЦРС CAGR согласно 
росту рынка ИБ в целом</t>
  </si>
  <si>
    <t>Наименование показателя</t>
  </si>
  <si>
    <t>CAGR 2024-27</t>
  </si>
  <si>
    <t>1. Рынок</t>
  </si>
  <si>
    <t>Объем рынка X</t>
  </si>
  <si>
    <t>млн руб.</t>
  </si>
  <si>
    <t>XX</t>
  </si>
  <si>
    <t>Выручка и доля рынка ключевых игроков</t>
  </si>
  <si>
    <t>Доля рынка</t>
  </si>
  <si>
    <t>%</t>
  </si>
  <si>
    <t>X%</t>
  </si>
  <si>
    <t>Игрок 2</t>
  </si>
  <si>
    <t>Игрок 3</t>
  </si>
  <si>
    <t>...</t>
  </si>
  <si>
    <t>2. P&amp;L инициативы</t>
  </si>
  <si>
    <t>Выручка VK Tech</t>
  </si>
  <si>
    <t>Доля рынка VK Tech</t>
  </si>
  <si>
    <t>OPEX</t>
  </si>
  <si>
    <t>ФОТ</t>
  </si>
  <si>
    <t>Численность</t>
  </si>
  <si>
    <t>ед.</t>
  </si>
  <si>
    <t>Ср. расходы на персонал</t>
  </si>
  <si>
    <t>млн руб. / год</t>
  </si>
  <si>
    <t>EBITDA</t>
  </si>
  <si>
    <t>CAPEX</t>
  </si>
  <si>
    <t>FCF проекта</t>
  </si>
  <si>
    <t>3. Основные этапы и сроки реализации</t>
  </si>
  <si>
    <t>№</t>
  </si>
  <si>
    <t>Описание этапа</t>
  </si>
  <si>
    <t>Сроки реализации (кв., год)</t>
  </si>
  <si>
    <t>Ответственный</t>
  </si>
  <si>
    <t>4. Ключевые риски реализации</t>
  </si>
  <si>
    <t>Описание риска</t>
  </si>
  <si>
    <t>Меры по митигации риска</t>
  </si>
  <si>
    <t>https://docs.google.com/document/d/1Nv8za5sTC_KYzoQ8pctjLsnvbe2vNXB3jib50V1hk5Y/edit?usp=sharing
https://www.tadviser.ru/index.php/%D0%9F%D1%80%D0%BE%D0%B4%D1%83%D0%BA%D1%82:%D0%9C%D0%A2%D0%A1_RED_ASOC_(Application_Security_Orchestration_and_Correlation)</t>
  </si>
  <si>
    <t>Наше исследование 
MTS RED</t>
  </si>
  <si>
    <t>Fronend</t>
  </si>
  <si>
    <t>Backend</t>
  </si>
  <si>
    <t>teamlead</t>
  </si>
  <si>
    <t>product</t>
  </si>
  <si>
    <t>analyst</t>
  </si>
  <si>
    <t>Presale</t>
  </si>
  <si>
    <t>arch</t>
  </si>
  <si>
    <t>SwordFish Security</t>
  </si>
  <si>
    <t>6 месяцев</t>
  </si>
  <si>
    <t>Реализация варианта поставки on-prem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</si>
</sst>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"/>
  </numFmts>
  <fonts count="14" x14ac:knownFonts="1">
    <font>
      <sz val="10"/>
      <color indexed="64"/>
      <name val="Arial"/>
      <scheme val="minor"/>
    </font>
    <font>
      <b/>
      <i/>
      <sz val="10"/>
      <color theme="1"/>
      <name val="Arial"/>
      <family val="2"/>
      <scheme val="minor"/>
    </font>
    <font>
      <b/>
      <sz val="10"/>
      <color indexed="65"/>
      <name val="Arial"/>
      <family val="2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indexed="4"/>
      <name val="Arial"/>
      <family val="2"/>
      <scheme val="minor"/>
    </font>
    <font>
      <u/>
      <sz val="10"/>
      <color indexed="4"/>
      <name val="Arial"/>
      <family val="2"/>
    </font>
    <font>
      <i/>
      <sz val="10"/>
      <color theme="1"/>
      <name val="Arial"/>
      <family val="2"/>
      <scheme val="minor"/>
    </font>
    <font>
      <sz val="1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i/>
      <sz val="10"/>
      <color indexed="4"/>
      <name val="Arial"/>
      <family val="2"/>
    </font>
    <font>
      <sz val="10"/>
      <color indexed="64"/>
      <name val="Arial"/>
      <family val="2"/>
      <scheme val="minor"/>
    </font>
    <font>
      <sz val="10"/>
      <color indexed="64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</fills>
  <borders count="4">
    <border>
      <left/>
      <right/>
      <top/>
      <bottom/>
      <diagonal/>
    </border>
    <border>
      <left style="thin">
        <color rgb="FF434343"/>
      </left>
      <right/>
      <top style="thin">
        <color rgb="FF434343"/>
      </top>
      <bottom style="thin">
        <color rgb="FF434343"/>
      </bottom>
      <diagonal/>
    </border>
    <border>
      <left/>
      <right style="thin">
        <color rgb="FF434343"/>
      </right>
      <top style="thin">
        <color rgb="FF434343"/>
      </top>
      <bottom style="thin">
        <color rgb="FF434343"/>
      </bottom>
      <diagonal/>
    </border>
    <border>
      <left/>
      <right/>
      <top style="thin">
        <color rgb="FF434343"/>
      </top>
      <bottom style="thin">
        <color rgb="FF434343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33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3" borderId="0" xfId="0" applyFont="1" applyFill="1"/>
    <xf numFmtId="0" fontId="4" fillId="3" borderId="0" xfId="0" applyFont="1" applyFill="1" applyAlignment="1">
      <alignment horizontal="center"/>
    </xf>
    <xf numFmtId="164" fontId="4" fillId="3" borderId="0" xfId="0" applyNumberFormat="1" applyFont="1" applyFill="1"/>
    <xf numFmtId="0" fontId="4" fillId="3" borderId="0" xfId="0" applyFont="1" applyFill="1"/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4" fontId="5" fillId="0" borderId="0" xfId="0" applyNumberFormat="1" applyFont="1"/>
    <xf numFmtId="9" fontId="4" fillId="0" borderId="0" xfId="0" applyNumberFormat="1" applyFont="1"/>
    <xf numFmtId="165" fontId="4" fillId="3" borderId="0" xfId="0" applyNumberFormat="1" applyFont="1" applyFill="1"/>
    <xf numFmtId="0" fontId="7" fillId="0" borderId="0" xfId="0" applyFont="1"/>
    <xf numFmtId="3" fontId="4" fillId="0" borderId="0" xfId="0" applyNumberFormat="1" applyFont="1"/>
    <xf numFmtId="0" fontId="3" fillId="4" borderId="0" xfId="0" applyFont="1" applyFill="1"/>
    <xf numFmtId="0" fontId="4" fillId="4" borderId="0" xfId="0" applyFont="1" applyFill="1"/>
    <xf numFmtId="0" fontId="3" fillId="0" borderId="0" xfId="0" applyFont="1"/>
    <xf numFmtId="0" fontId="6" fillId="0" borderId="0" xfId="0" applyFont="1" applyAlignment="1">
      <alignment wrapText="1"/>
    </xf>
    <xf numFmtId="0" fontId="4" fillId="0" borderId="0" xfId="0" applyFont="1" applyAlignment="1">
      <alignment wrapText="1"/>
    </xf>
    <xf numFmtId="165" fontId="4" fillId="0" borderId="0" xfId="0" applyNumberFormat="1" applyFont="1"/>
    <xf numFmtId="10" fontId="0" fillId="0" borderId="0" xfId="1" applyNumberFormat="1" applyFont="1"/>
    <xf numFmtId="0" fontId="12" fillId="0" borderId="0" xfId="0" applyFont="1"/>
    <xf numFmtId="9" fontId="12" fillId="0" borderId="0" xfId="0" applyNumberFormat="1" applyFont="1"/>
    <xf numFmtId="1" fontId="0" fillId="0" borderId="0" xfId="0" applyNumberFormat="1"/>
    <xf numFmtId="0" fontId="4" fillId="5" borderId="1" xfId="0" applyFont="1" applyFill="1" applyBorder="1" applyAlignment="1">
      <alignment horizontal="center"/>
    </xf>
    <xf numFmtId="0" fontId="8" fillId="0" borderId="2" xfId="0" applyFont="1" applyBorder="1"/>
    <xf numFmtId="0" fontId="3" fillId="0" borderId="1" xfId="0" applyFont="1" applyBorder="1"/>
    <xf numFmtId="0" fontId="8" fillId="0" borderId="3" xfId="0" applyFont="1" applyBorder="1"/>
    <xf numFmtId="0" fontId="4" fillId="0" borderId="1" xfId="0" applyFont="1" applyBorder="1"/>
    <xf numFmtId="0" fontId="3" fillId="5" borderId="1" xfId="0" applyFont="1" applyFill="1" applyBorder="1" applyAlignment="1">
      <alignment horizontal="center"/>
    </xf>
    <xf numFmtId="0" fontId="3" fillId="5" borderId="1" xfId="0" applyFont="1" applyFill="1" applyBorder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tadviser.ru/index.php/%D0%9F%D1%80%D0%BE%D0%B4%D1%83%D0%BA%D1%82:%D0%9C%D0%A2%D0%A1_RED_ASOC_(Application_Security_Orchestration_and_Correlation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1"/>
  <sheetViews>
    <sheetView workbookViewId="0">
      <pane xSplit="2" ySplit="2" topLeftCell="C3" activePane="bottomRight" state="frozen"/>
      <selection activeCell="M4" sqref="M4"/>
      <selection pane="topRight"/>
      <selection pane="bottomLeft"/>
      <selection pane="bottomRight" activeCell="E4" sqref="E4"/>
    </sheetView>
  </sheetViews>
  <sheetFormatPr baseColWidth="10" defaultColWidth="12.6640625" defaultRowHeight="15.75" customHeight="1" x14ac:dyDescent="0.15"/>
  <cols>
    <col min="1" max="1" width="42.6640625" customWidth="1"/>
    <col min="3" max="8" width="8.6640625" customWidth="1"/>
    <col min="9" max="9" width="4.6640625" customWidth="1"/>
    <col min="10" max="10" width="18.6640625" customWidth="1"/>
    <col min="11" max="11" width="3.1640625" customWidth="1"/>
    <col min="13" max="13" width="60" customWidth="1"/>
    <col min="14" max="27" width="12.6640625" hidden="1"/>
  </cols>
  <sheetData>
    <row r="1" spans="1:13" ht="13" x14ac:dyDescent="0.15">
      <c r="A1" s="1" t="s">
        <v>0</v>
      </c>
    </row>
    <row r="2" spans="1:13" ht="13" x14ac:dyDescent="0.15">
      <c r="A2" s="2" t="s">
        <v>1</v>
      </c>
      <c r="B2" s="3" t="s">
        <v>2</v>
      </c>
      <c r="C2" s="2">
        <v>2022</v>
      </c>
      <c r="D2" s="2">
        <f t="shared" ref="D2:H2" si="0">C2+1</f>
        <v>2023</v>
      </c>
      <c r="E2" s="2">
        <f t="shared" si="0"/>
        <v>2024</v>
      </c>
      <c r="F2" s="2">
        <f t="shared" si="0"/>
        <v>2025</v>
      </c>
      <c r="G2" s="2">
        <f t="shared" si="0"/>
        <v>2026</v>
      </c>
      <c r="H2" s="2">
        <f t="shared" si="0"/>
        <v>2027</v>
      </c>
      <c r="I2" s="2"/>
      <c r="J2" s="2" t="s">
        <v>3</v>
      </c>
      <c r="K2" s="2"/>
      <c r="L2" s="2" t="s">
        <v>4</v>
      </c>
      <c r="M2" s="2" t="s">
        <v>5</v>
      </c>
    </row>
    <row r="3" spans="1:13" ht="13" x14ac:dyDescent="0.15">
      <c r="A3" s="4" t="s">
        <v>6</v>
      </c>
      <c r="B3" s="5"/>
      <c r="C3" s="6"/>
      <c r="D3" s="6"/>
      <c r="E3" s="6"/>
      <c r="F3" s="6"/>
      <c r="G3" s="6"/>
      <c r="H3" s="6"/>
      <c r="I3" s="7"/>
      <c r="J3" s="7"/>
      <c r="K3" s="7"/>
      <c r="L3" s="7"/>
      <c r="M3" s="7"/>
    </row>
    <row r="4" spans="1:13" ht="84" x14ac:dyDescent="0.15">
      <c r="A4" s="8" t="s">
        <v>8</v>
      </c>
      <c r="B4" s="9" t="s">
        <v>7</v>
      </c>
      <c r="C4" s="10"/>
      <c r="D4" s="10">
        <v>4.2</v>
      </c>
      <c r="E4" s="11">
        <f t="shared" ref="E4" si="1">D4*(1+$J4)</f>
        <v>5.04</v>
      </c>
      <c r="F4" s="11">
        <f t="shared" ref="F4:H4" si="2">E4*(1+$J4)</f>
        <v>6.048</v>
      </c>
      <c r="G4" s="11">
        <f t="shared" si="2"/>
        <v>7.2576000000000001</v>
      </c>
      <c r="H4" s="11">
        <f t="shared" si="2"/>
        <v>8.7091200000000004</v>
      </c>
      <c r="J4" s="12">
        <v>0.2</v>
      </c>
      <c r="L4" s="20" t="s">
        <v>45</v>
      </c>
      <c r="M4" s="19" t="s">
        <v>44</v>
      </c>
    </row>
    <row r="5" spans="1:13" ht="13" x14ac:dyDescent="0.15">
      <c r="C5" s="10"/>
      <c r="D5" s="10"/>
      <c r="E5" s="10"/>
      <c r="F5" s="10"/>
      <c r="G5" s="10"/>
      <c r="H5" s="10"/>
    </row>
    <row r="6" spans="1:13" ht="13" x14ac:dyDescent="0.15">
      <c r="A6" s="4" t="s">
        <v>9</v>
      </c>
      <c r="B6" s="5"/>
      <c r="C6" s="13"/>
      <c r="D6" s="13"/>
      <c r="E6" s="7"/>
      <c r="F6" s="7"/>
      <c r="G6" s="7"/>
      <c r="H6" s="7"/>
      <c r="I6" s="7"/>
      <c r="J6" s="7"/>
      <c r="K6" s="7"/>
      <c r="L6" s="7"/>
      <c r="M6" s="7"/>
    </row>
    <row r="7" spans="1:13" ht="13" x14ac:dyDescent="0.15">
      <c r="B7" s="9"/>
      <c r="C7" s="10"/>
      <c r="D7" s="10"/>
      <c r="E7" s="10"/>
      <c r="F7" s="10"/>
      <c r="G7" s="10"/>
      <c r="H7" s="10"/>
      <c r="J7" s="14" t="s">
        <v>10</v>
      </c>
    </row>
    <row r="8" spans="1:13" ht="13" x14ac:dyDescent="0.15">
      <c r="A8" s="8"/>
      <c r="B8" s="9"/>
      <c r="C8" s="15"/>
      <c r="D8" s="15"/>
      <c r="E8" s="15"/>
      <c r="F8" s="15"/>
      <c r="G8" s="15"/>
      <c r="H8" s="15"/>
    </row>
    <row r="9" spans="1:13" ht="13" x14ac:dyDescent="0.15">
      <c r="B9" s="9"/>
      <c r="C9" s="10"/>
      <c r="D9" s="10"/>
      <c r="E9" s="10"/>
      <c r="F9" s="10"/>
      <c r="G9" s="10"/>
      <c r="H9" s="10"/>
    </row>
    <row r="10" spans="1:13" ht="13" hidden="1" x14ac:dyDescent="0.15">
      <c r="C10" s="10"/>
      <c r="D10" s="10"/>
      <c r="E10" s="10"/>
      <c r="F10" s="10"/>
      <c r="G10" s="10"/>
      <c r="H10" s="10"/>
    </row>
    <row r="11" spans="1:13" ht="13" hidden="1" x14ac:dyDescent="0.15"/>
    <row r="12" spans="1:13" ht="13" hidden="1" x14ac:dyDescent="0.15"/>
    <row r="13" spans="1:13" ht="13" hidden="1" x14ac:dyDescent="0.15"/>
    <row r="14" spans="1:13" ht="13" hidden="1" x14ac:dyDescent="0.15"/>
    <row r="15" spans="1:13" ht="13" hidden="1" x14ac:dyDescent="0.15"/>
    <row r="16" spans="1:13" ht="13" hidden="1" x14ac:dyDescent="0.15"/>
    <row r="17" ht="13" hidden="1" x14ac:dyDescent="0.15"/>
    <row r="18" ht="13" hidden="1" x14ac:dyDescent="0.15"/>
    <row r="19" ht="13" hidden="1" x14ac:dyDescent="0.15"/>
    <row r="20" ht="13" hidden="1" x14ac:dyDescent="0.15"/>
    <row r="21" ht="13" hidden="1" x14ac:dyDescent="0.15"/>
    <row r="22" ht="13" hidden="1" x14ac:dyDescent="0.15"/>
    <row r="23" ht="13" hidden="1" x14ac:dyDescent="0.15"/>
    <row r="24" ht="13" hidden="1" x14ac:dyDescent="0.15"/>
    <row r="25" ht="13" hidden="1" x14ac:dyDescent="0.15"/>
    <row r="26" ht="13" hidden="1" x14ac:dyDescent="0.15"/>
    <row r="27" ht="13" hidden="1" x14ac:dyDescent="0.15"/>
    <row r="28" ht="13" hidden="1" x14ac:dyDescent="0.15"/>
    <row r="29" ht="13" hidden="1" x14ac:dyDescent="0.15"/>
    <row r="30" ht="13" hidden="1" x14ac:dyDescent="0.15"/>
    <row r="31" ht="13" hidden="1" x14ac:dyDescent="0.15"/>
    <row r="32" ht="13" hidden="1" x14ac:dyDescent="0.15"/>
    <row r="33" ht="13" hidden="1" x14ac:dyDescent="0.15"/>
    <row r="34" ht="13" hidden="1" x14ac:dyDescent="0.15"/>
    <row r="35" ht="13" hidden="1" x14ac:dyDescent="0.15"/>
    <row r="36" ht="13" hidden="1" x14ac:dyDescent="0.15"/>
    <row r="37" ht="13" hidden="1" x14ac:dyDescent="0.15"/>
    <row r="38" ht="13" hidden="1" x14ac:dyDescent="0.15"/>
    <row r="39" ht="13" hidden="1" x14ac:dyDescent="0.15"/>
    <row r="40" ht="13" hidden="1" x14ac:dyDescent="0.15"/>
    <row r="41" ht="13" hidden="1" x14ac:dyDescent="0.15"/>
    <row r="42" ht="13" hidden="1" x14ac:dyDescent="0.15"/>
    <row r="43" ht="13" hidden="1" x14ac:dyDescent="0.15"/>
    <row r="44" ht="13" hidden="1" x14ac:dyDescent="0.15"/>
    <row r="45" ht="13" hidden="1" x14ac:dyDescent="0.15"/>
    <row r="46" ht="13" hidden="1" x14ac:dyDescent="0.15"/>
    <row r="47" ht="13" hidden="1" x14ac:dyDescent="0.15"/>
    <row r="48" ht="13" hidden="1" x14ac:dyDescent="0.15"/>
    <row r="49" ht="13" hidden="1" x14ac:dyDescent="0.15"/>
    <row r="50" ht="13" hidden="1" x14ac:dyDescent="0.15"/>
    <row r="51" ht="13" hidden="1" x14ac:dyDescent="0.15"/>
    <row r="52" ht="13" hidden="1" x14ac:dyDescent="0.15"/>
    <row r="53" ht="13" hidden="1" x14ac:dyDescent="0.15"/>
    <row r="54" ht="13" hidden="1" x14ac:dyDescent="0.15"/>
    <row r="55" ht="13" hidden="1" x14ac:dyDescent="0.15"/>
    <row r="56" ht="13" hidden="1" x14ac:dyDescent="0.15"/>
    <row r="57" ht="13" hidden="1" x14ac:dyDescent="0.15"/>
    <row r="58" ht="13" hidden="1" x14ac:dyDescent="0.15"/>
    <row r="59" ht="13" hidden="1" x14ac:dyDescent="0.15"/>
    <row r="60" ht="13" hidden="1" x14ac:dyDescent="0.15"/>
    <row r="61" ht="13" hidden="1" x14ac:dyDescent="0.15"/>
    <row r="62" ht="13" hidden="1" x14ac:dyDescent="0.15"/>
    <row r="63" ht="13" hidden="1" x14ac:dyDescent="0.15"/>
    <row r="64" ht="13" hidden="1" x14ac:dyDescent="0.15"/>
    <row r="65" ht="13" hidden="1" x14ac:dyDescent="0.15"/>
    <row r="66" ht="13" hidden="1" x14ac:dyDescent="0.15"/>
    <row r="67" ht="13" hidden="1" x14ac:dyDescent="0.15"/>
    <row r="68" ht="13" hidden="1" x14ac:dyDescent="0.15"/>
    <row r="69" ht="13" hidden="1" x14ac:dyDescent="0.15"/>
    <row r="70" ht="13" hidden="1" x14ac:dyDescent="0.15"/>
    <row r="71" ht="13" hidden="1" x14ac:dyDescent="0.15"/>
    <row r="72" ht="13" hidden="1" x14ac:dyDescent="0.15"/>
    <row r="73" ht="13" hidden="1" x14ac:dyDescent="0.15"/>
    <row r="74" ht="13" hidden="1" x14ac:dyDescent="0.15"/>
    <row r="75" ht="13" hidden="1" x14ac:dyDescent="0.15"/>
    <row r="76" ht="13" hidden="1" x14ac:dyDescent="0.15"/>
    <row r="77" ht="13" hidden="1" x14ac:dyDescent="0.15"/>
    <row r="78" ht="13" hidden="1" x14ac:dyDescent="0.15"/>
    <row r="79" ht="13" hidden="1" x14ac:dyDescent="0.15"/>
    <row r="80" ht="13" hidden="1" x14ac:dyDescent="0.15"/>
    <row r="81" ht="13" hidden="1" x14ac:dyDescent="0.15"/>
    <row r="82" ht="13" hidden="1" x14ac:dyDescent="0.15"/>
    <row r="83" ht="13" hidden="1" x14ac:dyDescent="0.15"/>
    <row r="84" ht="13" hidden="1" x14ac:dyDescent="0.15"/>
    <row r="85" ht="13" hidden="1" x14ac:dyDescent="0.15"/>
    <row r="86" ht="13" hidden="1" x14ac:dyDescent="0.15"/>
    <row r="87" ht="13" hidden="1" x14ac:dyDescent="0.15"/>
    <row r="88" ht="13" hidden="1" x14ac:dyDescent="0.15"/>
    <row r="89" ht="13" hidden="1" x14ac:dyDescent="0.15"/>
    <row r="90" ht="13" hidden="1" x14ac:dyDescent="0.15"/>
    <row r="91" ht="13" hidden="1" x14ac:dyDescent="0.15"/>
    <row r="92" ht="13" hidden="1" x14ac:dyDescent="0.15"/>
    <row r="93" ht="13" hidden="1" x14ac:dyDescent="0.15"/>
    <row r="94" ht="13" hidden="1" x14ac:dyDescent="0.15"/>
    <row r="95" ht="13" hidden="1" x14ac:dyDescent="0.15"/>
    <row r="96" ht="13" hidden="1" x14ac:dyDescent="0.15"/>
    <row r="97" ht="13" hidden="1" x14ac:dyDescent="0.15"/>
    <row r="98" ht="13" hidden="1" x14ac:dyDescent="0.15"/>
    <row r="99" ht="13" hidden="1" x14ac:dyDescent="0.15"/>
    <row r="100" ht="13" hidden="1" x14ac:dyDescent="0.15"/>
    <row r="101" ht="13" hidden="1" x14ac:dyDescent="0.15"/>
    <row r="102" ht="13" hidden="1" x14ac:dyDescent="0.15"/>
    <row r="103" ht="13" hidden="1" x14ac:dyDescent="0.15"/>
    <row r="104" ht="13" hidden="1" x14ac:dyDescent="0.15"/>
    <row r="105" ht="13" hidden="1" x14ac:dyDescent="0.15"/>
    <row r="106" ht="13" hidden="1" x14ac:dyDescent="0.15"/>
    <row r="107" ht="13" hidden="1" x14ac:dyDescent="0.15"/>
    <row r="108" ht="13" hidden="1" x14ac:dyDescent="0.15"/>
    <row r="109" ht="13" hidden="1" x14ac:dyDescent="0.15"/>
    <row r="110" ht="13" hidden="1" x14ac:dyDescent="0.15"/>
    <row r="111" ht="13" hidden="1" x14ac:dyDescent="0.15"/>
    <row r="112" ht="13" hidden="1" x14ac:dyDescent="0.15"/>
    <row r="113" ht="13" hidden="1" x14ac:dyDescent="0.15"/>
    <row r="114" ht="13" hidden="1" x14ac:dyDescent="0.15"/>
    <row r="115" ht="13" hidden="1" x14ac:dyDescent="0.15"/>
    <row r="116" ht="13" hidden="1" x14ac:dyDescent="0.15"/>
    <row r="117" ht="13" hidden="1" x14ac:dyDescent="0.15"/>
    <row r="118" ht="13" hidden="1" x14ac:dyDescent="0.15"/>
    <row r="119" ht="13" hidden="1" x14ac:dyDescent="0.15"/>
    <row r="120" ht="13" hidden="1" x14ac:dyDescent="0.15"/>
    <row r="121" ht="13" hidden="1" x14ac:dyDescent="0.15"/>
    <row r="122" ht="13" hidden="1" x14ac:dyDescent="0.15"/>
    <row r="123" ht="13" hidden="1" x14ac:dyDescent="0.15"/>
    <row r="124" ht="13" hidden="1" x14ac:dyDescent="0.15"/>
    <row r="125" ht="13" hidden="1" x14ac:dyDescent="0.15"/>
    <row r="126" ht="13" hidden="1" x14ac:dyDescent="0.15"/>
    <row r="127" ht="13" hidden="1" x14ac:dyDescent="0.15"/>
    <row r="128" ht="13" hidden="1" x14ac:dyDescent="0.15"/>
    <row r="129" ht="13" hidden="1" x14ac:dyDescent="0.15"/>
    <row r="130" ht="13" hidden="1" x14ac:dyDescent="0.15"/>
    <row r="131" ht="13" hidden="1" x14ac:dyDescent="0.15"/>
    <row r="132" ht="13" hidden="1" x14ac:dyDescent="0.15"/>
    <row r="133" ht="13" hidden="1" x14ac:dyDescent="0.15"/>
    <row r="134" ht="13" hidden="1" x14ac:dyDescent="0.15"/>
    <row r="135" ht="13" hidden="1" x14ac:dyDescent="0.15"/>
    <row r="136" ht="13" hidden="1" x14ac:dyDescent="0.15"/>
    <row r="137" ht="13" hidden="1" x14ac:dyDescent="0.15"/>
    <row r="138" ht="13" hidden="1" x14ac:dyDescent="0.15"/>
    <row r="139" ht="13" hidden="1" x14ac:dyDescent="0.15"/>
    <row r="140" ht="13" hidden="1" x14ac:dyDescent="0.15"/>
    <row r="141" ht="13" hidden="1" x14ac:dyDescent="0.15"/>
    <row r="142" ht="13" hidden="1" x14ac:dyDescent="0.15"/>
    <row r="143" ht="13" hidden="1" x14ac:dyDescent="0.15"/>
    <row r="144" ht="13" hidden="1" x14ac:dyDescent="0.15"/>
    <row r="145" ht="13" hidden="1" x14ac:dyDescent="0.15"/>
    <row r="146" ht="13" hidden="1" x14ac:dyDescent="0.15"/>
    <row r="147" ht="13" hidden="1" x14ac:dyDescent="0.15"/>
    <row r="148" ht="13" hidden="1" x14ac:dyDescent="0.15"/>
    <row r="149" ht="13" hidden="1" x14ac:dyDescent="0.15"/>
    <row r="150" ht="13" hidden="1" x14ac:dyDescent="0.15"/>
    <row r="151" ht="13" hidden="1" x14ac:dyDescent="0.15"/>
    <row r="152" ht="13" hidden="1" x14ac:dyDescent="0.15"/>
    <row r="153" ht="13" hidden="1" x14ac:dyDescent="0.15"/>
    <row r="154" ht="13" hidden="1" x14ac:dyDescent="0.15"/>
    <row r="155" ht="13" hidden="1" x14ac:dyDescent="0.15"/>
    <row r="156" ht="13" hidden="1" x14ac:dyDescent="0.15"/>
    <row r="157" ht="13" hidden="1" x14ac:dyDescent="0.15"/>
    <row r="158" ht="13" hidden="1" x14ac:dyDescent="0.15"/>
    <row r="159" ht="13" hidden="1" x14ac:dyDescent="0.15"/>
    <row r="160" ht="13" hidden="1" x14ac:dyDescent="0.15"/>
    <row r="161" ht="13" hidden="1" x14ac:dyDescent="0.15"/>
    <row r="162" ht="13" hidden="1" x14ac:dyDescent="0.15"/>
    <row r="163" ht="13" hidden="1" x14ac:dyDescent="0.15"/>
    <row r="164" ht="13" hidden="1" x14ac:dyDescent="0.15"/>
    <row r="165" ht="13" hidden="1" x14ac:dyDescent="0.15"/>
    <row r="166" ht="13" hidden="1" x14ac:dyDescent="0.15"/>
    <row r="167" ht="13" hidden="1" x14ac:dyDescent="0.15"/>
    <row r="168" ht="13" hidden="1" x14ac:dyDescent="0.15"/>
    <row r="169" ht="13" hidden="1" x14ac:dyDescent="0.15"/>
    <row r="170" ht="13" hidden="1" x14ac:dyDescent="0.15"/>
    <row r="171" ht="13" hidden="1" x14ac:dyDescent="0.15"/>
    <row r="172" ht="13" hidden="1" x14ac:dyDescent="0.15"/>
    <row r="173" ht="13" hidden="1" x14ac:dyDescent="0.15"/>
    <row r="174" ht="13" hidden="1" x14ac:dyDescent="0.15"/>
    <row r="175" ht="13" hidden="1" x14ac:dyDescent="0.15"/>
    <row r="176" ht="13" hidden="1" x14ac:dyDescent="0.15"/>
    <row r="177" ht="13" hidden="1" x14ac:dyDescent="0.15"/>
    <row r="178" ht="13" hidden="1" x14ac:dyDescent="0.15"/>
    <row r="179" ht="13" hidden="1" x14ac:dyDescent="0.15"/>
    <row r="180" ht="13" hidden="1" x14ac:dyDescent="0.15"/>
    <row r="181" ht="13" hidden="1" x14ac:dyDescent="0.15"/>
    <row r="182" ht="13" hidden="1" x14ac:dyDescent="0.15"/>
    <row r="183" ht="13" hidden="1" x14ac:dyDescent="0.15"/>
    <row r="184" ht="13" hidden="1" x14ac:dyDescent="0.15"/>
    <row r="185" ht="13" hidden="1" x14ac:dyDescent="0.15"/>
    <row r="186" ht="13" hidden="1" x14ac:dyDescent="0.15"/>
    <row r="187" ht="13" hidden="1" x14ac:dyDescent="0.15"/>
    <row r="188" ht="13" hidden="1" x14ac:dyDescent="0.15"/>
    <row r="189" ht="13" hidden="1" x14ac:dyDescent="0.15"/>
    <row r="190" ht="13" hidden="1" x14ac:dyDescent="0.15"/>
    <row r="191" ht="13" hidden="1" x14ac:dyDescent="0.15"/>
    <row r="192" ht="13" hidden="1" x14ac:dyDescent="0.15"/>
    <row r="193" ht="13" hidden="1" x14ac:dyDescent="0.15"/>
    <row r="194" ht="13" hidden="1" x14ac:dyDescent="0.15"/>
    <row r="195" ht="13" hidden="1" x14ac:dyDescent="0.15"/>
    <row r="196" ht="13" hidden="1" x14ac:dyDescent="0.15"/>
    <row r="197" ht="13" hidden="1" x14ac:dyDescent="0.15"/>
    <row r="198" ht="13" hidden="1" x14ac:dyDescent="0.15"/>
    <row r="199" ht="13" hidden="1" x14ac:dyDescent="0.15"/>
    <row r="200" ht="13" hidden="1" x14ac:dyDescent="0.15"/>
    <row r="201" ht="13" hidden="1" x14ac:dyDescent="0.15"/>
    <row r="202" ht="13" hidden="1" x14ac:dyDescent="0.15"/>
    <row r="203" ht="13" hidden="1" x14ac:dyDescent="0.15"/>
    <row r="204" ht="13" hidden="1" x14ac:dyDescent="0.15"/>
    <row r="205" ht="13" hidden="1" x14ac:dyDescent="0.15"/>
    <row r="206" ht="13" hidden="1" x14ac:dyDescent="0.15"/>
    <row r="207" ht="13" hidden="1" x14ac:dyDescent="0.15"/>
    <row r="208" ht="13" hidden="1" x14ac:dyDescent="0.15"/>
    <row r="209" ht="13" hidden="1" x14ac:dyDescent="0.15"/>
    <row r="210" ht="13" hidden="1" x14ac:dyDescent="0.15"/>
    <row r="211" ht="13" hidden="1" x14ac:dyDescent="0.15"/>
    <row r="212" ht="13" hidden="1" x14ac:dyDescent="0.15"/>
    <row r="213" ht="13" hidden="1" x14ac:dyDescent="0.15"/>
    <row r="214" ht="13" hidden="1" x14ac:dyDescent="0.15"/>
    <row r="215" ht="13" hidden="1" x14ac:dyDescent="0.15"/>
    <row r="216" ht="13" hidden="1" x14ac:dyDescent="0.15"/>
    <row r="217" ht="13" hidden="1" x14ac:dyDescent="0.15"/>
    <row r="218" ht="13" hidden="1" x14ac:dyDescent="0.15"/>
    <row r="219" ht="13" hidden="1" x14ac:dyDescent="0.15"/>
    <row r="220" ht="13" hidden="1" x14ac:dyDescent="0.15"/>
    <row r="221" ht="13" hidden="1" x14ac:dyDescent="0.15"/>
    <row r="222" ht="13" hidden="1" x14ac:dyDescent="0.15"/>
    <row r="223" ht="13" hidden="1" x14ac:dyDescent="0.15"/>
    <row r="224" ht="13" hidden="1" x14ac:dyDescent="0.15"/>
    <row r="225" ht="13" hidden="1" x14ac:dyDescent="0.15"/>
    <row r="226" ht="13" hidden="1" x14ac:dyDescent="0.15"/>
    <row r="227" ht="13" hidden="1" x14ac:dyDescent="0.15"/>
    <row r="228" ht="13" hidden="1" x14ac:dyDescent="0.15"/>
    <row r="229" ht="13" hidden="1" x14ac:dyDescent="0.15"/>
    <row r="230" ht="13" hidden="1" x14ac:dyDescent="0.15"/>
    <row r="231" ht="13" hidden="1" x14ac:dyDescent="0.15"/>
    <row r="232" ht="13" hidden="1" x14ac:dyDescent="0.15"/>
    <row r="233" ht="13" hidden="1" x14ac:dyDescent="0.15"/>
    <row r="234" ht="13" hidden="1" x14ac:dyDescent="0.15"/>
    <row r="235" ht="13" hidden="1" x14ac:dyDescent="0.15"/>
    <row r="236" ht="13" hidden="1" x14ac:dyDescent="0.15"/>
    <row r="237" ht="13" hidden="1" x14ac:dyDescent="0.15"/>
    <row r="238" ht="13" hidden="1" x14ac:dyDescent="0.15"/>
    <row r="239" ht="13" hidden="1" x14ac:dyDescent="0.15"/>
    <row r="240" ht="13" hidden="1" x14ac:dyDescent="0.15"/>
    <row r="241" ht="13" hidden="1" x14ac:dyDescent="0.15"/>
    <row r="242" ht="13" hidden="1" x14ac:dyDescent="0.15"/>
    <row r="243" ht="13" hidden="1" x14ac:dyDescent="0.15"/>
    <row r="244" ht="13" hidden="1" x14ac:dyDescent="0.15"/>
    <row r="245" ht="13" hidden="1" x14ac:dyDescent="0.15"/>
    <row r="246" ht="13" hidden="1" x14ac:dyDescent="0.15"/>
    <row r="247" ht="13" hidden="1" x14ac:dyDescent="0.15"/>
    <row r="248" ht="13" hidden="1" x14ac:dyDescent="0.15"/>
    <row r="249" ht="13" hidden="1" x14ac:dyDescent="0.15"/>
    <row r="250" ht="13" hidden="1" x14ac:dyDescent="0.15"/>
    <row r="251" ht="13" hidden="1" x14ac:dyDescent="0.15"/>
    <row r="252" ht="13" hidden="1" x14ac:dyDescent="0.15"/>
    <row r="253" ht="13" hidden="1" x14ac:dyDescent="0.15"/>
    <row r="254" ht="13" hidden="1" x14ac:dyDescent="0.15"/>
    <row r="255" ht="13" hidden="1" x14ac:dyDescent="0.15"/>
    <row r="256" ht="13" hidden="1" x14ac:dyDescent="0.15"/>
    <row r="257" ht="13" hidden="1" x14ac:dyDescent="0.15"/>
    <row r="258" ht="13" hidden="1" x14ac:dyDescent="0.15"/>
    <row r="259" ht="13" hidden="1" x14ac:dyDescent="0.15"/>
    <row r="260" ht="13" hidden="1" x14ac:dyDescent="0.15"/>
    <row r="261" ht="13" hidden="1" x14ac:dyDescent="0.15"/>
    <row r="262" ht="13" hidden="1" x14ac:dyDescent="0.15"/>
    <row r="263" ht="13" hidden="1" x14ac:dyDescent="0.15"/>
    <row r="264" ht="13" hidden="1" x14ac:dyDescent="0.15"/>
    <row r="265" ht="13" hidden="1" x14ac:dyDescent="0.15"/>
    <row r="266" ht="13" hidden="1" x14ac:dyDescent="0.15"/>
    <row r="267" ht="13" hidden="1" x14ac:dyDescent="0.15"/>
    <row r="268" ht="13" hidden="1" x14ac:dyDescent="0.15"/>
    <row r="269" ht="13" hidden="1" x14ac:dyDescent="0.15"/>
    <row r="270" ht="13" hidden="1" x14ac:dyDescent="0.15"/>
    <row r="271" ht="13" hidden="1" x14ac:dyDescent="0.15"/>
    <row r="272" ht="13" hidden="1" x14ac:dyDescent="0.15"/>
    <row r="273" ht="13" hidden="1" x14ac:dyDescent="0.15"/>
    <row r="274" ht="13" hidden="1" x14ac:dyDescent="0.15"/>
    <row r="275" ht="13" hidden="1" x14ac:dyDescent="0.15"/>
    <row r="276" ht="13" hidden="1" x14ac:dyDescent="0.15"/>
    <row r="277" ht="13" hidden="1" x14ac:dyDescent="0.15"/>
    <row r="278" ht="13" hidden="1" x14ac:dyDescent="0.15"/>
    <row r="279" ht="13" hidden="1" x14ac:dyDescent="0.15"/>
    <row r="280" ht="13" hidden="1" x14ac:dyDescent="0.15"/>
    <row r="281" ht="13" hidden="1" x14ac:dyDescent="0.15"/>
    <row r="282" ht="13" hidden="1" x14ac:dyDescent="0.15"/>
    <row r="283" ht="13" hidden="1" x14ac:dyDescent="0.15"/>
    <row r="284" ht="13" hidden="1" x14ac:dyDescent="0.15"/>
    <row r="285" ht="13" hidden="1" x14ac:dyDescent="0.15"/>
    <row r="286" ht="13" hidden="1" x14ac:dyDescent="0.15"/>
    <row r="287" ht="13" hidden="1" x14ac:dyDescent="0.15"/>
    <row r="288" ht="13" hidden="1" x14ac:dyDescent="0.15"/>
    <row r="289" ht="13" hidden="1" x14ac:dyDescent="0.15"/>
    <row r="290" ht="13" hidden="1" x14ac:dyDescent="0.15"/>
    <row r="291" ht="13" hidden="1" x14ac:dyDescent="0.15"/>
    <row r="292" ht="13" hidden="1" x14ac:dyDescent="0.15"/>
    <row r="293" ht="13" hidden="1" x14ac:dyDescent="0.15"/>
    <row r="294" ht="13" hidden="1" x14ac:dyDescent="0.15"/>
    <row r="295" ht="13" hidden="1" x14ac:dyDescent="0.15"/>
    <row r="296" ht="13" hidden="1" x14ac:dyDescent="0.15"/>
    <row r="297" ht="13" hidden="1" x14ac:dyDescent="0.15"/>
    <row r="298" ht="13" hidden="1" x14ac:dyDescent="0.15"/>
    <row r="299" ht="13" hidden="1" x14ac:dyDescent="0.15"/>
    <row r="300" ht="13" hidden="1" x14ac:dyDescent="0.15"/>
    <row r="301" ht="13" hidden="1" x14ac:dyDescent="0.15"/>
    <row r="302" ht="13" hidden="1" x14ac:dyDescent="0.15"/>
    <row r="303" ht="13" hidden="1" x14ac:dyDescent="0.15"/>
    <row r="304" ht="13" hidden="1" x14ac:dyDescent="0.15"/>
    <row r="305" ht="13" hidden="1" x14ac:dyDescent="0.15"/>
    <row r="306" ht="13" hidden="1" x14ac:dyDescent="0.15"/>
    <row r="307" ht="13" hidden="1" x14ac:dyDescent="0.15"/>
    <row r="308" ht="13" hidden="1" x14ac:dyDescent="0.15"/>
    <row r="309" ht="13" hidden="1" x14ac:dyDescent="0.15"/>
    <row r="310" ht="13" hidden="1" x14ac:dyDescent="0.15"/>
    <row r="311" ht="13" hidden="1" x14ac:dyDescent="0.15"/>
    <row r="312" ht="13" hidden="1" x14ac:dyDescent="0.15"/>
    <row r="313" ht="13" hidden="1" x14ac:dyDescent="0.15"/>
    <row r="314" ht="13" hidden="1" x14ac:dyDescent="0.15"/>
    <row r="315" ht="13" hidden="1" x14ac:dyDescent="0.15"/>
    <row r="316" ht="13" hidden="1" x14ac:dyDescent="0.15"/>
    <row r="317" ht="13" hidden="1" x14ac:dyDescent="0.15"/>
    <row r="318" ht="13" hidden="1" x14ac:dyDescent="0.15"/>
    <row r="319" ht="13" hidden="1" x14ac:dyDescent="0.15"/>
    <row r="320" ht="13" hidden="1" x14ac:dyDescent="0.15"/>
    <row r="321" ht="13" hidden="1" x14ac:dyDescent="0.15"/>
    <row r="322" ht="13" hidden="1" x14ac:dyDescent="0.15"/>
    <row r="323" ht="13" hidden="1" x14ac:dyDescent="0.15"/>
    <row r="324" ht="13" hidden="1" x14ac:dyDescent="0.15"/>
    <row r="325" ht="13" hidden="1" x14ac:dyDescent="0.15"/>
    <row r="326" ht="13" hidden="1" x14ac:dyDescent="0.15"/>
    <row r="327" ht="13" hidden="1" x14ac:dyDescent="0.15"/>
    <row r="328" ht="13" hidden="1" x14ac:dyDescent="0.15"/>
    <row r="329" ht="13" hidden="1" x14ac:dyDescent="0.15"/>
    <row r="330" ht="13" hidden="1" x14ac:dyDescent="0.15"/>
    <row r="331" ht="13" hidden="1" x14ac:dyDescent="0.15"/>
    <row r="332" ht="13" hidden="1" x14ac:dyDescent="0.15"/>
    <row r="333" ht="13" hidden="1" x14ac:dyDescent="0.15"/>
    <row r="334" ht="13" hidden="1" x14ac:dyDescent="0.15"/>
    <row r="335" ht="13" hidden="1" x14ac:dyDescent="0.15"/>
    <row r="336" ht="13" hidden="1" x14ac:dyDescent="0.15"/>
    <row r="337" ht="13" hidden="1" x14ac:dyDescent="0.15"/>
    <row r="338" ht="13" hidden="1" x14ac:dyDescent="0.15"/>
    <row r="339" ht="13" hidden="1" x14ac:dyDescent="0.15"/>
    <row r="340" ht="13" hidden="1" x14ac:dyDescent="0.15"/>
    <row r="341" ht="13" hidden="1" x14ac:dyDescent="0.15"/>
    <row r="342" ht="13" hidden="1" x14ac:dyDescent="0.15"/>
    <row r="343" ht="13" hidden="1" x14ac:dyDescent="0.15"/>
    <row r="344" ht="13" hidden="1" x14ac:dyDescent="0.15"/>
    <row r="345" ht="13" hidden="1" x14ac:dyDescent="0.15"/>
    <row r="346" ht="13" hidden="1" x14ac:dyDescent="0.15"/>
    <row r="347" ht="13" hidden="1" x14ac:dyDescent="0.15"/>
    <row r="348" ht="13" hidden="1" x14ac:dyDescent="0.15"/>
    <row r="349" ht="13" hidden="1" x14ac:dyDescent="0.15"/>
    <row r="350" ht="13" hidden="1" x14ac:dyDescent="0.15"/>
    <row r="351" ht="13" hidden="1" x14ac:dyDescent="0.15"/>
    <row r="352" ht="13" hidden="1" x14ac:dyDescent="0.15"/>
    <row r="353" ht="13" hidden="1" x14ac:dyDescent="0.15"/>
    <row r="354" ht="13" hidden="1" x14ac:dyDescent="0.15"/>
    <row r="355" ht="13" hidden="1" x14ac:dyDescent="0.15"/>
    <row r="356" ht="13" hidden="1" x14ac:dyDescent="0.15"/>
    <row r="357" ht="13" hidden="1" x14ac:dyDescent="0.15"/>
    <row r="358" ht="13" hidden="1" x14ac:dyDescent="0.15"/>
    <row r="359" ht="13" hidden="1" x14ac:dyDescent="0.15"/>
    <row r="360" ht="13" hidden="1" x14ac:dyDescent="0.15"/>
    <row r="361" ht="13" hidden="1" x14ac:dyDescent="0.15"/>
    <row r="362" ht="13" hidden="1" x14ac:dyDescent="0.15"/>
    <row r="363" ht="13" hidden="1" x14ac:dyDescent="0.15"/>
    <row r="364" ht="13" hidden="1" x14ac:dyDescent="0.15"/>
    <row r="365" ht="13" hidden="1" x14ac:dyDescent="0.15"/>
    <row r="366" ht="13" hidden="1" x14ac:dyDescent="0.15"/>
    <row r="367" ht="13" hidden="1" x14ac:dyDescent="0.15"/>
    <row r="368" ht="13" hidden="1" x14ac:dyDescent="0.15"/>
    <row r="369" ht="13" hidden="1" x14ac:dyDescent="0.15"/>
    <row r="370" ht="13" hidden="1" x14ac:dyDescent="0.15"/>
    <row r="371" ht="13" hidden="1" x14ac:dyDescent="0.15"/>
    <row r="372" ht="13" hidden="1" x14ac:dyDescent="0.15"/>
    <row r="373" ht="13" hidden="1" x14ac:dyDescent="0.15"/>
    <row r="374" ht="13" hidden="1" x14ac:dyDescent="0.15"/>
    <row r="375" ht="13" hidden="1" x14ac:dyDescent="0.15"/>
    <row r="376" ht="13" hidden="1" x14ac:dyDescent="0.15"/>
    <row r="377" ht="13" hidden="1" x14ac:dyDescent="0.15"/>
    <row r="378" ht="13" hidden="1" x14ac:dyDescent="0.15"/>
    <row r="379" ht="13" hidden="1" x14ac:dyDescent="0.15"/>
    <row r="380" ht="13" hidden="1" x14ac:dyDescent="0.15"/>
    <row r="381" ht="13" hidden="1" x14ac:dyDescent="0.15"/>
    <row r="382" ht="13" hidden="1" x14ac:dyDescent="0.15"/>
    <row r="383" ht="13" hidden="1" x14ac:dyDescent="0.15"/>
    <row r="384" ht="13" hidden="1" x14ac:dyDescent="0.15"/>
    <row r="385" ht="13" hidden="1" x14ac:dyDescent="0.15"/>
    <row r="386" ht="13" hidden="1" x14ac:dyDescent="0.15"/>
    <row r="387" ht="13" hidden="1" x14ac:dyDescent="0.15"/>
    <row r="388" ht="13" hidden="1" x14ac:dyDescent="0.15"/>
    <row r="389" ht="13" hidden="1" x14ac:dyDescent="0.15"/>
    <row r="390" ht="13" hidden="1" x14ac:dyDescent="0.15"/>
    <row r="391" ht="13" hidden="1" x14ac:dyDescent="0.15"/>
    <row r="392" ht="13" hidden="1" x14ac:dyDescent="0.15"/>
    <row r="393" ht="13" hidden="1" x14ac:dyDescent="0.15"/>
    <row r="394" ht="13" hidden="1" x14ac:dyDescent="0.15"/>
    <row r="395" ht="13" hidden="1" x14ac:dyDescent="0.15"/>
    <row r="396" ht="13" hidden="1" x14ac:dyDescent="0.15"/>
    <row r="397" ht="13" hidden="1" x14ac:dyDescent="0.15"/>
    <row r="398" ht="13" hidden="1" x14ac:dyDescent="0.15"/>
    <row r="399" ht="13" hidden="1" x14ac:dyDescent="0.15"/>
    <row r="400" ht="13" hidden="1" x14ac:dyDescent="0.15"/>
    <row r="401" ht="13" hidden="1" x14ac:dyDescent="0.15"/>
    <row r="402" ht="13" hidden="1" x14ac:dyDescent="0.15"/>
    <row r="403" ht="13" hidden="1" x14ac:dyDescent="0.15"/>
    <row r="404" ht="13" hidden="1" x14ac:dyDescent="0.15"/>
    <row r="405" ht="13" hidden="1" x14ac:dyDescent="0.15"/>
    <row r="406" ht="13" hidden="1" x14ac:dyDescent="0.15"/>
    <row r="407" ht="13" hidden="1" x14ac:dyDescent="0.15"/>
    <row r="408" ht="13" hidden="1" x14ac:dyDescent="0.15"/>
    <row r="409" ht="13" hidden="1" x14ac:dyDescent="0.15"/>
    <row r="410" ht="13" hidden="1" x14ac:dyDescent="0.15"/>
    <row r="411" ht="13" hidden="1" x14ac:dyDescent="0.15"/>
    <row r="412" ht="13" hidden="1" x14ac:dyDescent="0.15"/>
    <row r="413" ht="13" hidden="1" x14ac:dyDescent="0.15"/>
    <row r="414" ht="13" hidden="1" x14ac:dyDescent="0.15"/>
    <row r="415" ht="13" hidden="1" x14ac:dyDescent="0.15"/>
    <row r="416" ht="13" hidden="1" x14ac:dyDescent="0.15"/>
    <row r="417" ht="13" hidden="1" x14ac:dyDescent="0.15"/>
    <row r="418" ht="13" hidden="1" x14ac:dyDescent="0.15"/>
    <row r="419" ht="13" hidden="1" x14ac:dyDescent="0.15"/>
    <row r="420" ht="13" hidden="1" x14ac:dyDescent="0.15"/>
    <row r="421" ht="13" hidden="1" x14ac:dyDescent="0.15"/>
    <row r="422" ht="13" hidden="1" x14ac:dyDescent="0.15"/>
    <row r="423" ht="13" hidden="1" x14ac:dyDescent="0.15"/>
    <row r="424" ht="13" hidden="1" x14ac:dyDescent="0.15"/>
    <row r="425" ht="13" hidden="1" x14ac:dyDescent="0.15"/>
    <row r="426" ht="13" hidden="1" x14ac:dyDescent="0.15"/>
    <row r="427" ht="13" hidden="1" x14ac:dyDescent="0.15"/>
    <row r="428" ht="13" hidden="1" x14ac:dyDescent="0.15"/>
    <row r="429" ht="13" hidden="1" x14ac:dyDescent="0.15"/>
    <row r="430" ht="13" hidden="1" x14ac:dyDescent="0.15"/>
    <row r="431" ht="13" hidden="1" x14ac:dyDescent="0.15"/>
    <row r="432" ht="13" hidden="1" x14ac:dyDescent="0.15"/>
    <row r="433" ht="13" hidden="1" x14ac:dyDescent="0.15"/>
    <row r="434" ht="13" hidden="1" x14ac:dyDescent="0.15"/>
    <row r="435" ht="13" hidden="1" x14ac:dyDescent="0.15"/>
    <row r="436" ht="13" hidden="1" x14ac:dyDescent="0.15"/>
    <row r="437" ht="13" hidden="1" x14ac:dyDescent="0.15"/>
    <row r="438" ht="13" hidden="1" x14ac:dyDescent="0.15"/>
    <row r="439" ht="13" hidden="1" x14ac:dyDescent="0.15"/>
    <row r="440" ht="13" hidden="1" x14ac:dyDescent="0.15"/>
    <row r="441" ht="13" hidden="1" x14ac:dyDescent="0.15"/>
    <row r="442" ht="13" hidden="1" x14ac:dyDescent="0.15"/>
    <row r="443" ht="13" hidden="1" x14ac:dyDescent="0.15"/>
    <row r="444" ht="13" hidden="1" x14ac:dyDescent="0.15"/>
    <row r="445" ht="13" hidden="1" x14ac:dyDescent="0.15"/>
    <row r="446" ht="13" hidden="1" x14ac:dyDescent="0.15"/>
    <row r="447" ht="13" hidden="1" x14ac:dyDescent="0.15"/>
    <row r="448" ht="13" hidden="1" x14ac:dyDescent="0.15"/>
    <row r="449" ht="13" hidden="1" x14ac:dyDescent="0.15"/>
    <row r="450" ht="13" hidden="1" x14ac:dyDescent="0.15"/>
    <row r="451" ht="13" hidden="1" x14ac:dyDescent="0.15"/>
    <row r="452" ht="13" hidden="1" x14ac:dyDescent="0.15"/>
    <row r="453" ht="13" hidden="1" x14ac:dyDescent="0.15"/>
    <row r="454" ht="13" hidden="1" x14ac:dyDescent="0.15"/>
    <row r="455" ht="13" hidden="1" x14ac:dyDescent="0.15"/>
    <row r="456" ht="13" hidden="1" x14ac:dyDescent="0.15"/>
    <row r="457" ht="13" hidden="1" x14ac:dyDescent="0.15"/>
    <row r="458" ht="13" hidden="1" x14ac:dyDescent="0.15"/>
    <row r="459" ht="13" hidden="1" x14ac:dyDescent="0.15"/>
    <row r="460" ht="13" hidden="1" x14ac:dyDescent="0.15"/>
    <row r="461" ht="13" hidden="1" x14ac:dyDescent="0.15"/>
    <row r="462" ht="13" hidden="1" x14ac:dyDescent="0.15"/>
    <row r="463" ht="13" hidden="1" x14ac:dyDescent="0.15"/>
    <row r="464" ht="13" hidden="1" x14ac:dyDescent="0.15"/>
    <row r="465" ht="13" hidden="1" x14ac:dyDescent="0.15"/>
    <row r="466" ht="13" hidden="1" x14ac:dyDescent="0.15"/>
    <row r="467" ht="13" hidden="1" x14ac:dyDescent="0.15"/>
    <row r="468" ht="13" hidden="1" x14ac:dyDescent="0.15"/>
    <row r="469" ht="13" hidden="1" x14ac:dyDescent="0.15"/>
    <row r="470" ht="13" hidden="1" x14ac:dyDescent="0.15"/>
    <row r="471" ht="13" hidden="1" x14ac:dyDescent="0.15"/>
    <row r="472" ht="13" hidden="1" x14ac:dyDescent="0.15"/>
    <row r="473" ht="13" hidden="1" x14ac:dyDescent="0.15"/>
    <row r="474" ht="13" hidden="1" x14ac:dyDescent="0.15"/>
    <row r="475" ht="13" hidden="1" x14ac:dyDescent="0.15"/>
    <row r="476" ht="13" hidden="1" x14ac:dyDescent="0.15"/>
    <row r="477" ht="13" hidden="1" x14ac:dyDescent="0.15"/>
    <row r="478" ht="13" hidden="1" x14ac:dyDescent="0.15"/>
    <row r="479" ht="13" hidden="1" x14ac:dyDescent="0.15"/>
    <row r="480" ht="13" hidden="1" x14ac:dyDescent="0.15"/>
    <row r="481" ht="13" hidden="1" x14ac:dyDescent="0.15"/>
    <row r="482" ht="13" hidden="1" x14ac:dyDescent="0.15"/>
    <row r="483" ht="13" hidden="1" x14ac:dyDescent="0.15"/>
    <row r="484" ht="13" hidden="1" x14ac:dyDescent="0.15"/>
    <row r="485" ht="13" hidden="1" x14ac:dyDescent="0.15"/>
    <row r="486" ht="13" hidden="1" x14ac:dyDescent="0.15"/>
    <row r="487" ht="13" hidden="1" x14ac:dyDescent="0.15"/>
    <row r="488" ht="13" hidden="1" x14ac:dyDescent="0.15"/>
    <row r="489" ht="13" hidden="1" x14ac:dyDescent="0.15"/>
    <row r="490" ht="13" hidden="1" x14ac:dyDescent="0.15"/>
    <row r="491" ht="13" hidden="1" x14ac:dyDescent="0.15"/>
    <row r="492" ht="13" hidden="1" x14ac:dyDescent="0.15"/>
    <row r="493" ht="13" hidden="1" x14ac:dyDescent="0.15"/>
    <row r="494" ht="13" hidden="1" x14ac:dyDescent="0.15"/>
    <row r="495" ht="13" hidden="1" x14ac:dyDescent="0.15"/>
    <row r="496" ht="13" hidden="1" x14ac:dyDescent="0.15"/>
    <row r="497" ht="13" hidden="1" x14ac:dyDescent="0.15"/>
    <row r="498" ht="13" hidden="1" x14ac:dyDescent="0.15"/>
    <row r="499" ht="13" hidden="1" x14ac:dyDescent="0.15"/>
    <row r="500" ht="13" hidden="1" x14ac:dyDescent="0.15"/>
    <row r="501" ht="13" hidden="1" x14ac:dyDescent="0.15"/>
    <row r="502" ht="13" hidden="1" x14ac:dyDescent="0.15"/>
    <row r="503" ht="13" hidden="1" x14ac:dyDescent="0.15"/>
    <row r="504" ht="13" hidden="1" x14ac:dyDescent="0.15"/>
    <row r="505" ht="13" hidden="1" x14ac:dyDescent="0.15"/>
    <row r="506" ht="13" hidden="1" x14ac:dyDescent="0.15"/>
    <row r="507" ht="13" hidden="1" x14ac:dyDescent="0.15"/>
    <row r="508" ht="13" hidden="1" x14ac:dyDescent="0.15"/>
    <row r="509" ht="13" hidden="1" x14ac:dyDescent="0.15"/>
    <row r="510" ht="13" hidden="1" x14ac:dyDescent="0.15"/>
    <row r="511" ht="13" hidden="1" x14ac:dyDescent="0.15"/>
    <row r="512" ht="13" hidden="1" x14ac:dyDescent="0.15"/>
    <row r="513" ht="13" hidden="1" x14ac:dyDescent="0.15"/>
    <row r="514" ht="13" hidden="1" x14ac:dyDescent="0.15"/>
    <row r="515" ht="13" hidden="1" x14ac:dyDescent="0.15"/>
    <row r="516" ht="13" hidden="1" x14ac:dyDescent="0.15"/>
    <row r="517" ht="13" hidden="1" x14ac:dyDescent="0.15"/>
    <row r="518" ht="13" hidden="1" x14ac:dyDescent="0.15"/>
    <row r="519" ht="13" hidden="1" x14ac:dyDescent="0.15"/>
    <row r="520" ht="13" hidden="1" x14ac:dyDescent="0.15"/>
    <row r="521" ht="13" hidden="1" x14ac:dyDescent="0.15"/>
    <row r="522" ht="13" hidden="1" x14ac:dyDescent="0.15"/>
    <row r="523" ht="13" hidden="1" x14ac:dyDescent="0.15"/>
    <row r="524" ht="13" hidden="1" x14ac:dyDescent="0.15"/>
    <row r="525" ht="13" hidden="1" x14ac:dyDescent="0.15"/>
    <row r="526" ht="13" hidden="1" x14ac:dyDescent="0.15"/>
    <row r="527" ht="13" hidden="1" x14ac:dyDescent="0.15"/>
    <row r="528" ht="13" hidden="1" x14ac:dyDescent="0.15"/>
    <row r="529" ht="13" hidden="1" x14ac:dyDescent="0.15"/>
    <row r="530" ht="13" hidden="1" x14ac:dyDescent="0.15"/>
    <row r="531" ht="13" hidden="1" x14ac:dyDescent="0.15"/>
    <row r="532" ht="13" hidden="1" x14ac:dyDescent="0.15"/>
    <row r="533" ht="13" hidden="1" x14ac:dyDescent="0.15"/>
    <row r="534" ht="13" hidden="1" x14ac:dyDescent="0.15"/>
    <row r="535" ht="13" hidden="1" x14ac:dyDescent="0.15"/>
    <row r="536" ht="13" hidden="1" x14ac:dyDescent="0.15"/>
    <row r="537" ht="13" hidden="1" x14ac:dyDescent="0.15"/>
    <row r="538" ht="13" hidden="1" x14ac:dyDescent="0.15"/>
    <row r="539" ht="13" hidden="1" x14ac:dyDescent="0.15"/>
    <row r="540" ht="13" hidden="1" x14ac:dyDescent="0.15"/>
    <row r="541" ht="13" hidden="1" x14ac:dyDescent="0.15"/>
    <row r="542" ht="13" hidden="1" x14ac:dyDescent="0.15"/>
    <row r="543" ht="13" hidden="1" x14ac:dyDescent="0.15"/>
    <row r="544" ht="13" hidden="1" x14ac:dyDescent="0.15"/>
    <row r="545" ht="13" hidden="1" x14ac:dyDescent="0.15"/>
    <row r="546" ht="13" hidden="1" x14ac:dyDescent="0.15"/>
    <row r="547" ht="13" hidden="1" x14ac:dyDescent="0.15"/>
    <row r="548" ht="13" hidden="1" x14ac:dyDescent="0.15"/>
    <row r="549" ht="13" hidden="1" x14ac:dyDescent="0.15"/>
    <row r="550" ht="13" hidden="1" x14ac:dyDescent="0.15"/>
    <row r="551" ht="13" hidden="1" x14ac:dyDescent="0.15"/>
    <row r="552" ht="13" hidden="1" x14ac:dyDescent="0.15"/>
    <row r="553" ht="13" hidden="1" x14ac:dyDescent="0.15"/>
    <row r="554" ht="13" hidden="1" x14ac:dyDescent="0.15"/>
    <row r="555" ht="13" hidden="1" x14ac:dyDescent="0.15"/>
    <row r="556" ht="13" hidden="1" x14ac:dyDescent="0.15"/>
    <row r="557" ht="13" hidden="1" x14ac:dyDescent="0.15"/>
    <row r="558" ht="13" hidden="1" x14ac:dyDescent="0.15"/>
    <row r="559" ht="13" hidden="1" x14ac:dyDescent="0.15"/>
    <row r="560" ht="13" hidden="1" x14ac:dyDescent="0.15"/>
    <row r="561" ht="13" hidden="1" x14ac:dyDescent="0.15"/>
    <row r="562" ht="13" hidden="1" x14ac:dyDescent="0.15"/>
    <row r="563" ht="13" hidden="1" x14ac:dyDescent="0.15"/>
    <row r="564" ht="13" hidden="1" x14ac:dyDescent="0.15"/>
    <row r="565" ht="13" hidden="1" x14ac:dyDescent="0.15"/>
    <row r="566" ht="13" hidden="1" x14ac:dyDescent="0.15"/>
    <row r="567" ht="13" hidden="1" x14ac:dyDescent="0.15"/>
    <row r="568" ht="13" hidden="1" x14ac:dyDescent="0.15"/>
    <row r="569" ht="13" hidden="1" x14ac:dyDescent="0.15"/>
    <row r="570" ht="13" hidden="1" x14ac:dyDescent="0.15"/>
    <row r="571" ht="13" hidden="1" x14ac:dyDescent="0.15"/>
    <row r="572" ht="13" hidden="1" x14ac:dyDescent="0.15"/>
    <row r="573" ht="13" hidden="1" x14ac:dyDescent="0.15"/>
    <row r="574" ht="13" hidden="1" x14ac:dyDescent="0.15"/>
    <row r="575" ht="13" hidden="1" x14ac:dyDescent="0.15"/>
    <row r="576" ht="13" hidden="1" x14ac:dyDescent="0.15"/>
    <row r="577" ht="13" hidden="1" x14ac:dyDescent="0.15"/>
    <row r="578" ht="13" hidden="1" x14ac:dyDescent="0.15"/>
    <row r="579" ht="13" hidden="1" x14ac:dyDescent="0.15"/>
    <row r="580" ht="13" hidden="1" x14ac:dyDescent="0.15"/>
    <row r="581" ht="13" hidden="1" x14ac:dyDescent="0.15"/>
    <row r="582" ht="13" hidden="1" x14ac:dyDescent="0.15"/>
    <row r="583" ht="13" hidden="1" x14ac:dyDescent="0.15"/>
    <row r="584" ht="13" hidden="1" x14ac:dyDescent="0.15"/>
    <row r="585" ht="13" hidden="1" x14ac:dyDescent="0.15"/>
    <row r="586" ht="13" hidden="1" x14ac:dyDescent="0.15"/>
    <row r="587" ht="13" hidden="1" x14ac:dyDescent="0.15"/>
    <row r="588" ht="13" hidden="1" x14ac:dyDescent="0.15"/>
    <row r="589" ht="13" hidden="1" x14ac:dyDescent="0.15"/>
    <row r="590" ht="13" hidden="1" x14ac:dyDescent="0.15"/>
    <row r="591" ht="13" hidden="1" x14ac:dyDescent="0.15"/>
    <row r="592" ht="13" hidden="1" x14ac:dyDescent="0.15"/>
    <row r="593" ht="13" hidden="1" x14ac:dyDescent="0.15"/>
    <row r="594" ht="13" hidden="1" x14ac:dyDescent="0.15"/>
    <row r="595" ht="13" hidden="1" x14ac:dyDescent="0.15"/>
    <row r="596" ht="13" hidden="1" x14ac:dyDescent="0.15"/>
    <row r="597" ht="13" hidden="1" x14ac:dyDescent="0.15"/>
    <row r="598" ht="13" hidden="1" x14ac:dyDescent="0.15"/>
    <row r="599" ht="13" hidden="1" x14ac:dyDescent="0.15"/>
    <row r="600" ht="13" hidden="1" x14ac:dyDescent="0.15"/>
    <row r="601" ht="13" hidden="1" x14ac:dyDescent="0.15"/>
    <row r="602" ht="13" hidden="1" x14ac:dyDescent="0.15"/>
    <row r="603" ht="13" hidden="1" x14ac:dyDescent="0.15"/>
    <row r="604" ht="13" hidden="1" x14ac:dyDescent="0.15"/>
    <row r="605" ht="13" hidden="1" x14ac:dyDescent="0.15"/>
    <row r="606" ht="13" hidden="1" x14ac:dyDescent="0.15"/>
    <row r="607" ht="13" hidden="1" x14ac:dyDescent="0.15"/>
    <row r="608" ht="13" hidden="1" x14ac:dyDescent="0.15"/>
    <row r="609" ht="13" hidden="1" x14ac:dyDescent="0.15"/>
    <row r="610" ht="13" hidden="1" x14ac:dyDescent="0.15"/>
    <row r="611" ht="13" hidden="1" x14ac:dyDescent="0.15"/>
    <row r="612" ht="13" hidden="1" x14ac:dyDescent="0.15"/>
    <row r="613" ht="13" hidden="1" x14ac:dyDescent="0.15"/>
    <row r="614" ht="13" hidden="1" x14ac:dyDescent="0.15"/>
    <row r="615" ht="13" hidden="1" x14ac:dyDescent="0.15"/>
    <row r="616" ht="13" hidden="1" x14ac:dyDescent="0.15"/>
    <row r="617" ht="13" hidden="1" x14ac:dyDescent="0.15"/>
    <row r="618" ht="13" hidden="1" x14ac:dyDescent="0.15"/>
    <row r="619" ht="13" hidden="1" x14ac:dyDescent="0.15"/>
    <row r="620" ht="13" hidden="1" x14ac:dyDescent="0.15"/>
    <row r="621" ht="13" hidden="1" x14ac:dyDescent="0.15"/>
    <row r="622" ht="13" hidden="1" x14ac:dyDescent="0.15"/>
    <row r="623" ht="13" hidden="1" x14ac:dyDescent="0.15"/>
    <row r="624" ht="13" hidden="1" x14ac:dyDescent="0.15"/>
    <row r="625" ht="13" hidden="1" x14ac:dyDescent="0.15"/>
    <row r="626" ht="13" hidden="1" x14ac:dyDescent="0.15"/>
    <row r="627" ht="13" hidden="1" x14ac:dyDescent="0.15"/>
    <row r="628" ht="13" hidden="1" x14ac:dyDescent="0.15"/>
    <row r="629" ht="13" hidden="1" x14ac:dyDescent="0.15"/>
    <row r="630" ht="13" hidden="1" x14ac:dyDescent="0.15"/>
    <row r="631" ht="13" hidden="1" x14ac:dyDescent="0.15"/>
    <row r="632" ht="13" hidden="1" x14ac:dyDescent="0.15"/>
    <row r="633" ht="13" hidden="1" x14ac:dyDescent="0.15"/>
    <row r="634" ht="13" hidden="1" x14ac:dyDescent="0.15"/>
    <row r="635" ht="13" hidden="1" x14ac:dyDescent="0.15"/>
    <row r="636" ht="13" hidden="1" x14ac:dyDescent="0.15"/>
    <row r="637" ht="13" hidden="1" x14ac:dyDescent="0.15"/>
    <row r="638" ht="13" hidden="1" x14ac:dyDescent="0.15"/>
    <row r="639" ht="13" hidden="1" x14ac:dyDescent="0.15"/>
    <row r="640" ht="13" hidden="1" x14ac:dyDescent="0.15"/>
    <row r="641" ht="13" hidden="1" x14ac:dyDescent="0.15"/>
    <row r="642" ht="13" hidden="1" x14ac:dyDescent="0.15"/>
    <row r="643" ht="13" hidden="1" x14ac:dyDescent="0.15"/>
    <row r="644" ht="13" hidden="1" x14ac:dyDescent="0.15"/>
    <row r="645" ht="13" hidden="1" x14ac:dyDescent="0.15"/>
    <row r="646" ht="13" hidden="1" x14ac:dyDescent="0.15"/>
    <row r="647" ht="13" hidden="1" x14ac:dyDescent="0.15"/>
    <row r="648" ht="13" hidden="1" x14ac:dyDescent="0.15"/>
    <row r="649" ht="13" hidden="1" x14ac:dyDescent="0.15"/>
    <row r="650" ht="13" hidden="1" x14ac:dyDescent="0.15"/>
    <row r="651" ht="13" hidden="1" x14ac:dyDescent="0.15"/>
    <row r="652" ht="13" hidden="1" x14ac:dyDescent="0.15"/>
    <row r="653" ht="13" hidden="1" x14ac:dyDescent="0.15"/>
    <row r="654" ht="13" hidden="1" x14ac:dyDescent="0.15"/>
    <row r="655" ht="13" hidden="1" x14ac:dyDescent="0.15"/>
    <row r="656" ht="13" hidden="1" x14ac:dyDescent="0.15"/>
    <row r="657" ht="13" hidden="1" x14ac:dyDescent="0.15"/>
    <row r="658" ht="13" hidden="1" x14ac:dyDescent="0.15"/>
    <row r="659" ht="13" hidden="1" x14ac:dyDescent="0.15"/>
    <row r="660" ht="13" hidden="1" x14ac:dyDescent="0.15"/>
    <row r="661" ht="13" hidden="1" x14ac:dyDescent="0.15"/>
    <row r="662" ht="13" hidden="1" x14ac:dyDescent="0.15"/>
    <row r="663" ht="13" hidden="1" x14ac:dyDescent="0.15"/>
    <row r="664" ht="13" hidden="1" x14ac:dyDescent="0.15"/>
    <row r="665" ht="13" hidden="1" x14ac:dyDescent="0.15"/>
    <row r="666" ht="13" hidden="1" x14ac:dyDescent="0.15"/>
    <row r="667" ht="13" hidden="1" x14ac:dyDescent="0.15"/>
    <row r="668" ht="13" hidden="1" x14ac:dyDescent="0.15"/>
    <row r="669" ht="13" hidden="1" x14ac:dyDescent="0.15"/>
    <row r="670" ht="13" hidden="1" x14ac:dyDescent="0.15"/>
    <row r="671" ht="13" hidden="1" x14ac:dyDescent="0.15"/>
    <row r="672" ht="13" hidden="1" x14ac:dyDescent="0.15"/>
    <row r="673" ht="13" hidden="1" x14ac:dyDescent="0.15"/>
    <row r="674" ht="13" hidden="1" x14ac:dyDescent="0.15"/>
    <row r="675" ht="13" hidden="1" x14ac:dyDescent="0.15"/>
    <row r="676" ht="13" hidden="1" x14ac:dyDescent="0.15"/>
    <row r="677" ht="13" hidden="1" x14ac:dyDescent="0.15"/>
    <row r="678" ht="13" hidden="1" x14ac:dyDescent="0.15"/>
    <row r="679" ht="13" hidden="1" x14ac:dyDescent="0.15"/>
    <row r="680" ht="13" hidden="1" x14ac:dyDescent="0.15"/>
    <row r="681" ht="13" hidden="1" x14ac:dyDescent="0.15"/>
    <row r="682" ht="13" hidden="1" x14ac:dyDescent="0.15"/>
    <row r="683" ht="13" hidden="1" x14ac:dyDescent="0.15"/>
    <row r="684" ht="13" hidden="1" x14ac:dyDescent="0.15"/>
    <row r="685" ht="13" hidden="1" x14ac:dyDescent="0.15"/>
    <row r="686" ht="13" hidden="1" x14ac:dyDescent="0.15"/>
    <row r="687" ht="13" hidden="1" x14ac:dyDescent="0.15"/>
    <row r="688" ht="13" hidden="1" x14ac:dyDescent="0.15"/>
    <row r="689" ht="13" hidden="1" x14ac:dyDescent="0.15"/>
    <row r="690" ht="13" hidden="1" x14ac:dyDescent="0.15"/>
    <row r="691" ht="13" hidden="1" x14ac:dyDescent="0.15"/>
    <row r="692" ht="13" hidden="1" x14ac:dyDescent="0.15"/>
    <row r="693" ht="13" hidden="1" x14ac:dyDescent="0.15"/>
    <row r="694" ht="13" hidden="1" x14ac:dyDescent="0.15"/>
    <row r="695" ht="13" hidden="1" x14ac:dyDescent="0.15"/>
    <row r="696" ht="13" hidden="1" x14ac:dyDescent="0.15"/>
    <row r="697" ht="13" hidden="1" x14ac:dyDescent="0.15"/>
    <row r="698" ht="13" hidden="1" x14ac:dyDescent="0.15"/>
    <row r="699" ht="13" hidden="1" x14ac:dyDescent="0.15"/>
    <row r="700" ht="13" hidden="1" x14ac:dyDescent="0.15"/>
    <row r="701" ht="13" hidden="1" x14ac:dyDescent="0.15"/>
    <row r="702" ht="13" hidden="1" x14ac:dyDescent="0.15"/>
    <row r="703" ht="13" hidden="1" x14ac:dyDescent="0.15"/>
    <row r="704" ht="13" hidden="1" x14ac:dyDescent="0.15"/>
    <row r="705" ht="13" hidden="1" x14ac:dyDescent="0.15"/>
    <row r="706" ht="13" hidden="1" x14ac:dyDescent="0.15"/>
    <row r="707" ht="13" hidden="1" x14ac:dyDescent="0.15"/>
    <row r="708" ht="13" hidden="1" x14ac:dyDescent="0.15"/>
    <row r="709" ht="13" hidden="1" x14ac:dyDescent="0.15"/>
    <row r="710" ht="13" hidden="1" x14ac:dyDescent="0.15"/>
    <row r="711" ht="13" hidden="1" x14ac:dyDescent="0.15"/>
    <row r="712" ht="13" hidden="1" x14ac:dyDescent="0.15"/>
    <row r="713" ht="13" hidden="1" x14ac:dyDescent="0.15"/>
    <row r="714" ht="13" hidden="1" x14ac:dyDescent="0.15"/>
    <row r="715" ht="13" hidden="1" x14ac:dyDescent="0.15"/>
    <row r="716" ht="13" hidden="1" x14ac:dyDescent="0.15"/>
    <row r="717" ht="13" hidden="1" x14ac:dyDescent="0.15"/>
    <row r="718" ht="13" hidden="1" x14ac:dyDescent="0.15"/>
    <row r="719" ht="13" hidden="1" x14ac:dyDescent="0.15"/>
    <row r="720" ht="13" hidden="1" x14ac:dyDescent="0.15"/>
    <row r="721" ht="13" hidden="1" x14ac:dyDescent="0.15"/>
    <row r="722" ht="13" hidden="1" x14ac:dyDescent="0.15"/>
    <row r="723" ht="13" hidden="1" x14ac:dyDescent="0.15"/>
    <row r="724" ht="13" hidden="1" x14ac:dyDescent="0.15"/>
    <row r="725" ht="13" hidden="1" x14ac:dyDescent="0.15"/>
    <row r="726" ht="13" hidden="1" x14ac:dyDescent="0.15"/>
    <row r="727" ht="13" hidden="1" x14ac:dyDescent="0.15"/>
    <row r="728" ht="13" hidden="1" x14ac:dyDescent="0.15"/>
    <row r="729" ht="13" hidden="1" x14ac:dyDescent="0.15"/>
    <row r="730" ht="13" hidden="1" x14ac:dyDescent="0.15"/>
    <row r="731" ht="13" hidden="1" x14ac:dyDescent="0.15"/>
    <row r="732" ht="13" hidden="1" x14ac:dyDescent="0.15"/>
    <row r="733" ht="13" hidden="1" x14ac:dyDescent="0.15"/>
    <row r="734" ht="13" hidden="1" x14ac:dyDescent="0.15"/>
    <row r="735" ht="13" hidden="1" x14ac:dyDescent="0.15"/>
    <row r="736" ht="13" hidden="1" x14ac:dyDescent="0.15"/>
    <row r="737" ht="13" hidden="1" x14ac:dyDescent="0.15"/>
    <row r="738" ht="13" hidden="1" x14ac:dyDescent="0.15"/>
    <row r="739" ht="13" hidden="1" x14ac:dyDescent="0.15"/>
    <row r="740" ht="13" hidden="1" x14ac:dyDescent="0.15"/>
    <row r="741" ht="13" hidden="1" x14ac:dyDescent="0.15"/>
    <row r="742" ht="13" hidden="1" x14ac:dyDescent="0.15"/>
    <row r="743" ht="13" hidden="1" x14ac:dyDescent="0.15"/>
    <row r="744" ht="13" hidden="1" x14ac:dyDescent="0.15"/>
    <row r="745" ht="13" hidden="1" x14ac:dyDescent="0.15"/>
    <row r="746" ht="13" hidden="1" x14ac:dyDescent="0.15"/>
    <row r="747" ht="13" hidden="1" x14ac:dyDescent="0.15"/>
    <row r="748" ht="13" hidden="1" x14ac:dyDescent="0.15"/>
    <row r="749" ht="13" hidden="1" x14ac:dyDescent="0.15"/>
    <row r="750" ht="13" hidden="1" x14ac:dyDescent="0.15"/>
    <row r="751" ht="13" hidden="1" x14ac:dyDescent="0.15"/>
    <row r="752" ht="13" hidden="1" x14ac:dyDescent="0.15"/>
    <row r="753" ht="13" hidden="1" x14ac:dyDescent="0.15"/>
    <row r="754" ht="13" hidden="1" x14ac:dyDescent="0.15"/>
    <row r="755" ht="13" hidden="1" x14ac:dyDescent="0.15"/>
    <row r="756" ht="13" hidden="1" x14ac:dyDescent="0.15"/>
    <row r="757" ht="13" hidden="1" x14ac:dyDescent="0.15"/>
    <row r="758" ht="13" hidden="1" x14ac:dyDescent="0.15"/>
    <row r="759" ht="13" hidden="1" x14ac:dyDescent="0.15"/>
    <row r="760" ht="13" hidden="1" x14ac:dyDescent="0.15"/>
    <row r="761" ht="13" hidden="1" x14ac:dyDescent="0.15"/>
    <row r="762" ht="13" hidden="1" x14ac:dyDescent="0.15"/>
    <row r="763" ht="13" hidden="1" x14ac:dyDescent="0.15"/>
    <row r="764" ht="13" hidden="1" x14ac:dyDescent="0.15"/>
    <row r="765" ht="13" hidden="1" x14ac:dyDescent="0.15"/>
    <row r="766" ht="13" hidden="1" x14ac:dyDescent="0.15"/>
    <row r="767" ht="13" hidden="1" x14ac:dyDescent="0.15"/>
    <row r="768" ht="13" hidden="1" x14ac:dyDescent="0.15"/>
    <row r="769" ht="13" hidden="1" x14ac:dyDescent="0.15"/>
    <row r="770" ht="13" hidden="1" x14ac:dyDescent="0.15"/>
    <row r="771" ht="13" hidden="1" x14ac:dyDescent="0.15"/>
    <row r="772" ht="13" hidden="1" x14ac:dyDescent="0.15"/>
    <row r="773" ht="13" hidden="1" x14ac:dyDescent="0.15"/>
    <row r="774" ht="13" hidden="1" x14ac:dyDescent="0.15"/>
    <row r="775" ht="13" hidden="1" x14ac:dyDescent="0.15"/>
    <row r="776" ht="13" hidden="1" x14ac:dyDescent="0.15"/>
    <row r="777" ht="13" hidden="1" x14ac:dyDescent="0.15"/>
    <row r="778" ht="13" hidden="1" x14ac:dyDescent="0.15"/>
    <row r="779" ht="13" hidden="1" x14ac:dyDescent="0.15"/>
    <row r="780" ht="13" hidden="1" x14ac:dyDescent="0.15"/>
    <row r="781" ht="13" hidden="1" x14ac:dyDescent="0.15"/>
    <row r="782" ht="13" hidden="1" x14ac:dyDescent="0.15"/>
    <row r="783" ht="13" hidden="1" x14ac:dyDescent="0.15"/>
    <row r="784" ht="13" hidden="1" x14ac:dyDescent="0.15"/>
    <row r="785" ht="13" hidden="1" x14ac:dyDescent="0.15"/>
    <row r="786" ht="13" hidden="1" x14ac:dyDescent="0.15"/>
    <row r="787" ht="13" hidden="1" x14ac:dyDescent="0.15"/>
    <row r="788" ht="13" hidden="1" x14ac:dyDescent="0.15"/>
    <row r="789" ht="13" hidden="1" x14ac:dyDescent="0.15"/>
    <row r="790" ht="13" hidden="1" x14ac:dyDescent="0.15"/>
    <row r="791" ht="13" hidden="1" x14ac:dyDescent="0.15"/>
    <row r="792" ht="13" hidden="1" x14ac:dyDescent="0.15"/>
    <row r="793" ht="13" hidden="1" x14ac:dyDescent="0.15"/>
    <row r="794" ht="13" hidden="1" x14ac:dyDescent="0.15"/>
    <row r="795" ht="13" hidden="1" x14ac:dyDescent="0.15"/>
    <row r="796" ht="13" hidden="1" x14ac:dyDescent="0.15"/>
    <row r="797" ht="13" hidden="1" x14ac:dyDescent="0.15"/>
    <row r="798" ht="13" hidden="1" x14ac:dyDescent="0.15"/>
    <row r="799" ht="13" hidden="1" x14ac:dyDescent="0.15"/>
    <row r="800" ht="13" hidden="1" x14ac:dyDescent="0.15"/>
    <row r="801" ht="13" hidden="1" x14ac:dyDescent="0.15"/>
    <row r="802" ht="13" hidden="1" x14ac:dyDescent="0.15"/>
    <row r="803" ht="13" hidden="1" x14ac:dyDescent="0.15"/>
    <row r="804" ht="13" hidden="1" x14ac:dyDescent="0.15"/>
    <row r="805" ht="13" hidden="1" x14ac:dyDescent="0.15"/>
    <row r="806" ht="13" hidden="1" x14ac:dyDescent="0.15"/>
    <row r="807" ht="13" hidden="1" x14ac:dyDescent="0.15"/>
    <row r="808" ht="13" hidden="1" x14ac:dyDescent="0.15"/>
    <row r="809" ht="13" hidden="1" x14ac:dyDescent="0.15"/>
    <row r="810" ht="13" hidden="1" x14ac:dyDescent="0.15"/>
    <row r="811" ht="13" hidden="1" x14ac:dyDescent="0.15"/>
    <row r="812" ht="13" hidden="1" x14ac:dyDescent="0.15"/>
    <row r="813" ht="13" hidden="1" x14ac:dyDescent="0.15"/>
    <row r="814" ht="13" hidden="1" x14ac:dyDescent="0.15"/>
    <row r="815" ht="13" hidden="1" x14ac:dyDescent="0.15"/>
    <row r="816" ht="13" hidden="1" x14ac:dyDescent="0.15"/>
    <row r="817" ht="13" hidden="1" x14ac:dyDescent="0.15"/>
    <row r="818" ht="13" hidden="1" x14ac:dyDescent="0.15"/>
    <row r="819" ht="13" hidden="1" x14ac:dyDescent="0.15"/>
    <row r="820" ht="13" hidden="1" x14ac:dyDescent="0.15"/>
    <row r="821" ht="13" hidden="1" x14ac:dyDescent="0.15"/>
    <row r="822" ht="13" hidden="1" x14ac:dyDescent="0.15"/>
    <row r="823" ht="13" hidden="1" x14ac:dyDescent="0.15"/>
    <row r="824" ht="13" hidden="1" x14ac:dyDescent="0.15"/>
    <row r="825" ht="13" hidden="1" x14ac:dyDescent="0.15"/>
    <row r="826" ht="13" hidden="1" x14ac:dyDescent="0.15"/>
    <row r="827" ht="13" hidden="1" x14ac:dyDescent="0.15"/>
    <row r="828" ht="13" hidden="1" x14ac:dyDescent="0.15"/>
    <row r="829" ht="13" hidden="1" x14ac:dyDescent="0.15"/>
    <row r="830" ht="13" hidden="1" x14ac:dyDescent="0.15"/>
    <row r="831" ht="13" hidden="1" x14ac:dyDescent="0.15"/>
    <row r="832" ht="13" hidden="1" x14ac:dyDescent="0.15"/>
    <row r="833" ht="13" hidden="1" x14ac:dyDescent="0.15"/>
    <row r="834" ht="13" hidden="1" x14ac:dyDescent="0.15"/>
    <row r="835" ht="13" hidden="1" x14ac:dyDescent="0.15"/>
    <row r="836" ht="13" hidden="1" x14ac:dyDescent="0.15"/>
    <row r="837" ht="13" hidden="1" x14ac:dyDescent="0.15"/>
    <row r="838" ht="13" hidden="1" x14ac:dyDescent="0.15"/>
    <row r="839" ht="13" hidden="1" x14ac:dyDescent="0.15"/>
    <row r="840" ht="13" hidden="1" x14ac:dyDescent="0.15"/>
    <row r="841" ht="13" hidden="1" x14ac:dyDescent="0.15"/>
    <row r="842" ht="13" hidden="1" x14ac:dyDescent="0.15"/>
    <row r="843" ht="13" hidden="1" x14ac:dyDescent="0.15"/>
    <row r="844" ht="13" hidden="1" x14ac:dyDescent="0.15"/>
    <row r="845" ht="13" hidden="1" x14ac:dyDescent="0.15"/>
    <row r="846" ht="13" hidden="1" x14ac:dyDescent="0.15"/>
    <row r="847" ht="13" hidden="1" x14ac:dyDescent="0.15"/>
    <row r="848" ht="13" hidden="1" x14ac:dyDescent="0.15"/>
    <row r="849" ht="13" hidden="1" x14ac:dyDescent="0.15"/>
    <row r="850" ht="13" hidden="1" x14ac:dyDescent="0.15"/>
    <row r="851" ht="13" hidden="1" x14ac:dyDescent="0.15"/>
    <row r="852" ht="13" hidden="1" x14ac:dyDescent="0.15"/>
    <row r="853" ht="13" hidden="1" x14ac:dyDescent="0.15"/>
    <row r="854" ht="13" hidden="1" x14ac:dyDescent="0.15"/>
    <row r="855" ht="13" hidden="1" x14ac:dyDescent="0.15"/>
    <row r="856" ht="13" hidden="1" x14ac:dyDescent="0.15"/>
    <row r="857" ht="13" hidden="1" x14ac:dyDescent="0.15"/>
    <row r="858" ht="13" hidden="1" x14ac:dyDescent="0.15"/>
    <row r="859" ht="13" hidden="1" x14ac:dyDescent="0.15"/>
    <row r="860" ht="13" hidden="1" x14ac:dyDescent="0.15"/>
    <row r="861" ht="13" hidden="1" x14ac:dyDescent="0.15"/>
    <row r="862" ht="13" hidden="1" x14ac:dyDescent="0.15"/>
    <row r="863" ht="13" hidden="1" x14ac:dyDescent="0.15"/>
    <row r="864" ht="13" hidden="1" x14ac:dyDescent="0.15"/>
    <row r="865" ht="13" hidden="1" x14ac:dyDescent="0.15"/>
    <row r="866" ht="13" hidden="1" x14ac:dyDescent="0.15"/>
    <row r="867" ht="13" hidden="1" x14ac:dyDescent="0.15"/>
    <row r="868" ht="13" hidden="1" x14ac:dyDescent="0.15"/>
    <row r="869" ht="13" hidden="1" x14ac:dyDescent="0.15"/>
    <row r="870" ht="13" hidden="1" x14ac:dyDescent="0.15"/>
    <row r="871" ht="13" hidden="1" x14ac:dyDescent="0.15"/>
    <row r="872" ht="13" hidden="1" x14ac:dyDescent="0.15"/>
    <row r="873" ht="13" hidden="1" x14ac:dyDescent="0.15"/>
    <row r="874" ht="13" hidden="1" x14ac:dyDescent="0.15"/>
    <row r="875" ht="13" hidden="1" x14ac:dyDescent="0.15"/>
    <row r="876" ht="13" hidden="1" x14ac:dyDescent="0.15"/>
    <row r="877" ht="13" hidden="1" x14ac:dyDescent="0.15"/>
    <row r="878" ht="13" hidden="1" x14ac:dyDescent="0.15"/>
    <row r="879" ht="13" hidden="1" x14ac:dyDescent="0.15"/>
    <row r="880" ht="13" hidden="1" x14ac:dyDescent="0.15"/>
    <row r="881" ht="13" hidden="1" x14ac:dyDescent="0.15"/>
    <row r="882" ht="13" hidden="1" x14ac:dyDescent="0.15"/>
    <row r="883" ht="13" hidden="1" x14ac:dyDescent="0.15"/>
    <row r="884" ht="13" hidden="1" x14ac:dyDescent="0.15"/>
    <row r="885" ht="13" hidden="1" x14ac:dyDescent="0.15"/>
    <row r="886" ht="13" hidden="1" x14ac:dyDescent="0.15"/>
    <row r="887" ht="13" hidden="1" x14ac:dyDescent="0.15"/>
    <row r="888" ht="13" hidden="1" x14ac:dyDescent="0.15"/>
    <row r="889" ht="13" hidden="1" x14ac:dyDescent="0.15"/>
    <row r="890" ht="13" hidden="1" x14ac:dyDescent="0.15"/>
    <row r="891" ht="13" hidden="1" x14ac:dyDescent="0.15"/>
    <row r="892" ht="13" hidden="1" x14ac:dyDescent="0.15"/>
    <row r="893" ht="13" hidden="1" x14ac:dyDescent="0.15"/>
    <row r="894" ht="13" hidden="1" x14ac:dyDescent="0.15"/>
    <row r="895" ht="13" hidden="1" x14ac:dyDescent="0.15"/>
    <row r="896" ht="13" hidden="1" x14ac:dyDescent="0.15"/>
    <row r="897" ht="13" hidden="1" x14ac:dyDescent="0.15"/>
    <row r="898" ht="13" hidden="1" x14ac:dyDescent="0.15"/>
    <row r="899" ht="13" hidden="1" x14ac:dyDescent="0.15"/>
    <row r="900" ht="13" hidden="1" x14ac:dyDescent="0.15"/>
    <row r="901" ht="13" hidden="1" x14ac:dyDescent="0.15"/>
    <row r="902" ht="13" hidden="1" x14ac:dyDescent="0.15"/>
    <row r="903" ht="13" hidden="1" x14ac:dyDescent="0.15"/>
    <row r="904" ht="13" hidden="1" x14ac:dyDescent="0.15"/>
    <row r="905" ht="13" hidden="1" x14ac:dyDescent="0.15"/>
    <row r="906" ht="13" hidden="1" x14ac:dyDescent="0.15"/>
    <row r="907" ht="13" hidden="1" x14ac:dyDescent="0.15"/>
    <row r="908" ht="13" hidden="1" x14ac:dyDescent="0.15"/>
    <row r="909" ht="13" hidden="1" x14ac:dyDescent="0.15"/>
    <row r="910" ht="13" hidden="1" x14ac:dyDescent="0.15"/>
    <row r="911" ht="13" hidden="1" x14ac:dyDescent="0.15"/>
    <row r="912" ht="13" hidden="1" x14ac:dyDescent="0.15"/>
    <row r="913" ht="13" hidden="1" x14ac:dyDescent="0.15"/>
    <row r="914" ht="13" hidden="1" x14ac:dyDescent="0.15"/>
    <row r="915" ht="13" hidden="1" x14ac:dyDescent="0.15"/>
    <row r="916" ht="13" hidden="1" x14ac:dyDescent="0.15"/>
    <row r="917" ht="13" hidden="1" x14ac:dyDescent="0.15"/>
    <row r="918" ht="13" hidden="1" x14ac:dyDescent="0.15"/>
    <row r="919" ht="13" hidden="1" x14ac:dyDescent="0.15"/>
    <row r="920" ht="13" hidden="1" x14ac:dyDescent="0.15"/>
    <row r="921" ht="13" hidden="1" x14ac:dyDescent="0.15"/>
    <row r="922" ht="13" hidden="1" x14ac:dyDescent="0.15"/>
    <row r="923" ht="13" hidden="1" x14ac:dyDescent="0.15"/>
    <row r="924" ht="13" hidden="1" x14ac:dyDescent="0.15"/>
    <row r="925" ht="13" hidden="1" x14ac:dyDescent="0.15"/>
    <row r="926" ht="13" hidden="1" x14ac:dyDescent="0.15"/>
    <row r="927" ht="13" hidden="1" x14ac:dyDescent="0.15"/>
    <row r="928" ht="13" hidden="1" x14ac:dyDescent="0.15"/>
    <row r="929" ht="13" hidden="1" x14ac:dyDescent="0.15"/>
    <row r="930" ht="13" hidden="1" x14ac:dyDescent="0.15"/>
    <row r="931" ht="13" hidden="1" x14ac:dyDescent="0.15"/>
    <row r="932" ht="13" hidden="1" x14ac:dyDescent="0.15"/>
    <row r="933" ht="13" hidden="1" x14ac:dyDescent="0.15"/>
    <row r="934" ht="13" hidden="1" x14ac:dyDescent="0.15"/>
    <row r="935" ht="13" hidden="1" x14ac:dyDescent="0.15"/>
    <row r="936" ht="13" hidden="1" x14ac:dyDescent="0.15"/>
    <row r="937" ht="13" hidden="1" x14ac:dyDescent="0.15"/>
    <row r="938" ht="13" hidden="1" x14ac:dyDescent="0.15"/>
    <row r="939" ht="13" hidden="1" x14ac:dyDescent="0.15"/>
    <row r="940" ht="13" hidden="1" x14ac:dyDescent="0.15"/>
    <row r="941" ht="13" hidden="1" x14ac:dyDescent="0.15"/>
    <row r="942" ht="13" hidden="1" x14ac:dyDescent="0.15"/>
    <row r="943" ht="13" hidden="1" x14ac:dyDescent="0.15"/>
    <row r="944" ht="13" hidden="1" x14ac:dyDescent="0.15"/>
    <row r="945" ht="13" hidden="1" x14ac:dyDescent="0.15"/>
    <row r="946" ht="13" hidden="1" x14ac:dyDescent="0.15"/>
    <row r="947" ht="13" hidden="1" x14ac:dyDescent="0.15"/>
    <row r="948" ht="13" hidden="1" x14ac:dyDescent="0.15"/>
    <row r="949" ht="13" hidden="1" x14ac:dyDescent="0.15"/>
    <row r="950" ht="13" hidden="1" x14ac:dyDescent="0.15"/>
    <row r="951" ht="13" hidden="1" x14ac:dyDescent="0.15"/>
    <row r="952" ht="13" hidden="1" x14ac:dyDescent="0.15"/>
    <row r="953" ht="13" hidden="1" x14ac:dyDescent="0.15"/>
    <row r="954" ht="13" hidden="1" x14ac:dyDescent="0.15"/>
    <row r="955" ht="13" hidden="1" x14ac:dyDescent="0.15"/>
    <row r="956" ht="13" hidden="1" x14ac:dyDescent="0.15"/>
    <row r="957" ht="13" hidden="1" x14ac:dyDescent="0.15"/>
    <row r="958" ht="13" hidden="1" x14ac:dyDescent="0.15"/>
    <row r="959" ht="13" hidden="1" x14ac:dyDescent="0.15"/>
    <row r="960" ht="13" hidden="1" x14ac:dyDescent="0.15"/>
    <row r="961" ht="13" hidden="1" x14ac:dyDescent="0.15"/>
    <row r="962" ht="13" hidden="1" x14ac:dyDescent="0.15"/>
    <row r="963" ht="13" hidden="1" x14ac:dyDescent="0.15"/>
    <row r="964" ht="13" hidden="1" x14ac:dyDescent="0.15"/>
    <row r="965" ht="13" hidden="1" x14ac:dyDescent="0.15"/>
    <row r="966" ht="13" hidden="1" x14ac:dyDescent="0.15"/>
    <row r="967" ht="13" hidden="1" x14ac:dyDescent="0.15"/>
    <row r="968" ht="13" hidden="1" x14ac:dyDescent="0.15"/>
    <row r="969" ht="13" hidden="1" x14ac:dyDescent="0.15"/>
    <row r="970" ht="13" hidden="1" x14ac:dyDescent="0.15"/>
    <row r="971" ht="13" hidden="1" x14ac:dyDescent="0.15"/>
    <row r="972" ht="13" hidden="1" x14ac:dyDescent="0.15"/>
    <row r="973" ht="13" hidden="1" x14ac:dyDescent="0.15"/>
    <row r="974" ht="13" hidden="1" x14ac:dyDescent="0.15"/>
    <row r="975" ht="13" hidden="1" x14ac:dyDescent="0.15"/>
    <row r="976" ht="13" hidden="1" x14ac:dyDescent="0.15"/>
    <row r="977" ht="13" hidden="1" x14ac:dyDescent="0.15"/>
    <row r="978" ht="13" hidden="1" x14ac:dyDescent="0.15"/>
    <row r="979" ht="13" hidden="1" x14ac:dyDescent="0.15"/>
    <row r="980" ht="13" hidden="1" x14ac:dyDescent="0.15"/>
    <row r="981" ht="13" hidden="1" x14ac:dyDescent="0.15"/>
    <row r="982" ht="13" hidden="1" x14ac:dyDescent="0.15"/>
    <row r="983" ht="13" hidden="1" x14ac:dyDescent="0.15"/>
    <row r="984" ht="13" hidden="1" x14ac:dyDescent="0.15"/>
    <row r="985" ht="13" hidden="1" x14ac:dyDescent="0.15"/>
    <row r="986" ht="13" hidden="1" x14ac:dyDescent="0.15"/>
    <row r="987" ht="13" hidden="1" x14ac:dyDescent="0.15"/>
    <row r="988" ht="13" hidden="1" x14ac:dyDescent="0.15"/>
    <row r="989" ht="13" hidden="1" x14ac:dyDescent="0.15"/>
    <row r="990" ht="13" hidden="1" x14ac:dyDescent="0.15"/>
    <row r="991" ht="13" hidden="1" x14ac:dyDescent="0.15"/>
    <row r="992" ht="13" hidden="1" x14ac:dyDescent="0.15"/>
    <row r="993" ht="13" hidden="1" x14ac:dyDescent="0.15"/>
    <row r="994" ht="13" hidden="1" x14ac:dyDescent="0.15"/>
    <row r="995" ht="13" hidden="1" x14ac:dyDescent="0.15"/>
    <row r="996" ht="13" hidden="1" x14ac:dyDescent="0.15"/>
    <row r="997" ht="13" hidden="1" x14ac:dyDescent="0.15"/>
    <row r="998" ht="13" hidden="1" x14ac:dyDescent="0.15"/>
    <row r="999" ht="13" hidden="1" x14ac:dyDescent="0.15"/>
    <row r="1000" ht="13" hidden="1" x14ac:dyDescent="0.15"/>
    <row r="1001" ht="13" hidden="1" x14ac:dyDescent="0.15"/>
  </sheetData>
  <hyperlinks>
    <hyperlink ref="M4" r:id="rId1" display="https://www.tadviser.ru/index.php/%D0%9F%D1%80%D0%BE%D0%B4%D1%83%D0%BA%D1%82:%D0%9C%D0%A2%D0%A1_RED_ASOC_(Application_Security_Orchestration_and_Correlation)" xr:uid="{00000000-0004-0000-0000-000004000000}"/>
  </hyperlinks>
  <pageMargins left="0.70078740157480324" right="0.70078740157480324" top="0.75196850393700787" bottom="0.75196850393700787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42"/>
  <sheetViews>
    <sheetView tabSelected="1" workbookViewId="0">
      <pane ySplit="1" topLeftCell="A2" activePane="bottomLeft" state="frozen"/>
      <selection activeCell="I3" sqref="I3"/>
      <selection pane="bottomLeft" activeCell="C39" sqref="C39:J39"/>
    </sheetView>
  </sheetViews>
  <sheetFormatPr baseColWidth="10" defaultColWidth="12.6640625" defaultRowHeight="15.75" customHeight="1" x14ac:dyDescent="0.15"/>
  <cols>
    <col min="1" max="4" width="1.83203125" customWidth="1"/>
    <col min="5" max="5" width="34.33203125" customWidth="1"/>
    <col min="7" max="7" width="1.83203125" customWidth="1"/>
    <col min="14" max="14" width="2.1640625" customWidth="1"/>
    <col min="15" max="15" width="18.1640625" customWidth="1"/>
    <col min="16" max="16" width="2.1640625" customWidth="1"/>
    <col min="20" max="34" width="12.6640625" hidden="1"/>
  </cols>
  <sheetData>
    <row r="1" spans="1:39" ht="15.75" customHeight="1" x14ac:dyDescent="0.15">
      <c r="A1" s="2" t="s">
        <v>11</v>
      </c>
      <c r="B1" s="2"/>
      <c r="C1" s="2"/>
      <c r="D1" s="2"/>
      <c r="E1" s="2"/>
      <c r="F1" s="2" t="s">
        <v>2</v>
      </c>
      <c r="G1" s="2"/>
      <c r="H1" s="2">
        <v>2022</v>
      </c>
      <c r="I1" s="2">
        <f t="shared" ref="I1:M1" si="0">H1+1</f>
        <v>2023</v>
      </c>
      <c r="J1" s="2">
        <f t="shared" si="0"/>
        <v>2024</v>
      </c>
      <c r="K1" s="2">
        <f t="shared" si="0"/>
        <v>2025</v>
      </c>
      <c r="L1" s="2">
        <f t="shared" si="0"/>
        <v>2026</v>
      </c>
      <c r="M1" s="2">
        <f t="shared" si="0"/>
        <v>2027</v>
      </c>
      <c r="N1" s="2"/>
      <c r="O1" s="2" t="s">
        <v>12</v>
      </c>
      <c r="P1" s="2"/>
      <c r="Q1" s="2" t="s">
        <v>4</v>
      </c>
      <c r="R1" s="2" t="s">
        <v>5</v>
      </c>
    </row>
    <row r="2" spans="1:39" ht="15.75" customHeight="1" x14ac:dyDescent="0.15">
      <c r="A2" s="16" t="s">
        <v>13</v>
      </c>
      <c r="B2" s="16"/>
      <c r="C2" s="16"/>
      <c r="D2" s="16"/>
      <c r="E2" s="16"/>
      <c r="F2" s="16"/>
      <c r="G2" s="16"/>
      <c r="H2" s="16"/>
      <c r="I2" s="17"/>
      <c r="J2" s="17"/>
      <c r="K2" s="17"/>
      <c r="L2" s="17"/>
      <c r="M2" s="17"/>
      <c r="N2" s="16"/>
      <c r="O2" s="16"/>
      <c r="P2" s="16"/>
      <c r="Q2" s="16"/>
      <c r="R2" s="16"/>
    </row>
    <row r="3" spans="1:39" ht="15.75" customHeight="1" x14ac:dyDescent="0.15">
      <c r="A3" s="8" t="s">
        <v>14</v>
      </c>
      <c r="F3" s="8" t="s">
        <v>15</v>
      </c>
      <c r="I3" s="21">
        <f>'Объем рынка'!D4*1000</f>
        <v>4200</v>
      </c>
      <c r="J3" s="21">
        <f>'Объем рынка'!E4*1000</f>
        <v>5040</v>
      </c>
      <c r="K3" s="21">
        <f>'Объем рынка'!F4*1000</f>
        <v>6048</v>
      </c>
      <c r="L3" s="21">
        <f>'Объем рынка'!G4*1000</f>
        <v>7257.6</v>
      </c>
      <c r="M3" s="21">
        <f>'Объем рынка'!H4*1000</f>
        <v>8709.1200000000008</v>
      </c>
      <c r="N3" s="18"/>
      <c r="O3" s="12">
        <f>'Объем рынка'!J4</f>
        <v>0.2</v>
      </c>
      <c r="P3" s="18"/>
      <c r="Q3" s="18"/>
      <c r="R3" s="18"/>
    </row>
    <row r="5" spans="1:39" ht="15.75" customHeight="1" x14ac:dyDescent="0.15">
      <c r="A5" s="18" t="s">
        <v>17</v>
      </c>
      <c r="AJ5" s="23" t="s">
        <v>49</v>
      </c>
      <c r="AK5">
        <v>1</v>
      </c>
    </row>
    <row r="6" spans="1:39" ht="15.75" customHeight="1" x14ac:dyDescent="0.15">
      <c r="B6" s="8" t="s">
        <v>53</v>
      </c>
      <c r="F6" s="8" t="s">
        <v>15</v>
      </c>
      <c r="I6" s="8">
        <v>615</v>
      </c>
      <c r="J6" s="25">
        <f>I6*(1+$O6)</f>
        <v>799.5</v>
      </c>
      <c r="K6" s="25">
        <f t="shared" ref="K6:M6" si="1">J6*(1+$O6)</f>
        <v>1039.3500000000001</v>
      </c>
      <c r="L6" s="25">
        <f t="shared" si="1"/>
        <v>1351.1550000000002</v>
      </c>
      <c r="M6" s="25">
        <f t="shared" si="1"/>
        <v>1756.5015000000003</v>
      </c>
      <c r="O6" s="24">
        <v>0.3</v>
      </c>
      <c r="AJ6" s="23" t="s">
        <v>50</v>
      </c>
      <c r="AK6">
        <v>1</v>
      </c>
    </row>
    <row r="7" spans="1:39" ht="15.75" customHeight="1" x14ac:dyDescent="0.15">
      <c r="B7" s="8"/>
      <c r="C7" s="8" t="s">
        <v>18</v>
      </c>
      <c r="F7" s="8" t="s">
        <v>19</v>
      </c>
      <c r="I7" s="22">
        <f>I6/I3</f>
        <v>0.14642857142857144</v>
      </c>
      <c r="J7" s="22">
        <f t="shared" ref="J7:M7" si="2">J6/J3</f>
        <v>0.15863095238095237</v>
      </c>
      <c r="K7" s="22">
        <f t="shared" si="2"/>
        <v>0.17185019841269844</v>
      </c>
      <c r="L7" s="22">
        <f t="shared" si="2"/>
        <v>0.1861710482804233</v>
      </c>
      <c r="M7" s="22">
        <f t="shared" si="2"/>
        <v>0.20168530230379189</v>
      </c>
      <c r="AJ7" s="23" t="s">
        <v>48</v>
      </c>
      <c r="AK7">
        <v>1</v>
      </c>
    </row>
    <row r="8" spans="1:39" ht="15.75" customHeight="1" x14ac:dyDescent="0.15">
      <c r="B8" s="8" t="s">
        <v>21</v>
      </c>
      <c r="F8" s="8" t="s">
        <v>15</v>
      </c>
      <c r="I8" s="8" t="s">
        <v>16</v>
      </c>
      <c r="AJ8" s="23" t="s">
        <v>52</v>
      </c>
      <c r="AK8">
        <v>1</v>
      </c>
    </row>
    <row r="9" spans="1:39" ht="15.75" customHeight="1" x14ac:dyDescent="0.15">
      <c r="B9" s="8"/>
      <c r="C9" s="8" t="s">
        <v>18</v>
      </c>
      <c r="F9" s="8" t="s">
        <v>19</v>
      </c>
      <c r="I9" s="8" t="s">
        <v>20</v>
      </c>
      <c r="AJ9" s="23" t="s">
        <v>46</v>
      </c>
      <c r="AK9">
        <v>1</v>
      </c>
    </row>
    <row r="10" spans="1:39" ht="15.75" customHeight="1" x14ac:dyDescent="0.15">
      <c r="B10" s="8" t="s">
        <v>22</v>
      </c>
      <c r="F10" s="8" t="s">
        <v>15</v>
      </c>
      <c r="I10" s="8" t="s">
        <v>16</v>
      </c>
      <c r="AJ10" s="23" t="s">
        <v>47</v>
      </c>
      <c r="AK10">
        <v>3</v>
      </c>
    </row>
    <row r="11" spans="1:39" ht="15.75" customHeight="1" x14ac:dyDescent="0.15">
      <c r="B11" s="8"/>
      <c r="C11" s="8" t="s">
        <v>18</v>
      </c>
      <c r="F11" s="8" t="s">
        <v>19</v>
      </c>
      <c r="I11" s="8" t="s">
        <v>20</v>
      </c>
      <c r="AJ11" s="23" t="s">
        <v>51</v>
      </c>
      <c r="AK11">
        <v>1</v>
      </c>
    </row>
    <row r="12" spans="1:39" ht="15.75" customHeight="1" x14ac:dyDescent="0.15">
      <c r="B12" s="8" t="s">
        <v>23</v>
      </c>
      <c r="AK12">
        <f>SUM(AK5:AK11)</f>
        <v>9</v>
      </c>
      <c r="AL12">
        <v>550</v>
      </c>
      <c r="AM12">
        <f>AL12*12*AK12</f>
        <v>59400</v>
      </c>
    </row>
    <row r="14" spans="1:39" ht="15.75" customHeight="1" x14ac:dyDescent="0.15">
      <c r="A14" s="16" t="s">
        <v>24</v>
      </c>
      <c r="B14" s="16"/>
      <c r="C14" s="16"/>
      <c r="D14" s="16"/>
      <c r="E14" s="16"/>
      <c r="F14" s="16"/>
      <c r="G14" s="16"/>
      <c r="H14" s="16"/>
      <c r="I14" s="17"/>
      <c r="J14" s="17"/>
      <c r="K14" s="17"/>
      <c r="L14" s="17"/>
      <c r="M14" s="17"/>
      <c r="N14" s="16"/>
      <c r="O14" s="16"/>
      <c r="P14" s="16"/>
      <c r="Q14" s="16"/>
      <c r="R14" s="16"/>
    </row>
    <row r="15" spans="1:39" ht="15.75" customHeight="1" x14ac:dyDescent="0.15">
      <c r="A15" s="8" t="s">
        <v>25</v>
      </c>
      <c r="F15" s="8" t="s">
        <v>15</v>
      </c>
      <c r="J15">
        <v>60</v>
      </c>
      <c r="K15" s="11">
        <f>J15*(1+$O15)</f>
        <v>84</v>
      </c>
      <c r="L15" s="11">
        <f t="shared" ref="L15:M15" si="3">K15*(1+$O15)</f>
        <v>117.6</v>
      </c>
      <c r="M15" s="11">
        <f t="shared" si="3"/>
        <v>164.64</v>
      </c>
      <c r="O15" s="12">
        <v>0.4</v>
      </c>
    </row>
    <row r="16" spans="1:39" ht="15.75" customHeight="1" x14ac:dyDescent="0.15">
      <c r="B16" s="8" t="s">
        <v>26</v>
      </c>
      <c r="F16" s="8" t="s">
        <v>19</v>
      </c>
      <c r="J16" s="22">
        <f>J15/J3</f>
        <v>1.1904761904761904E-2</v>
      </c>
      <c r="K16" s="22">
        <f t="shared" ref="K16:M16" si="4">K15/K3</f>
        <v>1.3888888888888888E-2</v>
      </c>
      <c r="L16" s="22">
        <f t="shared" si="4"/>
        <v>1.6203703703703703E-2</v>
      </c>
      <c r="M16" s="22">
        <f t="shared" si="4"/>
        <v>1.8904320987654318E-2</v>
      </c>
    </row>
    <row r="17" spans="1:18" ht="15.75" customHeight="1" x14ac:dyDescent="0.15">
      <c r="A17" s="8" t="s">
        <v>27</v>
      </c>
      <c r="F17" s="8" t="s">
        <v>15</v>
      </c>
      <c r="J17">
        <f>J20</f>
        <v>59.4</v>
      </c>
      <c r="K17">
        <f t="shared" ref="K17:M17" si="5">K20</f>
        <v>59.4</v>
      </c>
      <c r="L17">
        <f t="shared" si="5"/>
        <v>59.4</v>
      </c>
      <c r="M17">
        <f t="shared" si="5"/>
        <v>59.4</v>
      </c>
    </row>
    <row r="18" spans="1:18" ht="15.75" customHeight="1" x14ac:dyDescent="0.15">
      <c r="B18" s="8" t="s">
        <v>28</v>
      </c>
      <c r="F18" s="8" t="s">
        <v>15</v>
      </c>
    </row>
    <row r="19" spans="1:18" ht="15.75" customHeight="1" x14ac:dyDescent="0.15">
      <c r="C19" s="8" t="s">
        <v>29</v>
      </c>
      <c r="F19" s="8" t="s">
        <v>30</v>
      </c>
      <c r="J19">
        <f>AK12</f>
        <v>9</v>
      </c>
      <c r="K19">
        <f>J19</f>
        <v>9</v>
      </c>
      <c r="L19">
        <f t="shared" ref="L19:M19" si="6">K19</f>
        <v>9</v>
      </c>
      <c r="M19">
        <f t="shared" si="6"/>
        <v>9</v>
      </c>
    </row>
    <row r="20" spans="1:18" ht="15.75" customHeight="1" x14ac:dyDescent="0.15">
      <c r="C20" s="8" t="s">
        <v>31</v>
      </c>
      <c r="F20" s="8" t="s">
        <v>32</v>
      </c>
      <c r="J20">
        <f>AM12/1000</f>
        <v>59.4</v>
      </c>
      <c r="K20">
        <f>J20</f>
        <v>59.4</v>
      </c>
      <c r="L20">
        <f t="shared" ref="L20:M20" si="7">K20</f>
        <v>59.4</v>
      </c>
      <c r="M20">
        <f t="shared" si="7"/>
        <v>59.4</v>
      </c>
    </row>
    <row r="21" spans="1:18" ht="15.75" customHeight="1" x14ac:dyDescent="0.15">
      <c r="B21" s="8" t="s">
        <v>23</v>
      </c>
    </row>
    <row r="22" spans="1:18" ht="15.75" customHeight="1" x14ac:dyDescent="0.15">
      <c r="B22" s="8" t="s">
        <v>23</v>
      </c>
    </row>
    <row r="23" spans="1:18" ht="15.75" customHeight="1" x14ac:dyDescent="0.15">
      <c r="A23" s="8" t="s">
        <v>33</v>
      </c>
      <c r="F23" s="8" t="s">
        <v>15</v>
      </c>
      <c r="J23">
        <f>J15-J20</f>
        <v>0.60000000000000142</v>
      </c>
      <c r="K23">
        <f t="shared" ref="K23:M23" si="8">K15-K20</f>
        <v>24.6</v>
      </c>
      <c r="L23">
        <f t="shared" si="8"/>
        <v>58.199999999999996</v>
      </c>
      <c r="M23">
        <f t="shared" si="8"/>
        <v>105.23999999999998</v>
      </c>
    </row>
    <row r="24" spans="1:18" ht="15.75" customHeight="1" x14ac:dyDescent="0.15">
      <c r="A24" s="8" t="s">
        <v>34</v>
      </c>
      <c r="F24" s="8" t="s">
        <v>15</v>
      </c>
    </row>
    <row r="25" spans="1:18" ht="15.75" customHeight="1" x14ac:dyDescent="0.15">
      <c r="B25" s="8" t="s">
        <v>23</v>
      </c>
    </row>
    <row r="26" spans="1:18" ht="15.75" customHeight="1" x14ac:dyDescent="0.15">
      <c r="B26" s="8" t="s">
        <v>23</v>
      </c>
    </row>
    <row r="27" spans="1:18" ht="13" x14ac:dyDescent="0.15">
      <c r="A27" s="8" t="s">
        <v>35</v>
      </c>
      <c r="F27" s="8" t="s">
        <v>15</v>
      </c>
    </row>
    <row r="29" spans="1:18" ht="13" x14ac:dyDescent="0.15">
      <c r="A29" s="16" t="s">
        <v>36</v>
      </c>
      <c r="B29" s="16"/>
      <c r="C29" s="16"/>
      <c r="D29" s="16"/>
      <c r="E29" s="16"/>
      <c r="F29" s="16"/>
      <c r="G29" s="16"/>
      <c r="H29" s="16"/>
      <c r="I29" s="17"/>
      <c r="J29" s="17"/>
      <c r="K29" s="17"/>
      <c r="L29" s="17"/>
      <c r="M29" s="17"/>
      <c r="N29" s="16"/>
      <c r="O29" s="16"/>
      <c r="P29" s="16"/>
      <c r="Q29" s="16"/>
      <c r="R29" s="16"/>
    </row>
    <row r="30" spans="1:18" ht="13" x14ac:dyDescent="0.15">
      <c r="A30" s="31" t="s">
        <v>37</v>
      </c>
      <c r="B30" s="27"/>
      <c r="C30" s="32" t="s">
        <v>38</v>
      </c>
      <c r="D30" s="29"/>
      <c r="E30" s="29"/>
      <c r="F30" s="29"/>
      <c r="G30" s="29"/>
      <c r="H30" s="29"/>
      <c r="I30" s="29"/>
      <c r="J30" s="29"/>
      <c r="K30" s="27"/>
      <c r="L30" s="32" t="s">
        <v>39</v>
      </c>
      <c r="M30" s="29"/>
      <c r="N30" s="29"/>
      <c r="O30" s="32" t="s">
        <v>40</v>
      </c>
      <c r="P30" s="29"/>
      <c r="Q30" s="29"/>
      <c r="R30" s="27"/>
    </row>
    <row r="31" spans="1:18" ht="13" x14ac:dyDescent="0.15">
      <c r="A31" s="26">
        <v>1</v>
      </c>
      <c r="B31" s="27"/>
      <c r="C31" s="30" t="s">
        <v>55</v>
      </c>
      <c r="D31" s="29"/>
      <c r="E31" s="29"/>
      <c r="F31" s="29"/>
      <c r="G31" s="29"/>
      <c r="H31" s="29"/>
      <c r="I31" s="29"/>
      <c r="J31" s="29"/>
      <c r="K31" s="27"/>
      <c r="L31" s="30" t="s">
        <v>54</v>
      </c>
      <c r="M31" s="29"/>
      <c r="N31" s="29"/>
      <c r="O31" s="30"/>
      <c r="P31" s="29"/>
      <c r="Q31" s="29"/>
      <c r="R31" s="27"/>
    </row>
    <row r="32" spans="1:18" ht="13" x14ac:dyDescent="0.15">
      <c r="A32" s="26">
        <v>2</v>
      </c>
      <c r="B32" s="27"/>
      <c r="C32" s="30"/>
      <c r="D32" s="29"/>
      <c r="E32" s="29"/>
      <c r="F32" s="29"/>
      <c r="G32" s="29"/>
      <c r="H32" s="29"/>
      <c r="I32" s="29"/>
      <c r="J32" s="29"/>
      <c r="K32" s="27"/>
      <c r="L32" s="30"/>
      <c r="M32" s="29"/>
      <c r="N32" s="29"/>
      <c r="O32" s="30"/>
      <c r="P32" s="29"/>
      <c r="Q32" s="29"/>
      <c r="R32" s="27"/>
    </row>
    <row r="33" spans="1:18" ht="13" x14ac:dyDescent="0.15">
      <c r="A33" s="26">
        <v>3</v>
      </c>
      <c r="B33" s="27"/>
      <c r="C33" s="30"/>
      <c r="D33" s="29"/>
      <c r="E33" s="29"/>
      <c r="F33" s="29"/>
      <c r="G33" s="29"/>
      <c r="H33" s="29"/>
      <c r="I33" s="29"/>
      <c r="J33" s="29"/>
      <c r="K33" s="27"/>
      <c r="L33" s="30"/>
      <c r="M33" s="29"/>
      <c r="N33" s="29"/>
      <c r="O33" s="30"/>
      <c r="P33" s="29"/>
      <c r="Q33" s="29"/>
      <c r="R33" s="27"/>
    </row>
    <row r="34" spans="1:18" ht="13" x14ac:dyDescent="0.15">
      <c r="A34" s="26" t="s">
        <v>23</v>
      </c>
      <c r="B34" s="27"/>
      <c r="C34" s="30"/>
      <c r="D34" s="29"/>
      <c r="E34" s="29"/>
      <c r="F34" s="29"/>
      <c r="G34" s="29"/>
      <c r="H34" s="29"/>
      <c r="I34" s="29"/>
      <c r="J34" s="29"/>
      <c r="K34" s="27"/>
      <c r="L34" s="30"/>
      <c r="M34" s="29"/>
      <c r="N34" s="29"/>
      <c r="O34" s="30"/>
      <c r="P34" s="29"/>
      <c r="Q34" s="29"/>
      <c r="R34" s="27"/>
    </row>
    <row r="37" spans="1:18" ht="13" x14ac:dyDescent="0.15">
      <c r="A37" s="16" t="s">
        <v>41</v>
      </c>
      <c r="B37" s="16"/>
      <c r="C37" s="16"/>
      <c r="D37" s="16"/>
      <c r="E37" s="16"/>
      <c r="F37" s="16"/>
      <c r="G37" s="16"/>
      <c r="H37" s="16"/>
      <c r="I37" s="17"/>
      <c r="J37" s="17"/>
      <c r="K37" s="17"/>
      <c r="L37" s="17"/>
      <c r="M37" s="17"/>
      <c r="N37" s="16"/>
      <c r="O37" s="16"/>
      <c r="P37" s="16"/>
      <c r="Q37" s="16"/>
      <c r="R37" s="16"/>
    </row>
    <row r="38" spans="1:18" ht="13" x14ac:dyDescent="0.15">
      <c r="A38" s="31" t="s">
        <v>37</v>
      </c>
      <c r="B38" s="27"/>
      <c r="C38" s="32" t="s">
        <v>42</v>
      </c>
      <c r="D38" s="29"/>
      <c r="E38" s="29"/>
      <c r="F38" s="29"/>
      <c r="G38" s="29"/>
      <c r="H38" s="29"/>
      <c r="I38" s="29"/>
      <c r="J38" s="27"/>
      <c r="K38" s="32" t="s">
        <v>43</v>
      </c>
      <c r="L38" s="29"/>
      <c r="M38" s="29"/>
      <c r="N38" s="29"/>
      <c r="O38" s="29"/>
      <c r="P38" s="29"/>
      <c r="Q38" s="29"/>
      <c r="R38" s="27"/>
    </row>
    <row r="39" spans="1:18" ht="13" x14ac:dyDescent="0.15">
      <c r="A39" s="26">
        <v>1</v>
      </c>
      <c r="B39" s="27"/>
      <c r="C39" s="28"/>
      <c r="D39" s="29"/>
      <c r="E39" s="29"/>
      <c r="F39" s="29"/>
      <c r="G39" s="29"/>
      <c r="H39" s="29"/>
      <c r="I39" s="29"/>
      <c r="J39" s="27"/>
      <c r="K39" s="28"/>
      <c r="L39" s="29"/>
      <c r="M39" s="29"/>
      <c r="N39" s="29"/>
      <c r="O39" s="29"/>
      <c r="P39" s="29"/>
      <c r="Q39" s="29"/>
      <c r="R39" s="27"/>
    </row>
    <row r="40" spans="1:18" ht="13" x14ac:dyDescent="0.15">
      <c r="A40" s="26">
        <v>2</v>
      </c>
      <c r="B40" s="27"/>
      <c r="C40" s="28"/>
      <c r="D40" s="29"/>
      <c r="E40" s="29"/>
      <c r="F40" s="29"/>
      <c r="G40" s="29"/>
      <c r="H40" s="29"/>
      <c r="I40" s="29"/>
      <c r="J40" s="27"/>
      <c r="K40" s="28"/>
      <c r="L40" s="29"/>
      <c r="M40" s="29"/>
      <c r="N40" s="29"/>
      <c r="O40" s="29"/>
      <c r="P40" s="29"/>
      <c r="Q40" s="29"/>
      <c r="R40" s="27"/>
    </row>
    <row r="41" spans="1:18" ht="13" x14ac:dyDescent="0.15">
      <c r="A41" s="26">
        <v>3</v>
      </c>
      <c r="B41" s="27"/>
      <c r="C41" s="28"/>
      <c r="D41" s="29"/>
      <c r="E41" s="29"/>
      <c r="F41" s="29"/>
      <c r="G41" s="29"/>
      <c r="H41" s="29"/>
      <c r="I41" s="29"/>
      <c r="J41" s="27"/>
      <c r="K41" s="28"/>
      <c r="L41" s="29"/>
      <c r="M41" s="29"/>
      <c r="N41" s="29"/>
      <c r="O41" s="29"/>
      <c r="P41" s="29"/>
      <c r="Q41" s="29"/>
      <c r="R41" s="27"/>
    </row>
    <row r="42" spans="1:18" ht="13" x14ac:dyDescent="0.15">
      <c r="A42" s="26" t="s">
        <v>23</v>
      </c>
      <c r="B42" s="27"/>
      <c r="C42" s="28"/>
      <c r="D42" s="29"/>
      <c r="E42" s="29"/>
      <c r="F42" s="29"/>
      <c r="G42" s="29"/>
      <c r="H42" s="29"/>
      <c r="I42" s="29"/>
      <c r="J42" s="27"/>
      <c r="K42" s="28"/>
      <c r="L42" s="29"/>
      <c r="M42" s="29"/>
      <c r="N42" s="29"/>
      <c r="O42" s="29"/>
      <c r="P42" s="29"/>
      <c r="Q42" s="29"/>
      <c r="R42" s="27"/>
    </row>
  </sheetData>
  <mergeCells count="35">
    <mergeCell ref="A30:B30"/>
    <mergeCell ref="C30:K30"/>
    <mergeCell ref="L30:N30"/>
    <mergeCell ref="O30:R30"/>
    <mergeCell ref="A31:B31"/>
    <mergeCell ref="C31:K31"/>
    <mergeCell ref="L31:N31"/>
    <mergeCell ref="O31:R31"/>
    <mergeCell ref="A32:B32"/>
    <mergeCell ref="C32:K32"/>
    <mergeCell ref="L32:N32"/>
    <mergeCell ref="O32:R32"/>
    <mergeCell ref="A33:B33"/>
    <mergeCell ref="C33:K33"/>
    <mergeCell ref="L33:N33"/>
    <mergeCell ref="O33:R33"/>
    <mergeCell ref="A34:B34"/>
    <mergeCell ref="C34:K34"/>
    <mergeCell ref="L34:N34"/>
    <mergeCell ref="O34:R34"/>
    <mergeCell ref="A38:B38"/>
    <mergeCell ref="C38:J38"/>
    <mergeCell ref="K38:R38"/>
    <mergeCell ref="A39:B39"/>
    <mergeCell ref="C39:J39"/>
    <mergeCell ref="K39:R39"/>
    <mergeCell ref="A40:B40"/>
    <mergeCell ref="C40:J40"/>
    <mergeCell ref="K40:R40"/>
    <mergeCell ref="A41:B41"/>
    <mergeCell ref="C41:J41"/>
    <mergeCell ref="K41:R41"/>
    <mergeCell ref="A42:B42"/>
    <mergeCell ref="C42:J42"/>
    <mergeCell ref="K42:R42"/>
  </mergeCells>
  <pageMargins left="0.70078740157480324" right="0.70078740157480324" top="0.75196850393700787" bottom="0.75196850393700787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Объем рынка</vt:lpstr>
      <vt:lpstr>Шаблон инициатив для ИБ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s.sklabovskiy</cp:lastModifiedBy>
  <dcterms:created xsi:type="dcterms:W3CDTF">2024-11-17T19:09:33Z</dcterms:created>
  <dcterms:modified xsi:type="dcterms:W3CDTF">2024-11-24T18:30:26Z</dcterms:modified>
</cp:coreProperties>
</file>