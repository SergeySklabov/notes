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Доп 2 - 2025-2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<sst xmlns="http://schemas.openxmlformats.org/spreadsheetml/2006/main" uniqueCount="32">
  <si>
    <t>2021</t>
  </si>
  <si>
    <t>2022</t>
  </si>
  <si>
    <t>2023</t>
  </si>
  <si>
    <t>2024</t>
  </si>
  <si>
    <t xml:space="preserve">2025 </t>
  </si>
  <si>
    <t>2026</t>
  </si>
  <si>
    <t>2027</t>
  </si>
  <si>
    <t>Revenue</t>
  </si>
  <si>
    <t>Outsource</t>
  </si>
  <si>
    <t>UIDM</t>
  </si>
  <si>
    <t>Cost of revenue</t>
  </si>
  <si>
    <t>Gross Profit</t>
  </si>
  <si>
    <t>Profitability (%)</t>
  </si>
  <si>
    <t>R&amp;D</t>
  </si>
  <si>
    <t>Релиз RooX  UIDM (сертификация)</t>
  </si>
  <si>
    <t>Релиз RooX UIDM 26-27</t>
  </si>
  <si>
    <t>SG&amp;A</t>
  </si>
  <si>
    <t>Sales</t>
  </si>
  <si>
    <t>Sales and accounting (incl. bonus)</t>
  </si>
  <si>
    <t>Marketing</t>
  </si>
  <si>
    <t>Демо/пилоты</t>
  </si>
  <si>
    <t>G&amp;A</t>
  </si>
  <si>
    <t>Law, Delivery, other</t>
  </si>
  <si>
    <t>Infrastructure</t>
  </si>
  <si>
    <t>Social package</t>
  </si>
  <si>
    <t>Marketing (internal)</t>
  </si>
  <si>
    <t>Recruitement</t>
  </si>
  <si>
    <t>One-off spendings</t>
  </si>
  <si>
    <t>Administation</t>
  </si>
  <si>
    <t xml:space="preserve">Прочие </t>
  </si>
  <si>
    <t>Net revenue</t>
  </si>
  <si>
    <t>EBITDA (%)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</si>
</sst>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&quot;   &quot;;&quot;-&quot;* #,##0&quot;   &quot;;&quot; &quot;* &quot;-   &quot;"/>
    <numFmt numFmtId="60" formatCode="#,##0%"/>
  </numFmts>
  <fonts count="1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4"/>
      <color indexed="8"/>
      <name val="Calibri"/>
    </font>
    <font>
      <b val="1"/>
      <sz val="12"/>
      <color indexed="8"/>
      <name val="Calibri"/>
    </font>
    <font>
      <u val="single"/>
      <sz val="12"/>
      <color indexed="8"/>
      <name val="Calibri"/>
    </font>
    <font>
      <u val="single"/>
      <sz val="11"/>
      <color indexed="8"/>
      <name val="Calibri"/>
    </font>
    <font>
      <sz val="9"/>
      <color indexed="8"/>
      <name val="Calibri"/>
    </font>
    <font>
      <sz val="10"/>
      <color indexed="8"/>
      <name val="Calibri"/>
    </font>
    <font>
      <sz val="11"/>
      <color indexed="8"/>
      <name val="Calibri"/>
    </font>
    <font>
      <b val="1"/>
      <u val="single"/>
      <sz val="12"/>
      <color indexed="8"/>
      <name val="Calibri"/>
    </font>
    <font>
      <u val="single"/>
      <sz val="1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59" fontId="0" fillId="2" borderId="2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bottom"/>
    </xf>
    <xf numFmtId="49" fontId="4" fillId="2" borderId="4" applyNumberFormat="1" applyFont="1" applyFill="1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vertical="bottom"/>
    </xf>
    <xf numFmtId="3" fontId="4" fillId="2" borderId="5" applyNumberFormat="1" applyFont="1" applyFill="1" applyBorder="1" applyAlignment="1" applyProtection="0">
      <alignment vertical="bottom"/>
    </xf>
    <xf numFmtId="9" fontId="5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vertical="bottom"/>
    </xf>
    <xf numFmtId="0" fontId="6" fillId="2" borderId="5" applyNumberFormat="0" applyFont="1" applyFill="1" applyBorder="1" applyAlignment="1" applyProtection="0">
      <alignment vertical="bottom"/>
    </xf>
    <xf numFmtId="3" fontId="6" fillId="2" borderId="5" applyNumberFormat="1" applyFont="1" applyFill="1" applyBorder="1" applyAlignment="1" applyProtection="0">
      <alignment vertical="bottom"/>
    </xf>
    <xf numFmtId="9" fontId="6" fillId="2" borderId="5" applyNumberFormat="1" applyFont="1" applyFill="1" applyBorder="1" applyAlignment="1" applyProtection="0">
      <alignment vertical="bottom"/>
    </xf>
    <xf numFmtId="3" fontId="7" fillId="2" borderId="5" applyNumberFormat="1" applyFont="1" applyFill="1" applyBorder="1" applyAlignment="1" applyProtection="0">
      <alignment vertical="bottom"/>
    </xf>
    <xf numFmtId="3" fontId="6" fillId="2" borderId="5" applyNumberFormat="1" applyFont="1" applyFill="1" applyBorder="1" applyAlignment="1" applyProtection="0">
      <alignment horizontal="right" vertical="center"/>
    </xf>
    <xf numFmtId="9" fontId="0" fillId="2" borderId="5" applyNumberFormat="1" applyFont="1" applyFill="1" applyBorder="1" applyAlignment="1" applyProtection="0">
      <alignment vertical="bottom"/>
    </xf>
    <xf numFmtId="9" fontId="8" fillId="2" borderId="5" applyNumberFormat="1" applyFont="1" applyFill="1" applyBorder="1" applyAlignment="1" applyProtection="0">
      <alignment horizontal="right" vertical="center"/>
    </xf>
    <xf numFmtId="60" fontId="0" fillId="2" borderId="5" applyNumberFormat="1" applyFont="1" applyFill="1" applyBorder="1" applyAlignment="1" applyProtection="0">
      <alignment vertical="bottom"/>
    </xf>
    <xf numFmtId="49" fontId="6" fillId="2" borderId="5" applyNumberFormat="1" applyFont="1" applyFill="1" applyBorder="1" applyAlignment="1" applyProtection="0">
      <alignment horizontal="left" vertical="bottom"/>
    </xf>
    <xf numFmtId="0" fontId="6" fillId="2" borderId="5" applyNumberFormat="0" applyFont="1" applyFill="1" applyBorder="1" applyAlignment="1" applyProtection="0">
      <alignment horizontal="left" vertical="bottom"/>
    </xf>
    <xf numFmtId="0" fontId="9" fillId="2" borderId="5" applyNumberFormat="0" applyFont="1" applyFill="1" applyBorder="1" applyAlignment="1" applyProtection="0">
      <alignment vertical="bottom"/>
    </xf>
    <xf numFmtId="3" fontId="9" fillId="2" borderId="5" applyNumberFormat="1" applyFont="1" applyFill="1" applyBorder="1" applyAlignment="1" applyProtection="0">
      <alignment horizontal="right" vertical="center"/>
    </xf>
    <xf numFmtId="3" fontId="9" fillId="2" borderId="5" applyNumberFormat="1" applyFont="1" applyFill="1" applyBorder="1" applyAlignment="1" applyProtection="0">
      <alignment vertical="bottom"/>
    </xf>
    <xf numFmtId="3" fontId="10" fillId="2" borderId="5" applyNumberFormat="1" applyFont="1" applyFill="1" applyBorder="1" applyAlignment="1" applyProtection="0">
      <alignment vertical="bottom"/>
    </xf>
    <xf numFmtId="49" fontId="5" fillId="2" borderId="6" applyNumberFormat="1" applyFont="1" applyFill="1" applyBorder="1" applyAlignment="1" applyProtection="0">
      <alignment horizontal="right" vertical="bottom"/>
    </xf>
    <xf numFmtId="59" fontId="0" fillId="2" borderId="5" applyNumberFormat="1" applyFont="1" applyFill="1" applyBorder="1" applyAlignment="1" applyProtection="0">
      <alignment vertical="bottom"/>
    </xf>
    <xf numFmtId="59" fontId="0" fillId="2" borderId="6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59" fontId="11" fillId="2" borderId="5" applyNumberFormat="1" applyFont="1" applyFill="1" applyBorder="1" applyAlignment="1" applyProtection="0">
      <alignment vertical="bottom"/>
    </xf>
    <xf numFmtId="9" fontId="4" fillId="2" borderId="5" applyNumberFormat="1" applyFont="1" applyFill="1" applyBorder="1" applyAlignment="1" applyProtection="0">
      <alignment vertical="bottom"/>
    </xf>
    <xf numFmtId="49" fontId="12" fillId="2" borderId="5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center"/>
    </xf>
    <xf numFmtId="49" fontId="7" fillId="2" borderId="5" applyNumberFormat="1" applyFont="1" applyFill="1" applyBorder="1" applyAlignment="1" applyProtection="0">
      <alignment vertical="bottom"/>
    </xf>
    <xf numFmtId="0" fontId="12" fillId="2" borderId="5" applyNumberFormat="0" applyFont="1" applyFill="1" applyBorder="1" applyAlignment="1" applyProtection="0">
      <alignment vertical="bottom"/>
    </xf>
    <xf numFmtId="49" fontId="9" fillId="2" borderId="5" applyNumberFormat="1" applyFont="1" applyFill="1" applyBorder="1" applyAlignment="1" applyProtection="0">
      <alignment vertical="bottom"/>
    </xf>
    <xf numFmtId="0" fontId="9" fillId="2" borderId="4" applyNumberFormat="0" applyFont="1" applyFill="1" applyBorder="1" applyAlignment="1" applyProtection="0">
      <alignment vertical="bottom"/>
    </xf>
    <xf numFmtId="0" fontId="6" fillId="2" borderId="4" applyNumberFormat="0" applyFont="1" applyFill="1" applyBorder="1" applyAlignment="1" applyProtection="0">
      <alignment vertical="bottom"/>
    </xf>
    <xf numFmtId="0" fontId="4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3" fontId="0" fillId="2" borderId="8" applyNumberFormat="1" applyFont="1" applyFill="1" applyBorder="1" applyAlignment="1" applyProtection="0">
      <alignment vertical="bottom"/>
    </xf>
    <xf numFmtId="3" fontId="10" fillId="2" borderId="8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 2013–2022">
  <a:themeElements>
    <a:clrScheme name="Тема Office 2013–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 2013–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 2013–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42"/>
  <sheetViews>
    <sheetView workbookViewId="0" showGridLines="0" defaultGridColor="1"/>
  </sheetViews>
  <sheetFormatPr defaultColWidth="16.3333" defaultRowHeight="21.6" customHeight="1" outlineLevelRow="0" outlineLevelCol="0"/>
  <cols>
    <col min="1" max="1" width="5.35156" style="1" customWidth="1"/>
    <col min="2" max="2" width="13.6719" style="1" customWidth="1"/>
    <col min="3" max="3" width="46.2266" style="1" customWidth="1"/>
    <col min="4" max="5" width="16.3516" style="1" customWidth="1"/>
    <col min="6" max="7" width="1.85156" style="1" customWidth="1"/>
    <col min="8" max="8" width="14" style="1" customWidth="1"/>
    <col min="9" max="9" width="2.67188" style="1" customWidth="1"/>
    <col min="10" max="10" width="15" style="1" customWidth="1"/>
    <col min="11" max="11" width="18.5" style="1" customWidth="1"/>
    <col min="12" max="12" width="17.5156" style="1" customWidth="1"/>
    <col min="13" max="13" width="21.7969" style="1" customWidth="1"/>
    <col min="14" max="17" width="16.3516" style="1" customWidth="1"/>
    <col min="18" max="16384" width="16.3516" style="1" customWidth="1"/>
  </cols>
  <sheetData>
    <row r="1" ht="63" customHeight="1">
      <c r="A1" s="2"/>
      <c r="B1" s="3"/>
      <c r="C1" s="3"/>
      <c r="D1" t="s" s="4">
        <v>0</v>
      </c>
      <c r="E1" t="s" s="4">
        <v>1</v>
      </c>
      <c r="F1" s="5"/>
      <c r="G1" s="5"/>
      <c r="H1" t="s" s="4">
        <v>2</v>
      </c>
      <c r="I1" s="5"/>
      <c r="J1" t="s" s="4">
        <v>3</v>
      </c>
      <c r="K1" t="s" s="4">
        <v>4</v>
      </c>
      <c r="L1" t="s" s="4">
        <v>5</v>
      </c>
      <c r="M1" t="s" s="4">
        <v>6</v>
      </c>
      <c r="N1" s="3"/>
      <c r="O1" s="3"/>
      <c r="P1" s="3"/>
      <c r="Q1" s="6"/>
    </row>
    <row r="2" ht="18.95" customHeight="1">
      <c r="A2" t="s" s="7">
        <v>7</v>
      </c>
      <c r="B2" s="8"/>
      <c r="C2" s="8"/>
      <c r="D2" s="9" cm="1">
        <f t="array" ref="D2">D3+D4</f>
        <v>362992129.416666</v>
      </c>
      <c r="E2" s="9" cm="1">
        <f t="array" ref="E2">E3+E4</f>
        <v>441326829.523333</v>
      </c>
      <c r="F2" s="10"/>
      <c r="G2" s="10"/>
      <c r="H2" s="9" cm="1">
        <f t="array" ref="H2">H3+H4</f>
        <v>354282441.233333</v>
      </c>
      <c r="I2" s="10"/>
      <c r="J2" s="9" cm="1">
        <f t="array" ref="J2">J3+J4</f>
        <v>363671202</v>
      </c>
      <c r="K2" s="9" cm="1">
        <f t="array" ref="K2">K3+K4</f>
        <v>288703249.86</v>
      </c>
      <c r="L2" s="9" cm="1">
        <f t="array" ref="L2">L3+L4</f>
        <v>238686669</v>
      </c>
      <c r="M2" s="9" cm="1">
        <f t="array" ref="M2">M3+M4</f>
        <v>250868133.99</v>
      </c>
      <c r="N2" s="11"/>
      <c r="O2" s="11"/>
      <c r="P2" s="11"/>
      <c r="Q2" s="12"/>
    </row>
    <row r="3" ht="23.05" customHeight="1">
      <c r="A3" s="13"/>
      <c r="B3" t="s" s="14">
        <v>8</v>
      </c>
      <c r="C3" s="15"/>
      <c r="D3" s="16">
        <v>301848261.163333</v>
      </c>
      <c r="E3" s="16">
        <v>366328734.523333</v>
      </c>
      <c r="F3" s="17"/>
      <c r="G3" s="17"/>
      <c r="H3" s="16">
        <v>282843092.398333</v>
      </c>
      <c r="I3" s="17"/>
      <c r="J3" s="16">
        <v>249568672</v>
      </c>
      <c r="K3" s="18">
        <v>173024864.13</v>
      </c>
      <c r="L3" s="18">
        <v>93653640</v>
      </c>
      <c r="M3" s="18">
        <v>60874866</v>
      </c>
      <c r="N3" s="11"/>
      <c r="O3" s="11"/>
      <c r="P3" s="11"/>
      <c r="Q3" s="12"/>
    </row>
    <row r="4" ht="24.25" customHeight="1">
      <c r="A4" s="13"/>
      <c r="B4" t="s" s="14">
        <v>9</v>
      </c>
      <c r="C4" s="11"/>
      <c r="D4" s="19">
        <v>61143868.2533333</v>
      </c>
      <c r="E4" s="16">
        <v>74998095</v>
      </c>
      <c r="F4" s="20"/>
      <c r="G4" s="20"/>
      <c r="H4" s="16">
        <v>71439348.83499999</v>
      </c>
      <c r="I4" s="21"/>
      <c r="J4" s="16">
        <v>114102530</v>
      </c>
      <c r="K4" s="18">
        <v>115678385.73</v>
      </c>
      <c r="L4" s="18">
        <v>145033029</v>
      </c>
      <c r="M4" s="18">
        <v>189993267.99</v>
      </c>
      <c r="N4" s="11"/>
      <c r="O4" s="22"/>
      <c r="P4" s="11"/>
      <c r="Q4" s="12"/>
    </row>
    <row r="5" ht="51.95" customHeight="1">
      <c r="A5" t="s" s="7">
        <v>10</v>
      </c>
      <c r="B5" s="8"/>
      <c r="C5" s="8"/>
      <c r="D5" s="9" cm="1">
        <f t="array" ref="D5">D6+D7</f>
        <v>-261310593.975747</v>
      </c>
      <c r="E5" s="9" cm="1">
        <f t="array" ref="E5">E6+E7</f>
        <v>-303479825.605333</v>
      </c>
      <c r="F5" s="10"/>
      <c r="G5" s="10"/>
      <c r="H5" s="9" cm="1">
        <f t="array" ref="H5">H6+H7</f>
        <v>-248330950.594</v>
      </c>
      <c r="I5" s="10"/>
      <c r="J5" s="9" cm="1">
        <f t="array" ref="J5">J6+J7</f>
        <v>-267064954.353904</v>
      </c>
      <c r="K5" s="9" cm="1">
        <f t="array" ref="K5">K6+K7</f>
        <v>-222166529.31</v>
      </c>
      <c r="L5" s="9" cm="1">
        <f t="array" ref="L5">L6+L7</f>
        <v>-155043463</v>
      </c>
      <c r="M5" s="9" cm="1">
        <f t="array" ref="M5">M6+M7</f>
        <v>-124074121.85</v>
      </c>
      <c r="N5" s="11"/>
      <c r="O5" s="11"/>
      <c r="P5" s="11"/>
      <c r="Q5" s="12"/>
    </row>
    <row r="6" ht="30" customHeight="1">
      <c r="A6" s="13"/>
      <c r="B6" t="s" s="14">
        <v>8</v>
      </c>
      <c r="C6" s="15"/>
      <c r="D6" s="16">
        <v>-222463297.123747</v>
      </c>
      <c r="E6" s="16">
        <v>-256085218.056</v>
      </c>
      <c r="F6" s="17"/>
      <c r="G6" s="17"/>
      <c r="H6" s="16">
        <v>-190114024.696</v>
      </c>
      <c r="I6" s="17"/>
      <c r="J6" s="16">
        <v>-172397509.975333</v>
      </c>
      <c r="K6" s="16">
        <v>-134588898.77</v>
      </c>
      <c r="L6" s="16">
        <v>-67775174</v>
      </c>
      <c r="M6" s="16">
        <v>-45656149.5</v>
      </c>
      <c r="N6" s="11"/>
      <c r="O6" s="11"/>
      <c r="P6" s="11"/>
      <c r="Q6" s="12"/>
    </row>
    <row r="7" ht="15.35" customHeight="1">
      <c r="A7" s="13"/>
      <c r="B7" t="s" s="23">
        <v>9</v>
      </c>
      <c r="C7" s="24"/>
      <c r="D7" s="16">
        <v>-38847296.852</v>
      </c>
      <c r="E7" s="16">
        <v>-47394607.5493333</v>
      </c>
      <c r="F7" s="17"/>
      <c r="G7" s="20"/>
      <c r="H7" s="16">
        <v>-58216925.898</v>
      </c>
      <c r="I7" s="17"/>
      <c r="J7" s="16">
        <v>-94667444.37857141</v>
      </c>
      <c r="K7" s="16">
        <v>-87577630.54000001</v>
      </c>
      <c r="L7" s="16">
        <v>-87268289</v>
      </c>
      <c r="M7" s="16">
        <v>-78417972.34999999</v>
      </c>
      <c r="N7" s="11"/>
      <c r="O7" s="11"/>
      <c r="P7" s="11"/>
      <c r="Q7" s="12"/>
    </row>
    <row r="8" ht="15.4" customHeight="1">
      <c r="A8" s="13"/>
      <c r="B8" s="11"/>
      <c r="C8" s="25"/>
      <c r="D8" s="26"/>
      <c r="E8" s="27"/>
      <c r="F8" s="20"/>
      <c r="G8" s="20"/>
      <c r="H8" s="27"/>
      <c r="I8" s="20"/>
      <c r="J8" s="11"/>
      <c r="K8" s="28"/>
      <c r="L8" s="28"/>
      <c r="M8" s="11"/>
      <c r="N8" s="11"/>
      <c r="O8" s="11"/>
      <c r="P8" s="11"/>
      <c r="Q8" s="29"/>
    </row>
    <row r="9" ht="36.95" customHeight="1">
      <c r="A9" t="s" s="7">
        <v>11</v>
      </c>
      <c r="B9" s="8"/>
      <c r="C9" s="8"/>
      <c r="D9" s="9" cm="1">
        <f t="array" ref="D9">D10+D11</f>
        <v>101681535.440919</v>
      </c>
      <c r="E9" s="9" cm="1">
        <f t="array" ref="E9">E10+E11</f>
        <v>137847003.918</v>
      </c>
      <c r="F9" s="10"/>
      <c r="G9" s="10"/>
      <c r="H9" s="9" cm="1">
        <f t="array" ref="H9">H10+H11</f>
        <v>105951490.639333</v>
      </c>
      <c r="I9" s="10"/>
      <c r="J9" s="9" cm="1">
        <f t="array" ref="J9">J10+J11</f>
        <v>96606247.6460956</v>
      </c>
      <c r="K9" s="9" cm="1">
        <f t="array" ref="K9">K10+K11</f>
        <v>66536720.55</v>
      </c>
      <c r="L9" s="9" cm="1">
        <f t="array" ref="L9">L10+L11</f>
        <v>83643206</v>
      </c>
      <c r="M9" s="9" cm="1">
        <f t="array" ref="M9">M10+M11</f>
        <v>126794012.14</v>
      </c>
      <c r="N9" s="11"/>
      <c r="O9" s="11"/>
      <c r="P9" s="30"/>
      <c r="Q9" s="31"/>
    </row>
    <row r="10" ht="20.1" customHeight="1">
      <c r="A10" s="13"/>
      <c r="B10" t="s" s="23">
        <v>8</v>
      </c>
      <c r="C10" s="24"/>
      <c r="D10" s="16" cm="1">
        <f t="array" ref="D10">D3+D6</f>
        <v>79384964.03958599</v>
      </c>
      <c r="E10" s="16" cm="1">
        <f t="array" ref="E10">E3+E6</f>
        <v>110243516.467333</v>
      </c>
      <c r="F10" s="17"/>
      <c r="G10" s="20"/>
      <c r="H10" s="16" cm="1">
        <f t="array" ref="H10">H3+H6</f>
        <v>92729067.702333</v>
      </c>
      <c r="I10" s="17"/>
      <c r="J10" s="16" cm="1">
        <f t="array" ref="J10">J3+J6</f>
        <v>77171162.02466699</v>
      </c>
      <c r="K10" s="16" cm="1">
        <f t="array" ref="K10">K3+K6</f>
        <v>38435965.36</v>
      </c>
      <c r="L10" s="16" cm="1">
        <f t="array" ref="L10">L3+L6</f>
        <v>25878466</v>
      </c>
      <c r="M10" s="16">
        <v>15218716.5</v>
      </c>
      <c r="N10" s="11"/>
      <c r="O10" s="11"/>
      <c r="P10" s="30"/>
      <c r="Q10" s="31"/>
    </row>
    <row r="11" ht="20.1" customHeight="1">
      <c r="A11" s="13"/>
      <c r="B11" t="s" s="23">
        <v>9</v>
      </c>
      <c r="C11" s="24"/>
      <c r="D11" s="16" cm="1">
        <f t="array" ref="D11">D4+D7</f>
        <v>22296571.4013333</v>
      </c>
      <c r="E11" s="16" cm="1">
        <f t="array" ref="E11">E4+E7</f>
        <v>27603487.4506667</v>
      </c>
      <c r="F11" s="17"/>
      <c r="G11" s="20"/>
      <c r="H11" s="16" cm="1">
        <f t="array" ref="H11">H4+H7</f>
        <v>13222422.937</v>
      </c>
      <c r="I11" s="17"/>
      <c r="J11" s="16" cm="1">
        <f t="array" ref="J11">J4+J7</f>
        <v>19435085.6214286</v>
      </c>
      <c r="K11" s="16" cm="1">
        <f t="array" ref="K11">K4+K7</f>
        <v>28100755.19</v>
      </c>
      <c r="L11" s="16" cm="1">
        <f t="array" ref="L11">L4+L7</f>
        <v>57764740</v>
      </c>
      <c r="M11" s="16">
        <v>111575295.64</v>
      </c>
      <c r="N11" s="11"/>
      <c r="O11" s="11"/>
      <c r="P11" s="30"/>
      <c r="Q11" s="32"/>
    </row>
    <row r="12" ht="15.4" customHeight="1">
      <c r="A12" s="13"/>
      <c r="B12" s="11"/>
      <c r="C12" s="11"/>
      <c r="D12" s="33"/>
      <c r="E12" s="33"/>
      <c r="F12" s="20"/>
      <c r="G12" s="33"/>
      <c r="H12" s="33"/>
      <c r="I12" s="20"/>
      <c r="J12" s="11"/>
      <c r="K12" s="28"/>
      <c r="L12" s="28"/>
      <c r="M12" s="11"/>
      <c r="N12" s="11"/>
      <c r="O12" s="11"/>
      <c r="P12" s="30"/>
      <c r="Q12" s="31"/>
    </row>
    <row r="13" ht="15.4" customHeight="1">
      <c r="A13" s="13"/>
      <c r="B13" s="11"/>
      <c r="C13" s="11"/>
      <c r="D13" s="33"/>
      <c r="E13" s="33"/>
      <c r="F13" s="20"/>
      <c r="G13" s="33"/>
      <c r="H13" s="33"/>
      <c r="I13" s="20"/>
      <c r="J13" s="11"/>
      <c r="K13" s="28"/>
      <c r="L13" s="28"/>
      <c r="M13" s="11"/>
      <c r="N13" s="11"/>
      <c r="O13" s="11"/>
      <c r="P13" s="34"/>
      <c r="Q13" s="32"/>
    </row>
    <row r="14" ht="18.95" customHeight="1">
      <c r="A14" t="s" s="7">
        <v>12</v>
      </c>
      <c r="B14" s="11"/>
      <c r="C14" s="11"/>
      <c r="D14" s="35" cm="1">
        <f t="array" ref="D14">D9/D2</f>
        <v>0.280120496288233</v>
      </c>
      <c r="E14" s="35" cm="1">
        <f t="array" ref="E14">E9/E2</f>
        <v>0.312346756862449</v>
      </c>
      <c r="F14" s="35"/>
      <c r="G14" s="35"/>
      <c r="H14" s="35" cm="1">
        <f t="array" ref="H14">H9/H2</f>
        <v>0.299059389651074</v>
      </c>
      <c r="I14" s="35"/>
      <c r="J14" s="35" cm="1">
        <f t="array" ref="J14">J9/J2</f>
        <v>0.265641731087895</v>
      </c>
      <c r="K14" s="35" cm="1">
        <f t="array" ref="K14">K9/K2</f>
        <v>0.230467514938836</v>
      </c>
      <c r="L14" s="35" cm="1">
        <f t="array" ref="L14">L9/L2</f>
        <v>0.350430991183676</v>
      </c>
      <c r="M14" s="35" cm="1">
        <f t="array" ref="M14">M9/M2</f>
        <v>0.505420956114953</v>
      </c>
      <c r="N14" s="11"/>
      <c r="O14" s="11"/>
      <c r="P14" s="11"/>
      <c r="Q14" s="12"/>
    </row>
    <row r="15" ht="20.1" customHeight="1">
      <c r="A15" s="13"/>
      <c r="B15" t="s" s="23">
        <v>8</v>
      </c>
      <c r="C15" s="24"/>
      <c r="D15" s="17" cm="1">
        <f t="array" ref="D15">D10/D3</f>
        <v>0.262996260881655</v>
      </c>
      <c r="E15" s="17" cm="1">
        <f t="array" ref="E15">E10/E3</f>
        <v>0.300941493467014</v>
      </c>
      <c r="F15" s="17"/>
      <c r="G15" s="20"/>
      <c r="H15" s="17" cm="1">
        <f t="array" ref="H15">H10/H3</f>
        <v>0.327846322553075</v>
      </c>
      <c r="I15" s="17"/>
      <c r="J15" s="17" cm="1">
        <f t="array" ref="J15">J10/J3</f>
        <v>0.309218145876366</v>
      </c>
      <c r="K15" s="17" cm="1">
        <f t="array" ref="K15">K10/K3</f>
        <v>0.222141283296264</v>
      </c>
      <c r="L15" s="17" cm="1">
        <f t="array" ref="L15">L10/L3</f>
        <v>0.2763209844273</v>
      </c>
      <c r="M15" s="17">
        <v>0.25</v>
      </c>
      <c r="N15" s="11"/>
      <c r="O15" s="11"/>
      <c r="P15" s="33"/>
      <c r="Q15" s="12"/>
    </row>
    <row r="16" ht="20.1" customHeight="1">
      <c r="A16" s="13"/>
      <c r="B16" t="s" s="23">
        <v>9</v>
      </c>
      <c r="C16" s="24"/>
      <c r="D16" s="17" cm="1">
        <f t="array" ref="D16">D11/D4</f>
        <v>0.364657520668359</v>
      </c>
      <c r="E16" s="17" cm="1">
        <f t="array" ref="E16">E11/E4</f>
        <v>0.368055847960761</v>
      </c>
      <c r="F16" s="17"/>
      <c r="G16" s="20"/>
      <c r="H16" s="17" cm="1">
        <f t="array" ref="H16">H11/H4</f>
        <v>0.185085994660158</v>
      </c>
      <c r="I16" s="17"/>
      <c r="J16" s="17" cm="1">
        <f t="array" ref="J16">J11/J4</f>
        <v>0.170330014780817</v>
      </c>
      <c r="K16" s="17" cm="1">
        <f t="array" ref="K16">K11/K4</f>
        <v>0.242921398087183</v>
      </c>
      <c r="L16" s="17" cm="1">
        <f t="array" ref="L16">L11/L4</f>
        <v>0.398286793003544</v>
      </c>
      <c r="M16" s="17" cm="1">
        <f t="array" ref="M16">M11/M4</f>
        <v>0.587259205657079</v>
      </c>
      <c r="N16" s="11"/>
      <c r="O16" s="11"/>
      <c r="P16" s="11"/>
      <c r="Q16" s="12"/>
    </row>
    <row r="17" ht="15.4" customHeight="1">
      <c r="A17" s="13"/>
      <c r="B17" s="11"/>
      <c r="C17" s="11"/>
      <c r="D17" s="11"/>
      <c r="E17" s="11"/>
      <c r="F17" s="20"/>
      <c r="G17" s="20"/>
      <c r="H17" s="11"/>
      <c r="I17" s="20"/>
      <c r="J17" s="11"/>
      <c r="K17" s="28"/>
      <c r="L17" s="28"/>
      <c r="M17" s="11"/>
      <c r="N17" s="11"/>
      <c r="O17" s="11"/>
      <c r="P17" s="11"/>
      <c r="Q17" s="12"/>
    </row>
    <row r="18" ht="17.85" customHeight="1">
      <c r="A18" t="s" s="7">
        <v>13</v>
      </c>
      <c r="B18" s="11"/>
      <c r="C18" s="11"/>
      <c r="D18" s="9" cm="1">
        <f t="array" ref="D18">SUM(D19:D21)</f>
        <v>0</v>
      </c>
      <c r="E18" s="9" cm="1">
        <f t="array" ref="E18">SUM(E19:E21)</f>
        <v>0</v>
      </c>
      <c r="F18" s="10"/>
      <c r="G18" s="10"/>
      <c r="H18" s="9" cm="1">
        <f t="array" ref="H18">SUM(H19:H21)</f>
        <v>-18937686</v>
      </c>
      <c r="I18" s="10"/>
      <c r="J18" s="9" cm="1">
        <f t="array" ref="J18">SUM(J19:J21)</f>
        <v>-4594422</v>
      </c>
      <c r="K18" s="9" cm="1">
        <f t="array" ref="K18">K19+K20</f>
        <v>-47383267.26</v>
      </c>
      <c r="L18" s="9" cm="1">
        <f t="array" ref="L18">L19+L20</f>
        <v>-4931890</v>
      </c>
      <c r="M18" s="9" cm="1">
        <f t="array" ref="M18">M19+M20</f>
        <v>-18940560</v>
      </c>
      <c r="N18" s="11"/>
      <c r="O18" s="11"/>
      <c r="P18" s="11"/>
      <c r="Q18" s="12"/>
    </row>
    <row r="19" ht="15.4" customHeight="1">
      <c r="A19" s="13"/>
      <c r="B19" t="s" s="36">
        <v>14</v>
      </c>
      <c r="C19" s="11"/>
      <c r="D19" s="11"/>
      <c r="E19" s="11"/>
      <c r="F19" s="20"/>
      <c r="G19" s="20"/>
      <c r="H19" s="16">
        <v>-18937686</v>
      </c>
      <c r="I19" s="17"/>
      <c r="J19" s="16">
        <v>-4594422</v>
      </c>
      <c r="K19" s="18" cm="1">
        <f t="array" ref="K19">-45421817.26-1961450</f>
        <v>-47383267.26</v>
      </c>
      <c r="L19" s="18" cm="1">
        <f t="array" ref="L19">-2231890-2700000</f>
        <v>-4931890</v>
      </c>
      <c r="M19" s="37"/>
      <c r="N19" s="11"/>
      <c r="O19" s="11"/>
      <c r="P19" s="11"/>
      <c r="Q19" s="12"/>
    </row>
    <row r="20" ht="15.4" customHeight="1">
      <c r="A20" s="13"/>
      <c r="B20" t="s" s="38">
        <v>15</v>
      </c>
      <c r="C20" s="11"/>
      <c r="D20" s="11"/>
      <c r="E20" s="11"/>
      <c r="F20" s="20"/>
      <c r="G20" s="20"/>
      <c r="H20" s="16"/>
      <c r="I20" s="17"/>
      <c r="J20" s="16"/>
      <c r="K20" s="18"/>
      <c r="L20" s="18"/>
      <c r="M20" s="18" cm="1">
        <f t="array" ref="M20">-18940560</f>
        <v>-18940560</v>
      </c>
      <c r="N20" s="11"/>
      <c r="O20" s="11"/>
      <c r="P20" s="11"/>
      <c r="Q20" s="12"/>
    </row>
    <row r="21" ht="15.4" customHeight="1">
      <c r="A21" s="13"/>
      <c r="B21" s="36"/>
      <c r="C21" s="11"/>
      <c r="D21" s="11"/>
      <c r="E21" s="11"/>
      <c r="F21" s="20"/>
      <c r="G21" s="20"/>
      <c r="H21" s="16"/>
      <c r="I21" s="17"/>
      <c r="J21" s="16"/>
      <c r="K21" s="18"/>
      <c r="L21" s="18"/>
      <c r="M21" s="11"/>
      <c r="N21" s="11"/>
      <c r="O21" s="11"/>
      <c r="P21" s="11"/>
      <c r="Q21" s="12"/>
    </row>
    <row r="22" ht="15.4" customHeight="1">
      <c r="A22" s="13"/>
      <c r="B22" s="39"/>
      <c r="C22" s="11"/>
      <c r="D22" s="11"/>
      <c r="E22" s="11"/>
      <c r="F22" s="20"/>
      <c r="G22" s="20"/>
      <c r="H22" s="16"/>
      <c r="I22" s="17"/>
      <c r="J22" s="11"/>
      <c r="K22" s="18"/>
      <c r="L22" s="18"/>
      <c r="M22" s="11"/>
      <c r="N22" s="11"/>
      <c r="O22" s="11"/>
      <c r="P22" s="11"/>
      <c r="Q22" s="12"/>
    </row>
    <row r="23" ht="18.95" customHeight="1">
      <c r="A23" t="s" s="7">
        <v>16</v>
      </c>
      <c r="B23" s="11"/>
      <c r="C23" s="11"/>
      <c r="D23" s="9" cm="1">
        <f t="array" ref="D23">D30+D25</f>
        <v>-65010279.75</v>
      </c>
      <c r="E23" s="9" cm="1">
        <f t="array" ref="E23">E30+E25</f>
        <v>-73351566.978</v>
      </c>
      <c r="F23" s="10"/>
      <c r="G23" s="10"/>
      <c r="H23" s="9" cm="1">
        <f t="array" ref="H23">H30+H25</f>
        <v>-74041340.962</v>
      </c>
      <c r="I23" s="10"/>
      <c r="J23" s="9" cm="1">
        <f t="array" ref="J23">J30+J25</f>
        <v>-66903771.9666667</v>
      </c>
      <c r="K23" s="9" cm="1">
        <f t="array" ref="K23">K30+K25</f>
        <v>-64776009.97</v>
      </c>
      <c r="L23" s="9" cm="1">
        <f t="array" ref="L23">L30+L25</f>
        <v>-46569577</v>
      </c>
      <c r="M23" s="9" cm="1">
        <f t="array" ref="M23">M30+M25</f>
        <v>-50075504.5</v>
      </c>
      <c r="N23" s="11"/>
      <c r="O23" s="11"/>
      <c r="P23" s="11"/>
      <c r="Q23" s="12"/>
    </row>
    <row r="24" ht="15.4" customHeight="1">
      <c r="A24" s="13"/>
      <c r="B24" s="15"/>
      <c r="C24" s="15"/>
      <c r="D24" s="16"/>
      <c r="E24" s="16"/>
      <c r="F24" s="17"/>
      <c r="G24" s="17"/>
      <c r="H24" s="16"/>
      <c r="I24" s="17"/>
      <c r="J24" s="16"/>
      <c r="K24" s="18"/>
      <c r="L24" s="18"/>
      <c r="M24" s="11"/>
      <c r="N24" s="11"/>
      <c r="O24" s="11"/>
      <c r="P24" s="11"/>
      <c r="Q24" s="12"/>
    </row>
    <row r="25" ht="15.4" customHeight="1">
      <c r="A25" s="13"/>
      <c r="B25" t="s" s="14">
        <v>17</v>
      </c>
      <c r="C25" s="15"/>
      <c r="D25" s="16" cm="1">
        <f t="array" ref="D25">SUM(D26:D27)</f>
        <v>-27201783</v>
      </c>
      <c r="E25" s="16" cm="1">
        <f t="array" ref="E25">SUM(E26:E27)</f>
        <v>-40965114.464</v>
      </c>
      <c r="F25" s="17"/>
      <c r="G25" s="17"/>
      <c r="H25" s="16" cm="1">
        <f t="array" ref="H25">SUM(H26:H27)</f>
        <v>-38227395.26</v>
      </c>
      <c r="I25" s="17"/>
      <c r="J25" s="16" cm="1">
        <f t="array" ref="J25">SUM(J26:J27)</f>
        <v>-30765336.86</v>
      </c>
      <c r="K25" s="18" cm="1">
        <f t="array" ref="K25">SUM(K26:K29)</f>
        <v>-26139342.29</v>
      </c>
      <c r="L25" s="18" cm="1">
        <f t="array" ref="L25">SUM(L26:L29)</f>
        <v>-24616991</v>
      </c>
      <c r="M25" s="18" cm="1">
        <f t="array" ref="M25">SUM(M26:M29)</f>
        <v>-28828284</v>
      </c>
      <c r="N25" s="11"/>
      <c r="O25" s="11"/>
      <c r="P25" s="11"/>
      <c r="Q25" s="12"/>
    </row>
    <row r="26" ht="15.4" customHeight="1">
      <c r="A26" s="13"/>
      <c r="B26" s="25"/>
      <c r="C26" t="s" s="40">
        <v>18</v>
      </c>
      <c r="D26" s="27">
        <v>-27201783</v>
      </c>
      <c r="E26" s="27">
        <v>-32038053</v>
      </c>
      <c r="F26" s="20"/>
      <c r="G26" s="20"/>
      <c r="H26" s="27">
        <v>-28329590.86</v>
      </c>
      <c r="I26" s="27"/>
      <c r="J26" s="27">
        <v>-22128753.586</v>
      </c>
      <c r="K26" s="27" cm="1">
        <f t="array" ref="K26">-16407293.43-92990</f>
        <v>-16500283.43</v>
      </c>
      <c r="L26" s="27" cm="1">
        <f t="array" ref="L26">-16194405</f>
        <v>-16194405</v>
      </c>
      <c r="M26" s="27" cm="1">
        <f t="array" ref="M26">-16194405</f>
        <v>-16194405</v>
      </c>
      <c r="N26" s="11"/>
      <c r="O26" s="11"/>
      <c r="P26" s="11"/>
      <c r="Q26" s="12"/>
    </row>
    <row r="27" ht="15.4" customHeight="1">
      <c r="A27" s="13"/>
      <c r="B27" s="11"/>
      <c r="C27" t="s" s="40">
        <v>19</v>
      </c>
      <c r="D27" s="11"/>
      <c r="E27" s="27">
        <v>-8927061.464</v>
      </c>
      <c r="F27" s="20"/>
      <c r="G27" s="20"/>
      <c r="H27" s="27">
        <v>-9897804.4</v>
      </c>
      <c r="I27" s="27"/>
      <c r="J27" s="27">
        <v>-8636583.274</v>
      </c>
      <c r="K27" s="27" cm="1">
        <f t="array" ref="K27">-9639058.86</f>
        <v>-9639058.859999999</v>
      </c>
      <c r="L27" s="27" cm="1">
        <f t="array" ref="L27">-8422586</f>
        <v>-8422586</v>
      </c>
      <c r="M27" s="27">
        <v>-12633879</v>
      </c>
      <c r="N27" s="11"/>
      <c r="O27" s="11"/>
      <c r="P27" s="11"/>
      <c r="Q27" s="12"/>
    </row>
    <row r="28" ht="15.4" customHeight="1">
      <c r="A28" s="13"/>
      <c r="B28" s="11"/>
      <c r="C28" t="s" s="40">
        <v>20</v>
      </c>
      <c r="D28" s="11"/>
      <c r="E28" s="33"/>
      <c r="F28" s="20"/>
      <c r="G28" s="20"/>
      <c r="H28" s="33"/>
      <c r="I28" s="20"/>
      <c r="J28" s="33"/>
      <c r="K28" s="28"/>
      <c r="L28" s="28"/>
      <c r="M28" s="28"/>
      <c r="N28" s="11"/>
      <c r="O28" s="11"/>
      <c r="P28" s="11"/>
      <c r="Q28" s="12"/>
    </row>
    <row r="29" ht="15.4" customHeight="1">
      <c r="A29" s="13"/>
      <c r="B29" s="11"/>
      <c r="C29" s="11"/>
      <c r="D29" s="11"/>
      <c r="E29" s="11"/>
      <c r="F29" s="20"/>
      <c r="G29" s="20"/>
      <c r="H29" s="11"/>
      <c r="I29" s="20"/>
      <c r="J29" s="11"/>
      <c r="K29" s="28"/>
      <c r="L29" s="28"/>
      <c r="M29" s="28"/>
      <c r="N29" s="11"/>
      <c r="O29" s="11"/>
      <c r="P29" s="11"/>
      <c r="Q29" s="12"/>
    </row>
    <row r="30" ht="15.4" customHeight="1">
      <c r="A30" s="41"/>
      <c r="B30" t="s" s="14">
        <v>21</v>
      </c>
      <c r="C30" s="15"/>
      <c r="D30" s="16" cm="1">
        <f t="array" ref="D30">SUM(D31:D38)</f>
        <v>-37808496.75</v>
      </c>
      <c r="E30" s="16" cm="1">
        <f t="array" ref="E30">SUM(E31:E38)</f>
        <v>-32386452.514</v>
      </c>
      <c r="F30" s="17"/>
      <c r="G30" s="17"/>
      <c r="H30" s="16" cm="1">
        <f t="array" ref="H30">SUM(H31:H38)</f>
        <v>-35813945.702</v>
      </c>
      <c r="I30" s="17"/>
      <c r="J30" s="16" cm="1">
        <f t="array" ref="J30">SUM(J31:J38)</f>
        <v>-36138435.1066667</v>
      </c>
      <c r="K30" s="18" cm="1">
        <f t="array" ref="K30">SUM(K31:K39)</f>
        <v>-38636667.68</v>
      </c>
      <c r="L30" s="18" cm="1">
        <f t="array" ref="L30">SUM(L31:L39)</f>
        <v>-21952586</v>
      </c>
      <c r="M30" s="18" cm="1">
        <f t="array" ref="M30">SUM(M31:M39)</f>
        <v>-21247220.5</v>
      </c>
      <c r="N30" s="11"/>
      <c r="O30" s="11"/>
      <c r="P30" s="11"/>
      <c r="Q30" s="12"/>
    </row>
    <row r="31" ht="15.4" customHeight="1">
      <c r="A31" s="42"/>
      <c r="B31" s="25"/>
      <c r="C31" t="s" s="40">
        <v>22</v>
      </c>
      <c r="D31" s="27">
        <v>-920274.65</v>
      </c>
      <c r="E31" s="27">
        <v>-964071</v>
      </c>
      <c r="F31" s="20"/>
      <c r="G31" s="20"/>
      <c r="H31" s="33">
        <v>-1009921.55</v>
      </c>
      <c r="I31" s="20"/>
      <c r="J31" s="33">
        <v>-1197308.65333333</v>
      </c>
      <c r="K31" s="28">
        <v>-1141672</v>
      </c>
      <c r="L31" s="28" cm="1">
        <f t="array" ref="L31">-1220000</f>
        <v>-1220000</v>
      </c>
      <c r="M31" s="28" cm="1">
        <f t="array" ref="M31">L31*1.1</f>
        <v>-1342000</v>
      </c>
      <c r="N31" s="11"/>
      <c r="O31" s="11"/>
      <c r="P31" s="11"/>
      <c r="Q31" s="12"/>
    </row>
    <row r="32" ht="15.4" customHeight="1">
      <c r="A32" s="41"/>
      <c r="B32" s="25"/>
      <c r="C32" t="s" s="40">
        <v>23</v>
      </c>
      <c r="D32" s="27">
        <v>-17540903.74</v>
      </c>
      <c r="E32" s="27">
        <v>-15642631</v>
      </c>
      <c r="F32" s="20"/>
      <c r="G32" s="20"/>
      <c r="H32" s="33">
        <v>-13102922.22</v>
      </c>
      <c r="I32" s="20"/>
      <c r="J32" s="33">
        <v>-14087465.032</v>
      </c>
      <c r="K32" s="28" cm="1">
        <f t="array" ref="K32">-7430350.92-6415672</f>
        <v>-13846022.92</v>
      </c>
      <c r="L32" s="28" cm="1">
        <f t="array" ref="L32">-10544000</f>
        <v>-10544000</v>
      </c>
      <c r="M32" s="28" cm="1">
        <f t="array" ref="M32">L32*1.1</f>
        <v>-11598400</v>
      </c>
      <c r="N32" s="11"/>
      <c r="O32" s="11"/>
      <c r="P32" s="11"/>
      <c r="Q32" s="12"/>
    </row>
    <row r="33" ht="15.4" customHeight="1">
      <c r="A33" s="13"/>
      <c r="B33" s="25"/>
      <c r="C33" t="s" s="40">
        <v>24</v>
      </c>
      <c r="D33" s="27">
        <v>-1824867.96</v>
      </c>
      <c r="E33" s="27">
        <v>-1809196</v>
      </c>
      <c r="F33" s="20"/>
      <c r="G33" s="20"/>
      <c r="H33" s="33">
        <v>-2122270.78</v>
      </c>
      <c r="I33" s="20"/>
      <c r="J33" s="33">
        <v>-1920169.62733333</v>
      </c>
      <c r="K33" s="28">
        <v>-1061188</v>
      </c>
      <c r="L33" s="28">
        <v>-852857</v>
      </c>
      <c r="M33" s="28" cm="1">
        <f t="array" ref="M33">L33*1.1</f>
        <v>-938142.7</v>
      </c>
      <c r="N33" s="11"/>
      <c r="O33" s="11"/>
      <c r="P33" s="11"/>
      <c r="Q33" s="12"/>
    </row>
    <row r="34" ht="15.4" customHeight="1">
      <c r="A34" s="13"/>
      <c r="B34" s="25"/>
      <c r="C34" t="s" s="40">
        <v>25</v>
      </c>
      <c r="D34" s="27">
        <v>-3321000</v>
      </c>
      <c r="E34" s="27">
        <v>-2634363</v>
      </c>
      <c r="F34" s="20"/>
      <c r="G34" s="20"/>
      <c r="H34" s="33">
        <v>-1452894</v>
      </c>
      <c r="I34" s="20"/>
      <c r="J34" s="33">
        <v>-2919456.756</v>
      </c>
      <c r="K34" s="28">
        <v>-3277617.29</v>
      </c>
      <c r="L34" s="28">
        <v>-67690</v>
      </c>
      <c r="M34" s="28" cm="1">
        <f t="array" ref="M34">L34*1.1</f>
        <v>-74459</v>
      </c>
      <c r="N34" s="11"/>
      <c r="O34" s="11"/>
      <c r="P34" s="11"/>
      <c r="Q34" s="12"/>
    </row>
    <row r="35" ht="15.4" customHeight="1">
      <c r="A35" s="13"/>
      <c r="B35" s="25"/>
      <c r="C35" t="s" s="40">
        <v>26</v>
      </c>
      <c r="D35" s="27">
        <v>-2838835</v>
      </c>
      <c r="E35" s="27">
        <v>3256578.486</v>
      </c>
      <c r="F35" s="20"/>
      <c r="G35" s="20"/>
      <c r="H35" s="33">
        <v>-2978681.482</v>
      </c>
      <c r="I35" s="20"/>
      <c r="J35" s="33">
        <v>-417184</v>
      </c>
      <c r="K35" s="28">
        <v>-8805</v>
      </c>
      <c r="L35" s="28">
        <v>0</v>
      </c>
      <c r="M35" s="28" cm="1">
        <f t="array" ref="M35">L35*1.1</f>
        <v>0</v>
      </c>
      <c r="N35" s="11"/>
      <c r="O35" s="11"/>
      <c r="P35" s="11"/>
      <c r="Q35" s="12"/>
    </row>
    <row r="36" ht="15.4" customHeight="1">
      <c r="A36" s="13"/>
      <c r="B36" s="25"/>
      <c r="C36" t="s" s="40">
        <v>27</v>
      </c>
      <c r="D36" s="27">
        <v>-232884</v>
      </c>
      <c r="E36" s="27">
        <v>-180000</v>
      </c>
      <c r="F36" s="20"/>
      <c r="G36" s="20"/>
      <c r="H36" s="33">
        <v>-451875.8</v>
      </c>
      <c r="I36" s="20"/>
      <c r="J36" s="33">
        <v>-1966512.5</v>
      </c>
      <c r="K36" s="28">
        <v>-1180600</v>
      </c>
      <c r="L36" s="28" cm="1">
        <f t="array" ref="L36">-2636931</f>
        <v>-2636931</v>
      </c>
      <c r="M36" s="28">
        <v>0</v>
      </c>
      <c r="N36" s="11"/>
      <c r="O36" s="11"/>
      <c r="P36" s="11"/>
      <c r="Q36" s="12"/>
    </row>
    <row r="37" ht="15.4" customHeight="1">
      <c r="A37" s="13"/>
      <c r="B37" s="25"/>
      <c r="C37" t="s" s="40">
        <v>28</v>
      </c>
      <c r="D37" s="27">
        <v>-11129731.4</v>
      </c>
      <c r="E37" s="27">
        <v>-14412770</v>
      </c>
      <c r="F37" s="20"/>
      <c r="G37" s="20"/>
      <c r="H37" s="33">
        <v>-14695379.87</v>
      </c>
      <c r="I37" s="20"/>
      <c r="J37" s="33">
        <v>-13630338.538</v>
      </c>
      <c r="K37" s="28">
        <v>-13184474.98</v>
      </c>
      <c r="L37" s="28">
        <v>-6631108</v>
      </c>
      <c r="M37" s="28" cm="1">
        <f t="array" ref="M37">L37*1.1</f>
        <v>-7294218.8</v>
      </c>
      <c r="N37" s="11"/>
      <c r="O37" s="11"/>
      <c r="P37" s="11"/>
      <c r="Q37" s="12"/>
    </row>
    <row r="38" ht="15.4" customHeight="1">
      <c r="A38" s="13"/>
      <c r="B38" s="25"/>
      <c r="C38" t="s" s="40">
        <v>29</v>
      </c>
      <c r="D38" s="27"/>
      <c r="E38" s="27"/>
      <c r="F38" s="20"/>
      <c r="G38" s="20"/>
      <c r="H38" s="33"/>
      <c r="I38" s="20"/>
      <c r="J38" s="11"/>
      <c r="K38" s="28" cm="1">
        <f t="array" ref="K38">-809215-4127072.49</f>
        <v>-4936287.49</v>
      </c>
      <c r="L38" s="28"/>
      <c r="M38" s="28"/>
      <c r="N38" s="11"/>
      <c r="O38" s="11"/>
      <c r="P38" s="11"/>
      <c r="Q38" s="12"/>
    </row>
    <row r="39" ht="15.4" customHeight="1">
      <c r="A39" s="13"/>
      <c r="B39" s="25"/>
      <c r="C39" s="40"/>
      <c r="D39" s="27"/>
      <c r="E39" s="27"/>
      <c r="F39" s="20"/>
      <c r="G39" s="20"/>
      <c r="H39" s="33"/>
      <c r="I39" s="20"/>
      <c r="J39" s="11"/>
      <c r="K39" s="28"/>
      <c r="L39" s="28"/>
      <c r="M39" s="11"/>
      <c r="N39" s="11"/>
      <c r="O39" s="11"/>
      <c r="P39" s="11"/>
      <c r="Q39" s="12"/>
    </row>
    <row r="40" ht="51.95" customHeight="1">
      <c r="A40" t="s" s="7">
        <v>30</v>
      </c>
      <c r="B40" s="8"/>
      <c r="C40" s="8"/>
      <c r="D40" s="9" cm="1">
        <f t="array" ref="D40">D9+D23+D18</f>
        <v>36671255.690919</v>
      </c>
      <c r="E40" s="9" cm="1">
        <f t="array" ref="E40">E9+E23+E18</f>
        <v>64495436.94</v>
      </c>
      <c r="F40" s="20"/>
      <c r="G40" s="20"/>
      <c r="H40" s="9" cm="1">
        <f t="array" ref="H40">H9+H23+H18</f>
        <v>12972463.677333</v>
      </c>
      <c r="I40" s="20"/>
      <c r="J40" s="9" cm="1">
        <f t="array" ref="J40">J9+J23+J18</f>
        <v>25108053.6794289</v>
      </c>
      <c r="K40" s="9" cm="1">
        <f t="array" ref="K40">K9+K23+K18</f>
        <v>-45622556.68</v>
      </c>
      <c r="L40" s="9" cm="1">
        <f t="array" ref="L40">L9+L23+L18</f>
        <v>32141739</v>
      </c>
      <c r="M40" s="9" cm="1">
        <f t="array" ref="M40">M9+M23+M18</f>
        <v>57777947.64</v>
      </c>
      <c r="N40" s="11"/>
      <c r="O40" s="11"/>
      <c r="P40" s="11"/>
      <c r="Q40" s="12"/>
    </row>
    <row r="41" ht="18.95" customHeight="1">
      <c r="A41" t="s" s="7">
        <v>31</v>
      </c>
      <c r="B41" s="11"/>
      <c r="C41" s="11"/>
      <c r="D41" s="20" cm="1">
        <f t="array" ref="D41">D40/D2</f>
        <v>0.10102493337762</v>
      </c>
      <c r="E41" s="20" cm="1">
        <f t="array" ref="E41">E40/E2</f>
        <v>0.146139850617421</v>
      </c>
      <c r="F41" s="11"/>
      <c r="G41" s="11"/>
      <c r="H41" s="20" cm="1">
        <f t="array" ref="H41">H40/H2</f>
        <v>0.0366161631724482</v>
      </c>
      <c r="I41" s="11"/>
      <c r="J41" s="20" cm="1">
        <f t="array" ref="J41">J40/J2</f>
        <v>0.0690405331556302</v>
      </c>
      <c r="K41" s="20" cm="1">
        <f t="array" ref="K41">K40/K2</f>
        <v>-0.158025781497519</v>
      </c>
      <c r="L41" s="20" cm="1">
        <f t="array" ref="L41">L40/L2</f>
        <v>0.134660805040603</v>
      </c>
      <c r="M41" s="20" cm="1">
        <f t="array" ref="M41">M40/M2</f>
        <v>0.230312023775419</v>
      </c>
      <c r="N41" s="11"/>
      <c r="O41" s="11"/>
      <c r="P41" s="11"/>
      <c r="Q41" s="12"/>
    </row>
    <row r="42" ht="18.95" customHeight="1">
      <c r="A42" s="43"/>
      <c r="B42" s="44"/>
      <c r="C42" s="44"/>
      <c r="D42" s="44"/>
      <c r="E42" s="45"/>
      <c r="F42" s="44"/>
      <c r="G42" s="44"/>
      <c r="H42" s="44"/>
      <c r="I42" s="44"/>
      <c r="J42" s="44"/>
      <c r="K42" s="46"/>
      <c r="L42" s="46"/>
      <c r="M42" s="44"/>
      <c r="N42" s="44"/>
      <c r="O42" s="44"/>
      <c r="P42" s="44"/>
      <c r="Q42" s="47"/>
    </row>
  </sheetData>
  <mergeCells count="5">
    <mergeCell ref="B10:C10"/>
    <mergeCell ref="B15:C15"/>
    <mergeCell ref="B16:C16"/>
    <mergeCell ref="B11:C11"/>
    <mergeCell ref="B7:C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