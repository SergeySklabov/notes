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2.1 Объем проекта и работ" sheetId="1" state="visible" r:id="rId3"/>
    <sheet name="2.2 Функ. требования" sheetId="2" state="visible" r:id="rId4"/>
    <sheet name="2.3 Сайзинг" sheetId="3" state="visible" r:id="rId5"/>
    <sheet name="2.4 Требования к работам (ПНР)" sheetId="4" state="visible" r:id="rId6"/>
    <sheet name="2.5 Требования к интеграциям" sheetId="5" state="visible" r:id="rId7"/>
    <sheet name="2.6 Требования к ТП" sheetId="6" state="visible" r:id="rId8"/>
    <sheet name="2.7 Требования к Поставщику" sheetId="7" state="visible" r:id="rId9"/>
    <sheet name="2.8 СПРАВОЧНО_Конфигурации HW" sheetId="8" state="visible" r:id="rId10"/>
    <sheet name="2.9 Соответствие ГОСТ Р 56938" sheetId="9" state="visible" r:id="rId11"/>
  </sheets>
  <externalReferences>
    <externalReference r:id="rId12"/>
    <externalReference r:id="rId13"/>
    <externalReference r:id="rId14"/>
    <externalReference r:id="rId15"/>
  </externalReferences>
  <definedNames>
    <definedName function="false" hidden="false" name="A_Pack" vbProcedure="false">'[1]пр. 2.4 спецификация 85.5 ktps'!#ref!</definedName>
    <definedName function="false" hidden="false" name="EPDU_SI" vbProcedure="false">'[1]пр. 2.4 спецификация 85.5 ktps'!#ref!</definedName>
    <definedName function="false" hidden="false" name="Excel_BuiltIn_Print_Area_1" vbProcedure="false">#REF!</definedName>
    <definedName function="false" hidden="false" name="MDEpack" vbProcedure="false">'[1]пр. 2.4 спецификация 85.5 ktps'!#ref!</definedName>
    <definedName function="false" hidden="false" name="MGW_HW" vbProcedure="false">'[1]пр. 2.4 спецификация 85.5 ktps'!#ref!</definedName>
    <definedName function="false" hidden="false" name="MGW_SCC" vbProcedure="false">'[1]пр. 2.4 прайс на hw&amp;sw'!#ref!</definedName>
    <definedName function="false" hidden="false" name="MGW_SI" vbProcedure="false">'[1]пр. 2.4 спецификация 85.5 ktps'!#ref!</definedName>
    <definedName function="false" hidden="false" name="MGW_SW" vbProcedure="false">'[1]пр. 2.4 спецификация 85.5 ktps'!#ref!</definedName>
    <definedName function="false" hidden="false" name="MSC_HW" vbProcedure="false">'[1]пр. 2.4 спецификация 85.5 ktps'!#ref!</definedName>
    <definedName function="false" hidden="false" name="MSC_SCC" vbProcedure="false">'[1]пр. 2.4 прайс на hw&amp;sw'!#ref!</definedName>
    <definedName function="false" hidden="false" name="MSC_SI" vbProcedure="false">'[1]пр. 2.4 спецификация 85.5 ktps'!#ref!</definedName>
    <definedName function="false" hidden="false" name="MSC_SW" vbProcedure="false">'[2]пр. 2.4 спецификация 85.5 ktps'!#ref!</definedName>
    <definedName function="false" hidden="false" name="MSS_Delivery" vbProcedure="false">'[1]пр. 2.4 спецификация 85.5 ktps'!#ref!</definedName>
    <definedName function="false" hidden="false" name="MSS_DESIGN" vbProcedure="false">'[1]пр. 2.4 спецификация 85.5 ktps'!#ref!</definedName>
    <definedName function="false" hidden="false" name="MSS_Spares" vbProcedure="false">'[1]пр. 2.4 спецификация 85.5 ktps'!#ref!</definedName>
    <definedName function="false" hidden="false" name="OSS_3PP" vbProcedure="false">'[1]пр. 2.4 прайс на hw&amp;sw'!#ref!</definedName>
    <definedName function="false" hidden="false" name="OSS_HW" vbProcedure="false">'[1]пр. 2.4 спецификация 85.5 ktps'!#ref!</definedName>
    <definedName function="false" hidden="false" name="OSS_SCC" vbProcedure="false">#REF!</definedName>
    <definedName function="false" hidden="false" name="OSS_SI" vbProcedure="false">'[1]пр. 2.4 прайс на hw&amp;sw'!#ref!</definedName>
    <definedName function="false" hidden="false" name="QF_SYS_NOT_TRADE_DESC1" vbProcedure="false">[3]Parameters!$E$36</definedName>
    <definedName function="false" hidden="false" name="QF_SYS_TRADE_DESC1" vbProcedure="false">[3]Parameters!$E$35</definedName>
    <definedName function="false" hidden="false" name="RUR_USD" vbProcedure="false">'[2]пр. 2.4 tco - 85.5&amp;670 ktps '!#ref!</definedName>
    <definedName function="false" hidden="false" name="SORM_HW" vbProcedure="false">'[1]пр. 2.4 спецификация 85.5 ktps'!#ref!</definedName>
    <definedName function="false" hidden="false" name="SORM_SI" vbProcedure="false">'[1]пр. 2.4 спецификация 85.5 ktps'!#ref!</definedName>
    <definedName function="false" hidden="false" name="xVLR" vbProcedure="false">'[1]пр. 2.4 спецификация 85.5 ktps'!#ref!</definedName>
    <definedName function="false" hidden="false" name="выбор" vbProcedure="false">'[6]2.3. Функциональные требования'!$J$12:$J$14</definedName>
    <definedName function="false" hidden="false" name="Инструкция" vbProcedure="false">'[7]пр_4_спецификации и трафик'!#ref!</definedName>
    <definedName function="false" hidden="false" name="Кол_во_ядер_на_1_CPU" vbProcedure="false">#REF!</definedName>
    <definedName function="false" hidden="false" name="Мониторинг" vbProcedure="false">OFFSET(#REF!,0,0,COUNTA(#REF!),1)</definedName>
    <definedName function="false" hidden="false" name="Назначение" vbProcedure="false">#REF!</definedName>
    <definedName function="false" hidden="false" name="Операционная_система" vbProcedure="false">#REF!</definedName>
    <definedName function="false" hidden="false" name="Площадка" vbProcedure="false">#REF!</definedName>
    <definedName function="false" hidden="false" name="покрытие" vbProcedure="false">#REF!</definedName>
    <definedName function="false" hidden="false" name="Резервное_копирование" vbProcedure="false">OFFSET(#REF!,0,0,COUNTA(#REF!),1)</definedName>
    <definedName function="false" hidden="false" name="СУБД" vbProcedure="false">#REF!</definedName>
    <definedName function="false" hidden="false" name="Тип_дисков" vbProcedure="false">#REF!</definedName>
    <definedName function="false" hidden="false" name="Тип_сервера" vbProcedure="false">#REF!</definedName>
    <definedName function="false" hidden="false" name="Филиал" vbProcedure="false">#REF!</definedName>
    <definedName function="false" hidden="false" name="Цу" vbProcedure="false">#REF!</definedName>
    <definedName function="false" hidden="false" localSheetId="0" name="A_Pack" vbProcedure="false">'[1]пр. 2.4 спецификация 85.5 ktps'!#ref!</definedName>
    <definedName function="false" hidden="false" localSheetId="0" name="EPDU_SI" vbProcedure="false">'[1]пр. 2.4 спецификация 85.5 ktps'!#ref!</definedName>
    <definedName function="false" hidden="false" localSheetId="0" name="Excel_BuiltIn_Print_Area_1" vbProcedure="false">#REF!</definedName>
    <definedName function="false" hidden="false" localSheetId="0" name="MDEpack" vbProcedure="false">'[1]пр. 2.4 спецификация 85.5 ktps'!#ref!</definedName>
    <definedName function="false" hidden="false" localSheetId="0" name="MGW_HW" vbProcedure="false">'[1]пр. 2.4 спецификация 85.5 ktps'!#ref!</definedName>
    <definedName function="false" hidden="false" localSheetId="0" name="MGW_SCC" vbProcedure="false">'[1]пр. 2.4 прайс на hw&amp;sw'!#ref!</definedName>
    <definedName function="false" hidden="false" localSheetId="0" name="MGW_SI" vbProcedure="false">'[1]пр. 2.4 спецификация 85.5 ktps'!#ref!</definedName>
    <definedName function="false" hidden="false" localSheetId="0" name="MGW_SW" vbProcedure="false">'[1]пр. 2.4 спецификация 85.5 ktps'!#ref!</definedName>
    <definedName function="false" hidden="false" localSheetId="0" name="OSS_SCC" vbProcedure="false">#REF!</definedName>
    <definedName function="false" hidden="false" localSheetId="0" name="OSS_SI" vbProcedure="false">'[1]пр. 2.4 прайс на hw&amp;sw'!#ref!</definedName>
    <definedName function="false" hidden="false" localSheetId="0" name="RUR_USD" vbProcedure="false">'[2]пр. 2.4 tco - 85.5&amp;670 ktps '!#ref!</definedName>
    <definedName function="false" hidden="false" localSheetId="0" name="SORM_HW" vbProcedure="false">'[1]пр. 2.4 спецификация 85.5 ktps'!#ref!</definedName>
    <definedName function="false" hidden="false" localSheetId="0" name="SORM_SI" vbProcedure="false">'[1]пр. 2.4 спецификация 85.5 ktps'!#ref!</definedName>
    <definedName function="false" hidden="false" localSheetId="0" name="xVLR" vbProcedure="false">'[1]пр. 2.4 спецификация 85.5 ktps'!#ref!</definedName>
    <definedName function="false" hidden="false" localSheetId="0" name="выбор" vbProcedure="false">'[4]2.3. Функциональные требования'!$J$12:$J$14</definedName>
    <definedName function="false" hidden="false" localSheetId="0" name="Инструкция" vbProcedure="false">'[7]пр_4_спецификации и трафик'!#ref!</definedName>
    <definedName function="false" hidden="false" localSheetId="2" name="A_Pack" vbProcedure="false">'[1]пр. 2.4 спецификация 85.5 ktps'!#ref!</definedName>
    <definedName function="false" hidden="false" localSheetId="2" name="EPDU_SI" vbProcedure="false">'[1]пр. 2.4 спецификация 85.5 ktps'!#ref!</definedName>
    <definedName function="false" hidden="false" localSheetId="2" name="Excel_BuiltIn_Print_Area_1" vbProcedure="false">#REF!</definedName>
    <definedName function="false" hidden="false" localSheetId="2" name="MDEpack" vbProcedure="false">'[1]пр. 2.4 спецификация 85.5 ktps'!#ref!</definedName>
    <definedName function="false" hidden="false" localSheetId="2" name="MGW_HW" vbProcedure="false">'[1]пр. 2.4 спецификация 85.5 ktps'!#ref!</definedName>
    <definedName function="false" hidden="false" localSheetId="2" name="OSS_SCC" vbProcedure="false">#REF!</definedName>
    <definedName function="false" hidden="false" localSheetId="2" name="OSS_SI" vbProcedure="false">'[1]пр. 2.4 прайс на hw&amp;sw'!#ref!</definedName>
    <definedName function="false" hidden="false" localSheetId="2" name="RUR_USD" vbProcedure="false">'[2]пр. 2.4 tco - 85.5&amp;670 ktps '!#ref!</definedName>
    <definedName function="false" hidden="false" localSheetId="2" name="SORM_HW" vbProcedure="false">'[1]пр. 2.4 спецификация 85.5 ktps'!#ref!</definedName>
    <definedName function="false" hidden="false" localSheetId="2" name="Инструкция" vbProcedure="false">'[7]пр_4_спецификации и трафик'!#ref!</definedName>
    <definedName function="false" hidden="false" localSheetId="2" name="Кол_во_ядер_на_1_CPU" vbProcedure="false">#REF!</definedName>
    <definedName function="false" hidden="false" localSheetId="2" name="Мониторинг" vbProcedure="false">OFFSET(#REF!,0,0,COUNTA(#REF!),1)</definedName>
    <definedName function="false" hidden="false" localSheetId="2" name="Назначение" vbProcedure="false">#REF!</definedName>
    <definedName function="false" hidden="false" localSheetId="2" name="Операционная_система" vbProcedure="false">#REF!</definedName>
    <definedName function="false" hidden="false" localSheetId="2" name="Площадка" vbProcedure="false">#REF!</definedName>
    <definedName function="false" hidden="false" localSheetId="2" name="покрытие" vbProcedure="false">#REF!</definedName>
    <definedName function="false" hidden="false" localSheetId="2" name="Резервное_копирование" vbProcedure="false">OFFSET(#REF!,0,0,COUNTA(#REF!),1)</definedName>
    <definedName function="false" hidden="false" localSheetId="2" name="СУБД" vbProcedure="false">#REF!</definedName>
    <definedName function="false" hidden="false" localSheetId="2" name="Тип_дисков" vbProcedure="false">#REF!</definedName>
    <definedName function="false" hidden="false" localSheetId="2" name="Тип_сервера" vbProcedure="false">#REF!</definedName>
    <definedName function="false" hidden="false" localSheetId="2" name="Филиал" vbProcedure="false">#REF!</definedName>
    <definedName function="false" hidden="false" localSheetId="3" name="A_Pack" vbProcedure="false">'[1]пр. 2.4 спецификация 85.5 ktps'!#ref!</definedName>
    <definedName function="false" hidden="false" localSheetId="3" name="Excel_BuiltIn_Print_Area_1" vbProcedure="false">#REF!</definedName>
    <definedName function="false" hidden="false" localSheetId="3" name="MDEpack" vbProcedure="false">'[1]пр. 2.4 спецификация 85.5 ktps'!#ref!</definedName>
    <definedName function="false" hidden="false" localSheetId="3" name="OSS_SCC" vbProcedure="false">#REF!</definedName>
    <definedName function="false" hidden="false" localSheetId="3" name="OSS_SI" vbProcedure="false">'[1]пр. 2.4 прайс на hw&amp;sw'!#ref!</definedName>
    <definedName function="false" hidden="false" localSheetId="3" name="RUR_USD" vbProcedure="false">'[2]пр. 2.4 tco - 85.5&amp;670 ktps '!#ref!</definedName>
    <definedName function="false" hidden="false" localSheetId="3" name="SORM_HW" vbProcedure="false">'[1]пр. 2.4 спецификация 85.5 ktps'!#ref!</definedName>
    <definedName function="false" hidden="false" localSheetId="3" name="выбор" vbProcedure="false">'[5]2.3. Функциональные требования'!$J$12:$J$14</definedName>
    <definedName function="false" hidden="false" localSheetId="3" name="Инструкция" vbProcedure="false">'[7]пр_4_спецификации и трафик'!#ref!</definedName>
    <definedName function="false" hidden="false" localSheetId="3" name="Кол_во_ядер_на_1_CPU" vbProcedure="false">#REF!</definedName>
    <definedName function="false" hidden="false" localSheetId="3" name="Мониторинг" vbProcedure="false">OFFSET(#REF!,0,0,COUNTA(#REF!),1)</definedName>
    <definedName function="false" hidden="false" localSheetId="3" name="Назначение" vbProcedure="false">#REF!</definedName>
    <definedName function="false" hidden="false" localSheetId="3" name="Операционная_система" vbProcedure="false">#REF!</definedName>
    <definedName function="false" hidden="false" localSheetId="3" name="Площадка" vbProcedure="false">#REF!</definedName>
    <definedName function="false" hidden="false" localSheetId="3" name="Резервное_копирование" vbProcedure="false">OFFSET(#REF!,0,0,COUNTA(#REF!),1)</definedName>
    <definedName function="false" hidden="false" localSheetId="3" name="СУБД" vbProcedure="false">#REF!</definedName>
    <definedName function="false" hidden="false" localSheetId="3" name="Тип_дисков" vbProcedure="false">#REF!</definedName>
    <definedName function="false" hidden="false" localSheetId="3" name="Тип_сервера" vbProcedure="false">#REF!</definedName>
    <definedName function="false" hidden="false" localSheetId="5" name="A_Pack" vbProcedure="false">'[1]пр. 2.4 спецификация 85.5 ktps'!#ref!</definedName>
    <definedName function="false" hidden="false" localSheetId="5" name="Excel_BuiltIn_Print_Area_1" vbProcedure="false">#REF!</definedName>
    <definedName function="false" hidden="false" localSheetId="5" name="MDEpack" vbProcedure="false">'[1]пр. 2.4 спецификация 85.5 ktps'!#ref!</definedName>
    <definedName function="false" hidden="false" localSheetId="5" name="OSS_SCC" vbProcedure="false">#REF!</definedName>
    <definedName function="false" hidden="false" localSheetId="5" name="OSS_SI" vbProcedure="false">'[1]пр. 2.4 прайс на hw&amp;sw'!#ref!</definedName>
    <definedName function="false" hidden="false" localSheetId="5" name="RUR_USD" vbProcedure="false">'[2]пр. 2.4 tco - 85.5&amp;670 ktps '!#ref!</definedName>
    <definedName function="false" hidden="false" localSheetId="5" name="SORM_HW" vbProcedure="false">'[1]пр. 2.4 спецификация 85.5 ktps'!#ref!</definedName>
    <definedName function="false" hidden="false" localSheetId="5" name="Инструкция" vbProcedure="false">'[7]пр_4_спецификации и трафик'!#ref!</definedName>
    <definedName function="false" hidden="false" localSheetId="5" name="Кол_во_ядер_на_1_CPU" vbProcedure="false">#REF!</definedName>
    <definedName function="false" hidden="false" localSheetId="5" name="Мониторинг" vbProcedure="false">OFFSET(#REF!,0,0,COUNTA(#REF!),1)</definedName>
    <definedName function="false" hidden="false" localSheetId="5" name="Назначение" vbProcedure="false">#REF!</definedName>
    <definedName function="false" hidden="false" localSheetId="5" name="Операционная_система" vbProcedure="false">#REF!</definedName>
    <definedName function="false" hidden="false" localSheetId="5" name="Площадка" vbProcedure="false">#REF!</definedName>
    <definedName function="false" hidden="false" localSheetId="5" name="Резервное_копирование" vbProcedure="false">OFFSET(#REF!,0,0,COUNTA(#REF!),1)</definedName>
    <definedName function="false" hidden="false" localSheetId="5" name="СУБД" vbProcedure="false">#REF!</definedName>
    <definedName function="false" hidden="false" localSheetId="5" name="Тип_дисков" vbProcedure="false">#REF!</definedName>
    <definedName function="false" hidden="false" localSheetId="5" name="Тип_сервера" vbProcedure="false">#REF!</definedName>
    <definedName function="false" hidden="false" localSheetId="6" name="A_Pack" vbProcedure="false">'[1]пр. 2.4 спецификация 85.5 ktps'!#ref!</definedName>
    <definedName function="false" hidden="false" localSheetId="6" name="EPDU_SI" vbProcedure="false">'[1]пр. 2.4 спецификация 85.5 ktps'!#ref!</definedName>
    <definedName function="false" hidden="false" localSheetId="6" name="Excel_BuiltIn_Print_Area_1" vbProcedure="false">#REF!</definedName>
    <definedName function="false" hidden="false" localSheetId="6" name="MDEpack" vbProcedure="false">'[1]пр. 2.4 спецификация 85.5 ktps'!#ref!</definedName>
    <definedName function="false" hidden="false" localSheetId="6" name="MGW_HW" vbProcedure="false">'[1]пр. 2.4 спецификация 85.5 ktps'!#ref!</definedName>
    <definedName function="false" hidden="false" localSheetId="6" name="OSS_SCC" vbProcedure="false">#REF!</definedName>
    <definedName function="false" hidden="false" localSheetId="6" name="OSS_SI" vbProcedure="false">'[1]пр. 2.4 прайс на hw&amp;sw'!#ref!</definedName>
    <definedName function="false" hidden="false" localSheetId="6" name="RUR_USD" vbProcedure="false">'[2]пр. 2.4 tco - 85.5&amp;670 ktps '!#ref!</definedName>
    <definedName function="false" hidden="false" localSheetId="6" name="SORM_HW" vbProcedure="false">'[1]пр. 2.4 спецификация 85.5 ktps'!#ref!</definedName>
    <definedName function="false" hidden="false" localSheetId="6" name="Инструкция" vbProcedure="false">'[7]пр_4_спецификации и трафик'!#ref!</definedName>
    <definedName function="false" hidden="false" localSheetId="6" name="Кол_во_ядер_на_1_CPU" vbProcedure="false">#REF!</definedName>
    <definedName function="false" hidden="false" localSheetId="6" name="Мониторинг" vbProcedure="false">OFFSET(#REF!,0,0,COUNTA(#REF!),1)</definedName>
    <definedName function="false" hidden="false" localSheetId="6" name="Назначение" vbProcedure="false">#REF!</definedName>
    <definedName function="false" hidden="false" localSheetId="6" name="Операционная_система" vbProcedure="false">#REF!</definedName>
    <definedName function="false" hidden="false" localSheetId="6" name="Площадка" vbProcedure="false">#REF!</definedName>
    <definedName function="false" hidden="false" localSheetId="6" name="Резервное_копирование" vbProcedure="false">OFFSET(#REF!,0,0,COUNTA(#REF!),1)</definedName>
    <definedName function="false" hidden="false" localSheetId="6" name="СУБД" vbProcedure="false">#REF!</definedName>
    <definedName function="false" hidden="false" localSheetId="6" name="Тип_дисков" vbProcedure="false">#REF!</definedName>
    <definedName function="false" hidden="false" localSheetId="6" name="Тип_сервера" vbProcedure="false">#REF!</definedName>
    <definedName function="false" hidden="false" localSheetId="8" name="A_Pack" vbProcedure="false">'[1]пр. 2.4 спецификация 85.5 ktps'!#ref!</definedName>
    <definedName function="false" hidden="false" localSheetId="8" name="EPDU_SI" vbProcedure="false">'[1]пр. 2.4 спецификация 85.5 ktps'!#ref!</definedName>
    <definedName function="false" hidden="false" localSheetId="8" name="Excel_BuiltIn_Print_Area_1" vbProcedure="false">#REF!</definedName>
    <definedName function="false" hidden="false" localSheetId="8" name="MDEpack" vbProcedure="false">'[1]пр. 2.4 спецификация 85.5 ktps'!#ref!</definedName>
    <definedName function="false" hidden="false" localSheetId="8" name="MGW_HW" vbProcedure="false">'[1]пр. 2.4 спецификация 85.5 ktps'!#ref!</definedName>
    <definedName function="false" hidden="false" localSheetId="8" name="OSS_SCC" vbProcedure="false">#REF!</definedName>
    <definedName function="false" hidden="false" localSheetId="8" name="OSS_SI" vbProcedure="false">'[1]пр. 2.4 прайс на hw&amp;sw'!#ref!</definedName>
    <definedName function="false" hidden="false" localSheetId="8" name="RUR_USD" vbProcedure="false">'[2]пр. 2.4 tco - 85.5&amp;670 ktps '!#ref!</definedName>
    <definedName function="false" hidden="false" localSheetId="8" name="SORM_HW" vbProcedure="false">'[1]пр. 2.4 спецификация 85.5 ktps'!#ref!</definedName>
    <definedName function="false" hidden="false" localSheetId="8" name="Инструкция" vbProcedure="false">'[7]пр_4_спецификации и трафик'!#ref!</definedName>
    <definedName function="false" hidden="false" localSheetId="8" name="Кол_во_ядер_на_1_CPU" vbProcedure="false">#REF!</definedName>
    <definedName function="false" hidden="false" localSheetId="8" name="Мониторинг" vbProcedure="false">OFFSET(#REF!,0,0,COUNTA(#REF!),1)</definedName>
    <definedName function="false" hidden="false" localSheetId="8" name="Назначение" vbProcedure="false">#REF!</definedName>
    <definedName function="false" hidden="false" localSheetId="8" name="Операционная_система" vbProcedure="false">#REF!</definedName>
    <definedName function="false" hidden="false" localSheetId="8" name="Площадка" vbProcedure="false">#REF!</definedName>
    <definedName function="false" hidden="false" localSheetId="8" name="Резервное_копирование" vbProcedure="false">OFFSET(#REF!,0,0,COUNTA(#REF!),1)</definedName>
    <definedName function="false" hidden="false" localSheetId="8" name="СУБД" vbProcedure="false">#REF!</definedName>
    <definedName function="false" hidden="false" localSheetId="8" name="Тип_дисков" vbProcedure="false">#REF!</definedName>
    <definedName function="false" hidden="false" localSheetId="8" name="Тип_сервера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<sst xmlns="http://schemas.openxmlformats.org/spreadsheetml/2006/main" count="2048" uniqueCount="1299">
  <si>
    <t xml:space="preserve">Приложение № 2.1</t>
  </si>
  <si>
    <t xml:space="preserve">Лот 1 Облачная платформа виртуализации для IT-сегмента</t>
  </si>
  <si>
    <t xml:space="preserve">Наименование закупочной процедуры:</t>
  </si>
  <si>
    <t xml:space="preserve">Облачная платформа виртуализации «МегаФон»</t>
  </si>
  <si>
    <t xml:space="preserve">Лот1: Облачная платформа виртуализации для IT-сегмента</t>
  </si>
  <si>
    <t xml:space="preserve">Предмет закупки:</t>
  </si>
  <si>
    <t xml:space="preserve">Внедрение, последующее развитие и техническая поддержка облачной платформы виртуализации для IT-сегмента.</t>
  </si>
  <si>
    <t xml:space="preserve">Назначение закупки:</t>
  </si>
  <si>
    <t xml:space="preserve">В составе Платформы (Платформа или комплекс Платформ) должен входить следующий основной функционал:</t>
  </si>
  <si>
    <t xml:space="preserve">•	Платформа виртуализации серверных ресурсов.</t>
  </si>
  <si>
    <t xml:space="preserve">•	Программно-определяемое хранилище (SDS) на базе гиперконвергентного решения.</t>
  </si>
  <si>
    <t xml:space="preserve">•	Программно-определяемая сеть (SDN).</t>
  </si>
  <si>
    <t xml:space="preserve">•	Реализация облачного функционала (портал самообслуживания).</t>
  </si>
  <si>
    <t xml:space="preserve">Объем проекта и работ:</t>
  </si>
  <si>
    <t xml:space="preserve">1. Работы по развертыванию тестовой зоны (Таблица 1) на оборудовании Заказчика – без оплаты.</t>
  </si>
  <si>
    <t xml:space="preserve">Проведение тестирования для определения соответствия функционала требованиям ТЗ.</t>
  </si>
  <si>
    <t xml:space="preserve">Также в рамках тестирования производится миграция нескольких ВМ с текущей платформы виртуализации Заказчика для подтверждения функционала миграции. </t>
  </si>
  <si>
    <t xml:space="preserve">Оформляется протоколом тестирования. В случае необходимости Исполнителем предлагается план устранения выявленных замечаний.</t>
  </si>
  <si>
    <t xml:space="preserve">2. Разработка HLD/LLD дизайна Платформы</t>
  </si>
  <si>
    <t xml:space="preserve">3. Работы по первоначальному развертыванию (ПНР в объеме Год 1) облачной платформы IT (Лот 1) на аппаратном обеспечении Заказчика (Таблица 2)</t>
  </si>
  <si>
    <t xml:space="preserve">4. Работы по интеграции с существующими системами Заказчика</t>
  </si>
  <si>
    <t xml:space="preserve">5. Разработка методики и проведение ПСИ</t>
  </si>
  <si>
    <t xml:space="preserve">6. Консультирование (обучение) персонала Заказчика (Таблица 3)</t>
  </si>
  <si>
    <t xml:space="preserve">7. Гарантийная техническая поддержка в течение 2 лет</t>
  </si>
  <si>
    <t xml:space="preserve">8. Последующая постгарантийная техническая поддержка в течение 5 лет</t>
  </si>
  <si>
    <t xml:space="preserve">9. Работы по дальнейшему масштабированию Платформы по отдельным запросам Заказчика</t>
  </si>
  <si>
    <t xml:space="preserve">Таблица 1. Конфигурация тестовой зоны</t>
  </si>
  <si>
    <t xml:space="preserve">Лот 1</t>
  </si>
  <si>
    <t xml:space="preserve">IT</t>
  </si>
  <si>
    <t xml:space="preserve">Site # </t>
  </si>
  <si>
    <t xml:space="preserve">nodes #</t>
  </si>
  <si>
    <t xml:space="preserve">Таблица 2. Планируемые емкости IT</t>
  </si>
  <si>
    <t xml:space="preserve">Емкостные характеристики проекта, указанные ниже, приведены справочно и являются экспертной оценкой на основании Стратегии Компании и ближайших планов. Они будут корректироваться по мере реализации стратегии.</t>
  </si>
  <si>
    <t xml:space="preserve">Год 1 (ПНР)</t>
  </si>
  <si>
    <t xml:space="preserve">Год 2</t>
  </si>
  <si>
    <t xml:space="preserve">Год 3</t>
  </si>
  <si>
    <t xml:space="preserve">Год 4</t>
  </si>
  <si>
    <t xml:space="preserve">Год 5</t>
  </si>
  <si>
    <t xml:space="preserve">Год 6</t>
  </si>
  <si>
    <t xml:space="preserve">Год 7</t>
  </si>
  <si>
    <t xml:space="preserve">Total</t>
  </si>
  <si>
    <t xml:space="preserve">Site # *</t>
  </si>
  <si>
    <r>
      <rPr>
        <sz val="11"/>
        <color theme="1"/>
        <rFont val="Arial Narrow"/>
        <family val="2"/>
        <charset val="204"/>
      </rPr>
      <t xml:space="preserve">Значения в таблице - прогноз </t>
    </r>
    <r>
      <rPr>
        <b val="true"/>
        <sz val="11"/>
        <color theme="1"/>
        <rFont val="Arial Narrow"/>
        <family val="2"/>
        <charset val="204"/>
      </rPr>
      <t xml:space="preserve">новых </t>
    </r>
    <r>
      <rPr>
        <sz val="11"/>
        <color theme="1"/>
        <rFont val="Arial Narrow"/>
        <family val="2"/>
        <charset val="204"/>
      </rPr>
      <t xml:space="preserve">продуктивных инсталляций на конец периода</t>
    </r>
  </si>
  <si>
    <t xml:space="preserve">Таблица 3.</t>
  </si>
  <si>
    <r>
      <rPr>
        <sz val="11"/>
        <color theme="1"/>
        <rFont val="Arial Narrow"/>
        <family val="2"/>
        <charset val="204"/>
      </rPr>
      <t xml:space="preserve">Консультирование Заказчика в рамках ПНР одной площадки развертывания </t>
    </r>
    <r>
      <rPr>
        <sz val="10"/>
        <color theme="1"/>
        <rFont val="Arial Narrow"/>
        <family val="2"/>
        <charset val="204"/>
      </rPr>
      <t xml:space="preserve">(должно включать курсы для всех компонентов предлагаемого решения базового и экспертного уровня, в актуальной версии продукта)</t>
    </r>
  </si>
  <si>
    <t xml:space="preserve">Администраторы облачного решения</t>
  </si>
  <si>
    <t xml:space="preserve">Установка, настройка и эксплуатация платформы виртуализации</t>
  </si>
  <si>
    <t xml:space="preserve">Установка, настройка и эксплуатация SDS</t>
  </si>
  <si>
    <t xml:space="preserve">Установка, настройка и эксплуатация SDN</t>
  </si>
  <si>
    <t xml:space="preserve">Установка, настройка и эксплуатация облачного функционала</t>
  </si>
  <si>
    <t xml:space="preserve">Продвинутый курс по trobleshooting, performance всех компонентов Платформы</t>
  </si>
  <si>
    <t xml:space="preserve">Таблица 4</t>
  </si>
  <si>
    <t xml:space="preserve">Работы по запросам (прогноз)</t>
  </si>
  <si>
    <t xml:space="preserve">№</t>
  </si>
  <si>
    <t xml:space="preserve">Наименование</t>
  </si>
  <si>
    <t xml:space="preserve">Год 1</t>
  </si>
  <si>
    <t xml:space="preserve">Развертывание Платформы на одной новой площадке (ПНР) в объеме контура управления и 5 гипервизоров, объединненых под управлением одного экземпляра управляющего ПО.</t>
  </si>
  <si>
    <t xml:space="preserve">1.1</t>
  </si>
  <si>
    <t xml:space="preserve">Разработка HLD/LLD дизайна для одного экземпляра Платформы</t>
  </si>
  <si>
    <t xml:space="preserve">1.2</t>
  </si>
  <si>
    <t xml:space="preserve">Установка и конфигурирование одного экземпляра Платформы, включая обеспечение ее корректного взаимодействия и интеграции с системами Заказчика</t>
  </si>
  <si>
    <t xml:space="preserve">1.3</t>
  </si>
  <si>
    <t xml:space="preserve">Проведение приемо-сдаточных испытаний одного экземпляра Платформы, предоставление отчетности.</t>
  </si>
  <si>
    <t xml:space="preserve">1.4</t>
  </si>
  <si>
    <t xml:space="preserve">Консультирование персонала Заказчика для одной новой площадки Платформы в соответствии с Таблицей 3. </t>
  </si>
  <si>
    <t xml:space="preserve">Проведение планово-профилактических работ, связанных с обновлением, конфигурированием, изменением версионности компонентов Платформы, в часы наименьшей нагрузки с использованием удаленного доступа в объеме 100 гипервизоров.</t>
  </si>
  <si>
    <t xml:space="preserve">Запуск удаленного (edge) вычислительного "кластера" Платформы в минимальном объеме (по умолчанию - 3) гипервизоров без контура управления, объединненых под управлением одного экземпляра управляющего ПО для развертывания на площадке с минимальной потребностью в виртуальных ресурсах.</t>
  </si>
  <si>
    <t xml:space="preserve">Запуск одного нового "кластера" Платформы в объеме 5 гипервизоров при уже развернутом контуре управления, включая, но не ограничиваясь, установку и настройку гипервизоров, добавление их на платформу, создание и настройку кластера, запуск кластера в пром. эксплуатацию.</t>
  </si>
  <si>
    <t xml:space="preserve">Расширение одного существующего "кластера" Платформы на 5 гипервизоров при уже развернутом контуре управления, включая, но не ограничиваясь, установку и настройку гипервизоров, добавление их на платформу, добавление в существующий кластер без влияния на работающие в нем ВМ.</t>
  </si>
  <si>
    <t xml:space="preserve">Разработка 1 нового метода API для интеграции с внешними системами инвентаризации, управления платформой или другими системами автоматизации в зависимости от потребности. Подготовка документации.</t>
  </si>
  <si>
    <t xml:space="preserve">Доработка 1 существующего метода API для интеграции с внешними системами инвентаризации, управления платформой или другими системами автоматизации в зависимости от потребности. Актуализация документации</t>
  </si>
  <si>
    <t xml:space="preserve">Проведение разового аудита одного "кластера" Платформы, объединненой под управлением одного экземпляра управляющего ПО,  для выявления рекомендаций по обновлению ПО и замечаний для последующего устранения (healthcheck).</t>
  </si>
  <si>
    <t xml:space="preserve">Миграция 1 ВМ с legacy платформы виртуализации в согласованные часы наименьшей нагрузки с использованием удаленного доступа, в том числе с выполнением необходимой переконфигурации и минимальным простоем.</t>
  </si>
  <si>
    <t xml:space="preserve">Приложение № 2.2</t>
  </si>
  <si>
    <t xml:space="preserve">Вендор</t>
  </si>
  <si>
    <t xml:space="preserve">?</t>
  </si>
  <si>
    <t xml:space="preserve">Наименование продукта</t>
  </si>
  <si>
    <t xml:space="preserve">Интегратор</t>
  </si>
  <si>
    <t xml:space="preserve">Контактное лицо интегратора для вопросов  по тех.требованиям (ФИО, e-mail, телефон)</t>
  </si>
  <si>
    <t xml:space="preserve">Общие требования</t>
  </si>
  <si>
    <t xml:space="preserve">№ п.п.</t>
  </si>
  <si>
    <t xml:space="preserve">Название</t>
  </si>
  <si>
    <t xml:space="preserve">Ответ
Участника
(Да/Нет/Частично)</t>
  </si>
  <si>
    <t xml:space="preserve">Комментарии Участника</t>
  </si>
  <si>
    <t xml:space="preserve">Ссылка на техническую документацию подтверждающую соответствие техническому требованию (участник указывает: название документа, наименование раздела/главы, номер страницы) и доступ к технической документации.</t>
  </si>
  <si>
    <t xml:space="preserve">Страной происхождения поставляемой Платформы является Российская федерация</t>
  </si>
  <si>
    <t xml:space="preserve">Да</t>
  </si>
  <si>
    <t xml:space="preserve">Производителем поставляемой Платформы является организация, зарегистрированная в Российской Федерации</t>
  </si>
  <si>
    <t xml:space="preserve">Поставляемая Платформа соответствует требованиям Указа Президента Российской Федерации от 01.05.2022 № 250 "О дополнительных мерах по обеспечению информационной безопасности Российской Федерации" </t>
  </si>
  <si>
    <t xml:space="preserve">Предлагаемые решения содержатся в реестрах Российского ПО</t>
  </si>
  <si>
    <t xml:space="preserve">Соответствие предлагаемого решения ГОСТу Р 56938 - 2016, указанного в Приложении 2.9 "Соответствие ГОСТ Р 56938"</t>
  </si>
  <si>
    <t xml:space="preserve">Функциональные требования</t>
  </si>
  <si>
    <t xml:space="preserve">Предлагаемое решение имеет коммерческие внедрения с развернутыми в коммерческой эксплуатации функциями (например SAP, MS Exchange, MS SQL, Oracle, PostgreSQL) в облачном окружении / облачной инфраструктуре (compute, network, storage).
Должны быть также виртуализированы сетевые ресурсы (overlay SDN) и ресурсы хранения (SDS).
Указать подтверждающие референсы (всю доступную информацию об установке) в т.ч. Интернет-публикации о коммерческих внедрениях.</t>
  </si>
  <si>
    <t xml:space="preserve">Частично</t>
  </si>
  <si>
    <t xml:space="preserve">В текущей реализации поддерживаются SDN на основе OpenNebula: Linux bridge, 802.1Q, VxLAN, OpenvSwitch, но полное управление сетями по модели SDN в разработке.</t>
  </si>
  <si>
    <t xml:space="preserve">Наличие открытой документации, необходимой для обеспечения совместимости с серверным аппаратным обеспечением</t>
  </si>
  <si>
    <t xml:space="preserve">ПО работает на базе ОС СН ALSE. Имеется программа технологического партнерства, целью которой является подтверждение работоспособности.
+ Коллаборация с партнерами аппаратных комплексов и решений</t>
  </si>
  <si>
    <t xml:space="preserve">https://astra.ru/ready-for-astra/compatible-hardware/</t>
  </si>
  <si>
    <t xml:space="preserve">Предлагаемое решение имеет иерархическую архитектуру для централизованного управления не менее 10 инсталляциями геораспределенных экземпляров VIM, включая полноценную работу с несколькими VIM из единого интерфейса (запуск нового VIM, управление существующими, централизованная автоматизация, аналитика, мониторинг, управление аккаунтами и RBAC).</t>
  </si>
  <si>
    <t xml:space="preserve">Подсистема виртуализации позволяет из единого интерфейса управлять работой ресурсами различных зон, представляющих собой геораспределенные инсталляции. Это Режим Федерация.</t>
  </si>
  <si>
    <t xml:space="preserve">Возможность функциональной, гибкой и производительной платформы по управлению различными облачными средами (CMP - Cloud Management Platform), с функционалом учета потребляемых ресурсов</t>
  </si>
  <si>
    <t xml:space="preserve">BILLmanager стыкуется с различными платформами виртуализации</t>
  </si>
  <si>
    <t xml:space="preserve">1.5</t>
  </si>
  <si>
    <t xml:space="preserve">Наличие централизованных дашбордов для получения и отображения состояния инфраструктуры геораспределенных VIM в реальном времени (включая проблемы, рекомендации по их устранению и оптимизации производительности) с возможностью кастомизации внешнего вида.</t>
  </si>
  <si>
    <t xml:space="preserve">Astra Monitoring закрывает данную проблематику</t>
  </si>
  <si>
    <t xml:space="preserve">1.6</t>
  </si>
  <si>
    <t xml:space="preserve">Модель лицензирования предусматривает динамическое распределение лицензий таким образом, что учитывается актуальное распределение облачных логических ресурсов, вне зависимости от конкретных используемых физических ресурсов, т.е. отсутствует привязка лицензий к конкретным экземплярам физической инфраструктуры (например, к серверам по s/n или к сетевым картам по mac-адресам).</t>
  </si>
  <si>
    <t xml:space="preserve">1.7</t>
  </si>
  <si>
    <t xml:space="preserve">Совместимость с конфигурациями HW, указанными в приложении 2.8 СПРАВОЧНО_Конфигурации HW</t>
  </si>
  <si>
    <t xml:space="preserve">Да/Нет</t>
  </si>
  <si>
    <t xml:space="preserve">По информации от отдела RFA получена информация об отсутствии испытаний. Требуется проверка путем установки ОС на HW.</t>
  </si>
  <si>
    <t xml:space="preserve">1.8</t>
  </si>
  <si>
    <t xml:space="preserve">Обеспечение возможности горизонтального масштабирования облачного кластера путем увеличения количества узлов с ролью вычисления, хранения данных (в т.ч. путем добавления дисковой емкости) без прерывания работы ВМ</t>
  </si>
  <si>
    <t xml:space="preserve">1.9</t>
  </si>
  <si>
    <t xml:space="preserve">Возможность использования гиперконвергентной конфигурации узлов (узел совмещает роли вычисления и хранения данных)</t>
  </si>
  <si>
    <t xml:space="preserve">1.10</t>
  </si>
  <si>
    <t xml:space="preserve">Возможность использования традиционных СХД вместо SDS, возможность интеграции с NAS, FC, FCoE, iSCSI, NVMe-oF-FC, NVMe-oF-TCP, NVMe-oF-RoCEv2</t>
  </si>
  <si>
    <t xml:space="preserve">1.11</t>
  </si>
  <si>
    <t xml:space="preserve">Возможность запуска клиентского интерфейса управления облачной платформой из многопользовательского Citrix-окружения</t>
  </si>
  <si>
    <t xml:space="preserve">Нет</t>
  </si>
  <si>
    <t xml:space="preserve">1.12</t>
  </si>
  <si>
    <t xml:space="preserve">Функционал авторизации через доменные учетные записи соответствующие стандартам RFC2247, RFC1779 с игнорированием регистра (ignore uppercase\lowercase).</t>
  </si>
  <si>
    <t xml:space="preserve">Автоматизация имеется, но регистр учитывается.</t>
  </si>
  <si>
    <t xml:space="preserve">1.13</t>
  </si>
  <si>
    <t xml:space="preserve">Функционал прозрачной аутентификации пользователей (технология единого входа Single Sign-On (SSO)) при успешной аутентификации в домене Microsoft AD / ALD Pro (i.e. via Kerberos (RFC 4120))</t>
  </si>
  <si>
    <t xml:space="preserve">IAM в разработке</t>
  </si>
  <si>
    <t xml:space="preserve">1.14</t>
  </si>
  <si>
    <t xml:space="preserve">Решение позволяет реализовать бесшовный апгрейд ПО инфраструктурных компонент платформы без остановки сервисов ВМ, без задействования дополнительной инфраструктуры в процессе апгрейда (in place).</t>
  </si>
  <si>
    <t xml:space="preserve">Бесшовный апгрейд в проработке. Но сценарии апгрейда позволяет избежать остановки сервисов и решения в целом</t>
  </si>
  <si>
    <t xml:space="preserve">1.15</t>
  </si>
  <si>
    <t xml:space="preserve">Возможность установки и обновления компонентов с локального репозитория без доступа к Интернет.</t>
  </si>
  <si>
    <t xml:space="preserve">1.16</t>
  </si>
  <si>
    <t xml:space="preserve">Наличие функционала для root cause анализа и performance bottleneck identification, корреляция и автоматическое определение корневых источников проблем</t>
  </si>
  <si>
    <t xml:space="preserve">Если только сторонними средствами.
Частично можно отследить через Astra Monitoring</t>
  </si>
  <si>
    <t xml:space="preserve">Управление физической инфраструктурой (Bare-metal provisioning)</t>
  </si>
  <si>
    <t xml:space="preserve">2.1</t>
  </si>
  <si>
    <t xml:space="preserve">Наличие системы управления оборудованием в составе решения, включающей, как минимум, управление питанием и мониторинг здоровья аппаратных компонентов.</t>
  </si>
  <si>
    <t xml:space="preserve">DCIManager</t>
  </si>
  <si>
    <t xml:space="preserve">2.2</t>
  </si>
  <si>
    <t xml:space="preserve">Наличие системы автоматической инвентаризации оборудования, в частности, извлечение информации по P/N и S/N (при поддержке данной возможности со стороны оборудования)</t>
  </si>
  <si>
    <t xml:space="preserve">DCIManager, ACM</t>
  </si>
  <si>
    <t xml:space="preserve">2.3</t>
  </si>
  <si>
    <t xml:space="preserve">Возможность выгрузки инвентарной информации по baremetal-серверам в CSV, XML, YML файлы, как вручную так и по расписанию.</t>
  </si>
  <si>
    <t xml:space="preserve">DCIManager. Не все типы обозначенных расширений для выгрузки отчетов поддерживаются. </t>
  </si>
  <si>
    <t xml:space="preserve">https://www.ispsystem.ru/docs/dcimanager-admin/oborudovanie/servery/otchty</t>
  </si>
  <si>
    <t xml:space="preserve">2.4</t>
  </si>
  <si>
    <t xml:space="preserve">Наличие системы удаленной установки и настройки ПО виртуализации на baremetal-сервера. Возможность параллельной установки серверов. Поддерка протоколов PXE, DHCP, TFTP и управления через IPMI</t>
  </si>
  <si>
    <t xml:space="preserve">2.5</t>
  </si>
  <si>
    <t xml:space="preserve">Возможность автоматизированного добавления физических хостов на платформу</t>
  </si>
  <si>
    <t xml:space="preserve">2.6</t>
  </si>
  <si>
    <t xml:space="preserve">Возможность кастомизации настроек, автоматически применяемых при добавлении физических хостов на платформу</t>
  </si>
  <si>
    <t xml:space="preserve">При использовании Playbook’а для автоматического добавления, можно кастомизировать в процессе.</t>
  </si>
  <si>
    <t xml:space="preserve">3</t>
  </si>
  <si>
    <t xml:space="preserve">Централизованное управление (VIM)</t>
  </si>
  <si>
    <t xml:space="preserve">3.1</t>
  </si>
  <si>
    <t xml:space="preserve">Наличие графического интерфейса управления, интегрированного в общий интерфейс управления облачной платформы</t>
  </si>
  <si>
    <t xml:space="preserve">У каждой из подсистем свой интерфейс управления, а решения интегрированы между собой</t>
  </si>
  <si>
    <t xml:space="preserve">3.2</t>
  </si>
  <si>
    <t xml:space="preserve">Возможность автоматического создания/изменения/удаления виртуальных машин с возможностью кастомизации скриптов развертывания (playbook, cloud init scripts etc). Перечислить поддерживаемые инструменты.</t>
  </si>
  <si>
    <t xml:space="preserve">Terraform, Ansible, контекстуализация, Bash</t>
  </si>
  <si>
    <t xml:space="preserve">3.3</t>
  </si>
  <si>
    <t xml:space="preserve">Возможность управления виртуальной инфраструктурой более старых минорных версий, в пределах major-версии Решения в целом (обратная совместимость)</t>
  </si>
  <si>
    <t xml:space="preserve">Для гарантированной работы платформы крайне желательна гомогенность компонентов</t>
  </si>
  <si>
    <t xml:space="preserve">3.4</t>
  </si>
  <si>
    <t xml:space="preserve">Возможность управления виртуальной инфраструктурой с разницей N-2 в major-версиях Решения в целом (обратная совместимость)</t>
  </si>
  <si>
    <t xml:space="preserve">3.5</t>
  </si>
  <si>
    <t xml:space="preserve">Наличие каталога объектов и ресурсов облачной платформы, а также наличие функционала экспорта этих данных в формате XLS, CSV.</t>
  </si>
  <si>
    <t xml:space="preserve">С использованием продуктов из экосистемы, которые на уровне своего функционала позволяют выгружать подобные отчеты</t>
  </si>
  <si>
    <t xml:space="preserve">3.6</t>
  </si>
  <si>
    <t xml:space="preserve">Возможность управления сетевыми ресурсами через интерфейс VIM (включая конфигурирование networks, subnets, ports, addresses, forwarding rules) для обеспечения внутренней и внешней связности</t>
  </si>
  <si>
    <t xml:space="preserve">3.7</t>
  </si>
  <si>
    <t xml:space="preserve">Транзакционная модель управления ресурсами облачной платформы с возможностью отката заданий</t>
  </si>
  <si>
    <t xml:space="preserve">OneFlow, Terraform, кастомизированные hook’и</t>
  </si>
  <si>
    <t xml:space="preserve">3.8</t>
  </si>
  <si>
    <t xml:space="preserve">Возможность одновременного исполнения параллельных задач по управлению ресурсами облачной платформы (выделение/удаление/реконфигурация)</t>
  </si>
  <si>
    <t xml:space="preserve">3.9</t>
  </si>
  <si>
    <t xml:space="preserve">Возможность агрегации и сегментации ресурсов облачной платформы (например, Avalability Zone, Host aggregation, Affinity Groups), которые формируются по разным признакам (например, аппаратной архитектуре, производительности, тип оборудования, наличию тех или иных дополнительных функциональностей/возможностей), для дальнейшего развертывания ВМ на данной группе хостов</t>
  </si>
  <si>
    <t xml:space="preserve">3.10</t>
  </si>
  <si>
    <t xml:space="preserve">Возможность эксклюзивного резервирования аппаратных ресурсов за конкретными ВМ или группами ВМ.</t>
  </si>
  <si>
    <t xml:space="preserve">3.11</t>
  </si>
  <si>
    <t xml:space="preserve">Возможность установки ограничений для исключения размещения ВМ или групп ВМ на конкретном наборе аппаратных ресурсов.</t>
  </si>
  <si>
    <t xml:space="preserve">3.12</t>
  </si>
  <si>
    <t xml:space="preserve">Возможность резервировать виртуальные ресурсы (CPU / RAM / Throughput) и осуществлять приоритезацию (QoS) IOPS, для ВМ или групп ВМ</t>
  </si>
  <si>
    <t xml:space="preserve">3.13</t>
  </si>
  <si>
    <t xml:space="preserve">Возможность обеспечивать ресурсную изоляцию между различными проектами/tenant (группами ВМ), размещаемыми на единой платформе</t>
  </si>
  <si>
    <t xml:space="preserve">3.14</t>
  </si>
  <si>
    <t xml:space="preserve">Возможность управления коэффициентами переподписки (overcommitment ratio) на ресурсы в рамках заданного пула, в том числе полностью ее запретить.</t>
  </si>
  <si>
    <t xml:space="preserve">3.15</t>
  </si>
  <si>
    <t xml:space="preserve">Сохранение и просмотр истории выделения\изменения ресурсов для ВМ/проекта/пула ресурсов/tenant</t>
  </si>
  <si>
    <t xml:space="preserve">Для ВМ можно посмотреть историю размещения и всю остальную информацию в логах. Для тенантов — BILLManager</t>
  </si>
  <si>
    <t xml:space="preserve">3.16</t>
  </si>
  <si>
    <t xml:space="preserve">Сохранение и просмотр истории фактического потребления ресурсов для ВМ/проекта/пула ресурсов/tenant</t>
  </si>
  <si>
    <t xml:space="preserve">Средствами мониторинга, где метрики хранятся</t>
  </si>
  <si>
    <t xml:space="preserve">3.17</t>
  </si>
  <si>
    <t xml:space="preserve">Возможность создания и управления шаблонами виртуальных машин, развертывания машин по шаблонам</t>
  </si>
  <si>
    <t xml:space="preserve">3.18</t>
  </si>
  <si>
    <t xml:space="preserve">Сохранение и просмотр истории изменения конфигурации виртуальных машин с возможностью сравнения версий с разным временем (Drift report)</t>
  </si>
  <si>
    <t xml:space="preserve">3.19</t>
  </si>
  <si>
    <t xml:space="preserve">Возможность изменения конфигурации ВМ (hdd, ram, cpu) без ее перезапуска (hot plug\unplug), в т.ч. добавление новых дисков и сетевых интерфейсов</t>
  </si>
  <si>
    <t xml:space="preserve">3.20</t>
  </si>
  <si>
    <t xml:space="preserve">Наличие механизмов управления функционалом affinity/anti-affinity по размещению ВМ</t>
  </si>
  <si>
    <t xml:space="preserve">3.21</t>
  </si>
  <si>
    <t xml:space="preserve">Наличие функционала для создания и восстановления snapshot для ВМ без прерывания сервиса (live snapshot). Возможность управления для пользователя snapshot-ами ВМ из интерфейса портала самообслуживания.</t>
  </si>
  <si>
    <t xml:space="preserve">При условии, что используемое хранилище под ВМ позволяет работать со снимками.
Восстановление ВМ из снапшота идет на холодную</t>
  </si>
  <si>
    <t xml:space="preserve">3.22</t>
  </si>
  <si>
    <t xml:space="preserve">Наличие функционала клонирования ВМ</t>
  </si>
  <si>
    <t xml:space="preserve">3.23</t>
  </si>
  <si>
    <t xml:space="preserve">Возможность хранения и управления образами ОС (добавление, удаление, обновление, копирование).</t>
  </si>
  <si>
    <t xml:space="preserve">3.24</t>
  </si>
  <si>
    <t xml:space="preserve">Поддержка форматов дисковых образов - aki, ami, ari, iso, qcow2, raw, vdi, vhd, vhdx, vmdk</t>
  </si>
  <si>
    <t xml:space="preserve">iso, qcow2, raw</t>
  </si>
  <si>
    <t xml:space="preserve">3.25</t>
  </si>
  <si>
    <t xml:space="preserve">Поддержка форматов образа контейнера - aki, ami, ari, bare, docker, ova, ovf</t>
  </si>
  <si>
    <t xml:space="preserve">3.26</t>
  </si>
  <si>
    <t xml:space="preserve">Наличие встроенного механизма динамического управления питанием с возможностью выключения серверного оборудования (Soft off) для балансировки вычислительной нагрузки, экономии энергопотребления во время наименьшей нагрузки на облачную инфраструктуру.</t>
  </si>
  <si>
    <t xml:space="preserve">3.27</t>
  </si>
  <si>
    <t xml:space="preserve">Возможность осуществлять reboot/force reboot &amp; power off/ force power off (и HW и ВМ)</t>
  </si>
  <si>
    <t xml:space="preserve">4</t>
  </si>
  <si>
    <t xml:space="preserve">Управление вычислительными ресурсами</t>
  </si>
  <si>
    <t xml:space="preserve">4.1</t>
  </si>
  <si>
    <t xml:space="preserve">Наличие функционала оптимизации NUMA topology awareness, путем автоматического размещения процессов на тех процессорах, к которым относится память данного CPU (для предотвращения потери производительности при обращении процесса к памяти соседнего процессора в многопроцессорном сервере compute node)</t>
  </si>
  <si>
    <t xml:space="preserve">4.2</t>
  </si>
  <si>
    <t xml:space="preserve">Поддержка PCI pass-through</t>
  </si>
  <si>
    <t xml:space="preserve">4.3</t>
  </si>
  <si>
    <t xml:space="preserve">Наличие функционала оптимизации памяти гипервизора, используемой виртуальными машинами (изъятие неиспользуемой памяти, сжатие, использование общих блоков и т.д.)</t>
  </si>
  <si>
    <t xml:space="preserve">В версии ACP 2.1 еще и Ballooning. На текущий момент KSM</t>
  </si>
  <si>
    <t xml:space="preserve">4.4</t>
  </si>
  <si>
    <t xml:space="preserve">Наличие функционала Receive Side Scaling (RSS) – Multi Queue Receive</t>
  </si>
  <si>
    <t xml:space="preserve">Если драйвер устройства позволяет</t>
  </si>
  <si>
    <t xml:space="preserve">4.5</t>
  </si>
  <si>
    <t xml:space="preserve">Возможность пересылки пакетов Jumbo frames (packet size above 1500 Bytes) между любыми сетевыми элементами</t>
  </si>
  <si>
    <t xml:space="preserve">4.6</t>
  </si>
  <si>
    <t xml:space="preserve">Поддержка large pages и huge pages (для увеличения скорости процессов, интенсивно работающих с памятью)</t>
  </si>
  <si>
    <t xml:space="preserve">4.7</t>
  </si>
  <si>
    <t xml:space="preserve">Поддержка следующих гостевых операционных систем. Указать перечень поддерживаемых ОС, включая, но не ограничиваясь списком:
 * RHEL
 * Ubuntu Server
 * Windows Server
 * Oracle Linux
 * CentOS
 * CentOS Stream
 * Debian</t>
  </si>
  <si>
    <t xml:space="preserve">RHEL
Ubuntu
Windows Server 2012/2016/2019/2022
Oracle Linux
CentOS
Debian
Suse</t>
  </si>
  <si>
    <t xml:space="preserve">4.8</t>
  </si>
  <si>
    <t xml:space="preserve">Поддержка гостевых операционных систем отечественных производителей. Указать перечень поддерживаемых ОС, включая, но не ограничиваясь списком:
 * RED OS
 * AlterOS
 * ROSA Linux
 * ALT Linux
 * ОС "Эльбрус"
 * ОС "Атлант"
 * Astra Linux</t>
  </si>
  <si>
    <t xml:space="preserve">AlterOS
RED OS
Rosa Linux
ALT Linux
Astra Linux
Любая ОС под архитектуру i686, x86_64. Существует техническая возможность создания дистрибутива облачной платформы под другие архитектуры.</t>
  </si>
  <si>
    <t xml:space="preserve">4.9</t>
  </si>
  <si>
    <t xml:space="preserve">Функционал подключения к консоли виртуальных машин для удаленного управления</t>
  </si>
  <si>
    <t xml:space="preserve">4.10</t>
  </si>
  <si>
    <t xml:space="preserve">Функционал управления контейнерной инфраструктурой Kubernetes (виртуализация и CNI), создание и управление кластерами контейнеров, настройка их конфигурации, функционал контейнеризации приложений и управления ими</t>
  </si>
  <si>
    <t xml:space="preserve">В будущих версиях</t>
  </si>
  <si>
    <t xml:space="preserve">4.11</t>
  </si>
  <si>
    <t xml:space="preserve">Поддержка узлов вычисления с GPU. Поддержка прямого проброса физической GPU в ВМ (GPU Passthrough). Возможность разделения GPU на vGPU (поддержка технологии Nvidia vGPU или аналогичная фунциональность).</t>
  </si>
  <si>
    <t xml:space="preserve">Управление ресурсами хранения</t>
  </si>
  <si>
    <t xml:space="preserve">5.1</t>
  </si>
  <si>
    <t xml:space="preserve">Наличие графического интерфейса управления SDS, интегрированного в общий интерфейс управления облачной платформы</t>
  </si>
  <si>
    <t xml:space="preserve">5.2</t>
  </si>
  <si>
    <t xml:space="preserve">Возможность использования all-flash конфигурации дисков узлом хранения - SSD (MLC/eMLC), NVMe/SCM. Возможность создания all-flash конфигураций без выделенных кэш-носителей.</t>
  </si>
  <si>
    <t xml:space="preserve">5.3</t>
  </si>
  <si>
    <t xml:space="preserve">Наличие функционала дедупликации и сжатия данных.</t>
  </si>
  <si>
    <t xml:space="preserve">Для РК</t>
  </si>
  <si>
    <t xml:space="preserve">5.4</t>
  </si>
  <si>
    <t xml:space="preserve">Наличие механизмов проверки целостности хранимых данных (самодиагностика), алгоритмов автоматического обнаружения и восстановления данных (при silent disk errors)</t>
  </si>
  <si>
    <t xml:space="preserve">5.5</t>
  </si>
  <si>
    <t xml:space="preserve">Обеспечение консистентности копий хранимых данных между собой на уровне кластера узлов хранения. Необходима поддержка следующих методов обеспечения избыточности: зеркалирование (указать доступное количество копий), erasure coding (указать доступные варианты N+M).Перечислить иные поддерживаемые механизмы обеспечения избыточности данных если имеются.</t>
  </si>
  <si>
    <t xml:space="preserve">При использовании SDS TROK. Полное зеркалирование данных и репликация между узлами хранения. Репликация синхронная тройна
Erasure coding — SDS Ceph</t>
  </si>
  <si>
    <t xml:space="preserve">5.6</t>
  </si>
  <si>
    <t xml:space="preserve">Транзакционная модель записи на распределенные узлы хранения (контроль и откат записи на уровне кластера, а не узла хранения). Отсутствие SPOF на уровне одного сервера\хоста хранения.</t>
  </si>
  <si>
    <t xml:space="preserve">SDS Ceph</t>
  </si>
  <si>
    <t xml:space="preserve">5.7</t>
  </si>
  <si>
    <t xml:space="preserve">Наличие интерфейса ISCSI target для внешних подключений.</t>
  </si>
  <si>
    <t xml:space="preserve">Можно организовать программными средствами, работающими в ОС</t>
  </si>
  <si>
    <t xml:space="preserve">5.8</t>
  </si>
  <si>
    <t xml:space="preserve">Функционал scale up (добавление дисков в незаполненные слоты действующих узлов хранения), scale out (добавление новых узлов хранения), а также расширение емкости кластера путем замены дисков малой емкости на новые работают без прерывания сервисов</t>
  </si>
  <si>
    <t xml:space="preserve">Если аппаратная составляющая позволяет данные процедуры проводить на «горячую»</t>
  </si>
  <si>
    <t xml:space="preserve">5.9</t>
  </si>
  <si>
    <t xml:space="preserve">Масштабирование системы путем добавления новых дисков (либо замены неисправных дисков) не должно требовать дополнительных лицензий</t>
  </si>
  <si>
    <t xml:space="preserve">5.10</t>
  </si>
  <si>
    <t xml:space="preserve">Решение поддерживает серверное оборудование COTS от любого производителя и поддерживает использование оборудования различных поставщиков в кластере хранения.
Вендор предоставляет информацию о поддерживаемых конфигурациях/компонентах серверного аппаратного обеспечения</t>
  </si>
  <si>
    <t xml:space="preserve">5.11</t>
  </si>
  <si>
    <t xml:space="preserve">Возможность предоставления данных по моделям block storage/object storage/file system для подключения к SDS внешних систем. Перечислить поддерживаемые протоколы подключения.</t>
  </si>
  <si>
    <t xml:space="preserve">Блочное и файловое хранилище поддерживаются. Объектное S3 будет реализовано в SDS TROK ориентировочно середина 2026 года.
ISCSI, FC</t>
  </si>
  <si>
    <t xml:space="preserve">5.12</t>
  </si>
  <si>
    <t xml:space="preserve">Функционал георезервирования в конфигурации active/active между кластерами на разных площадках, соединенных по L3-сети, раундтрип между площадками - до 50 мс. Количество кластеров, объединенных в георезерв - до 4</t>
  </si>
  <si>
    <t xml:space="preserve">В разработке как со стороны ПК СВ Брест, так и SDS TROK</t>
  </si>
  <si>
    <t xml:space="preserve">5.13</t>
  </si>
  <si>
    <t xml:space="preserve">Функционал синхронной и асинхронной репликации между SDS на разных площадках</t>
  </si>
  <si>
    <t xml:space="preserve">5.14</t>
  </si>
  <si>
    <t xml:space="preserve">Функционал распределенного хранилища, поддерживающих блочный, файловый и объектный интерфейсы доступа, а также поддерживающих параллельность операций и различные уровни и степени резервирования</t>
  </si>
  <si>
    <t xml:space="preserve">Блочное и файловое хранилище поддерживаются. Объектное S3 будет реализовано в SDS TROK ориентировочно середина 2026 года.</t>
  </si>
  <si>
    <t xml:space="preserve">5.15</t>
  </si>
  <si>
    <t xml:space="preserve">Функциональность кеширования данных</t>
  </si>
  <si>
    <t xml:space="preserve">Если аппаратная составляющая поддерживает, то ДА</t>
  </si>
  <si>
    <t xml:space="preserve">5.16</t>
  </si>
  <si>
    <t xml:space="preserve">Обновление встроенного программного обеспечения серверного оборудования и обновление версии операционной системы на storage node не приводит к прерыванию сервисов кластера</t>
  </si>
  <si>
    <t xml:space="preserve">При миграции сервисов на смежные узлы кластера</t>
  </si>
  <si>
    <t xml:space="preserve">5.17</t>
  </si>
  <si>
    <t xml:space="preserve">Возможность построения выделенного кластера хранения (на выделенных узлах, не HCI).</t>
  </si>
  <si>
    <t xml:space="preserve">SDS TROK, NvME-oF, iSCSI, NFS</t>
  </si>
  <si>
    <t xml:space="preserve">5.18</t>
  </si>
  <si>
    <t xml:space="preserve">Возможность обеспечения отказоустойчивости при одновременном выходе из строя двух любых элементов (доменов отказа) SDS: носители, узлы (серверы), т.е. обеспечивается FTT=2. При этом сохраняется непрерывность сервисов и доступа к данным, исключается потеря данных и существенная деградация производительности, выполняется автоматический ребилд данных на свободном пространстве кластера</t>
  </si>
  <si>
    <t xml:space="preserve">В разработке</t>
  </si>
  <si>
    <t xml:space="preserve">Управление сетевыми ресурсами</t>
  </si>
  <si>
    <t xml:space="preserve">6.1</t>
  </si>
  <si>
    <t xml:space="preserve">Наличие графического интерфейса для управления сетевыми службами инфраструктуры и ее параметрами, интегрированного в общий интерфейс управления облачной платформы</t>
  </si>
  <si>
    <t xml:space="preserve">Можно управлять через графический интерфейс виртуальными сетями. Более продвинутое решение SDN — ориентировочно середина 2026</t>
  </si>
  <si>
    <t xml:space="preserve">6.2</t>
  </si>
  <si>
    <t xml:space="preserve">Наличие механизмов Troubleshooting и Root cause analysis SDN overlay сетевой среды</t>
  </si>
  <si>
    <t xml:space="preserve">На текущий момент — нет. Возможно будет в SDN реализовано</t>
  </si>
  <si>
    <t xml:space="preserve">6.3</t>
  </si>
  <si>
    <t xml:space="preserve">Обеспечение сетевой изоляции проекта/пула ресурсов/tenant поверх общей сетевой инфраструктуры</t>
  </si>
  <si>
    <t xml:space="preserve">6.4</t>
  </si>
  <si>
    <t xml:space="preserve">Наличие функционала ограничения проекта/пула ресурсов/tenant по потребляемым сетевым ресурсам (сети, подсети, порты, виртуальные машрутизаторы, FWaaS, LBaaS).</t>
  </si>
  <si>
    <t xml:space="preserve">Сети, подсети, порты — да. VNF — на уровне ВМ в подсисетме виртуализации. LbaaS будет частично реализовано (без SSL и на уровне L4) с интеграцией Virtual Router.
Отдельный продукт для L3-L7 балансировки — Termidesk Connect</t>
  </si>
  <si>
    <t xml:space="preserve">6.5</t>
  </si>
  <si>
    <t xml:space="preserve">Наличие функционала конфигурирования нескольких виртуальных NIC (vNIC) на каждой ВМ с возможностью конфигурации отдельных IP и MAC на каждом vNIC. Наличие функционала vNIC teaming.</t>
  </si>
  <si>
    <t xml:space="preserve">6.6</t>
  </si>
  <si>
    <t xml:space="preserve">Возможность запрета смены MAC адреса для vNIC ВМ </t>
  </si>
  <si>
    <t xml:space="preserve">6.7</t>
  </si>
  <si>
    <t xml:space="preserve">Возможность предоставления проекта/пула ресурсов/tenant более одной сети, а также с пересекающейся сетевой адресацией</t>
  </si>
  <si>
    <t xml:space="preserve">6.8</t>
  </si>
  <si>
    <t xml:space="preserve">Возможность настройки взаимодействия между сетями проекта/пула ресурсов/tenant внутри облачной платформы и во внешнюю сеть</t>
  </si>
  <si>
    <t xml:space="preserve">Средствами VNF в текущей реализациии. Далее, SDN</t>
  </si>
  <si>
    <t xml:space="preserve">6.9</t>
  </si>
  <si>
    <t xml:space="preserve">Возможность расширения емкости компонентов виртуальной сетевой инфраструктуры путем горизонтального масштабирования</t>
  </si>
  <si>
    <t xml:space="preserve">6.10</t>
  </si>
  <si>
    <t xml:space="preserve">Поддержка LACP</t>
  </si>
  <si>
    <t xml:space="preserve">6.11</t>
  </si>
  <si>
    <t xml:space="preserve">Возможность зеркалирования трафика ВМ</t>
  </si>
  <si>
    <t xml:space="preserve">6.12</t>
  </si>
  <si>
    <t xml:space="preserve">Поддержка overlay-сетей (примеры - VXLAN, geneve и т.д.), возможность терминации на SW VTEP</t>
  </si>
  <si>
    <t xml:space="preserve">Geneve, SW VTEP — нет. </t>
  </si>
  <si>
    <t xml:space="preserve">6.13</t>
  </si>
  <si>
    <t xml:space="preserve">Поддержка IPv4, IPv6</t>
  </si>
  <si>
    <t xml:space="preserve">6.14</t>
  </si>
  <si>
    <t xml:space="preserve">Поддержка 802.1Q tagging. Поддержка VLAN в виртуальных машинах (в том числе передача пакетов с разными VLAN-метками по одному виртуальному сетевому интерфейсу (vNIC))</t>
  </si>
  <si>
    <t xml:space="preserve">6.15</t>
  </si>
  <si>
    <t xml:space="preserve">Наличие функционала управления пропускной способностью и обеспечение QoS</t>
  </si>
  <si>
    <t xml:space="preserve">6.16</t>
  </si>
  <si>
    <t xml:space="preserve">Наличие функционала распределенного роутера (distributed router) между хостами</t>
  </si>
  <si>
    <t xml:space="preserve">6.17</t>
  </si>
  <si>
    <t xml:space="preserve">Возможность изоляции проекта/пула ресурсов/tenant на уровне конфигурации экземпляра FW, NAT, маршрутизатора для создания различных правил и различных таблиц маршрутизации (функционал VRF).</t>
  </si>
  <si>
    <t xml:space="preserve">6.18</t>
  </si>
  <si>
    <t xml:space="preserve">Наличие функционала floating IP address для сетей проекта/пула ресурсов/tenant</t>
  </si>
  <si>
    <t xml:space="preserve">6.19</t>
  </si>
  <si>
    <t xml:space="preserve">Наличие функционала Statefull Firewall с поддержкой до L4 включительно (FWaaS) с возможностью применения как на периметре облачной инфраструктуры, так и внутри его (на уровне vNIC)</t>
  </si>
  <si>
    <t xml:space="preserve">Встроенных нету. Есть сертифицированные сторонние МЭ для работы в БРЕСТ: Ideco, С-терра, UserGate</t>
  </si>
  <si>
    <t xml:space="preserve">6.20</t>
  </si>
  <si>
    <t xml:space="preserve">Наличие функционала Statefull Firewall с поддержкой до L7 включительно (FWaaS) с возможностью применения как на периметре облачной инфраструктуры, так и внутри его (на уровне vNIC)</t>
  </si>
  <si>
    <t xml:space="preserve">6.21</t>
  </si>
  <si>
    <t xml:space="preserve">Наличие функционала балансировки сетевой нагрузки и агрегации сетевых соединений (LBaaS на уровнях OSI, включая L4+) с Web, SSL и  TCP-based scale-out.</t>
  </si>
  <si>
    <t xml:space="preserve">Встроенных нету. Termidesk Connect закрывает данную задачу</t>
  </si>
  <si>
    <t xml:space="preserve">6.22</t>
  </si>
  <si>
    <t xml:space="preserve">Наличие функционала терминации IPSec туннелей</t>
  </si>
  <si>
    <t xml:space="preserve">С помощью strongswan на уровне ОС</t>
  </si>
  <si>
    <t xml:space="preserve">6.23</t>
  </si>
  <si>
    <t xml:space="preserve">Возможность организации распределенных сетевых сервисов vRouter, FWaaS, LBaaS, VPNaaS, DNSaaS.</t>
  </si>
  <si>
    <t xml:space="preserve">6.24</t>
  </si>
  <si>
    <t xml:space="preserve">Возможность клонирования и одновременного создания нескольких копий сетевых сервисов, таких как FWaaS, LBaaS</t>
  </si>
  <si>
    <t xml:space="preserve">6.25</t>
  </si>
  <si>
    <t xml:space="preserve">Возможность построения overlay-сетей с использованием стандартов\протоколов 802.1Q VLAN, VXLAN, VXLAN/EVPN, GRE, GENEVE.</t>
  </si>
  <si>
    <t xml:space="preserve">GRE, GENEVE — нет</t>
  </si>
  <si>
    <t xml:space="preserve">6.26</t>
  </si>
  <si>
    <t xml:space="preserve">Возможность локальной коммутации и маршрутизации трафика между ВМ, расположенных на одном экземпляре вычислительного ресурса</t>
  </si>
  <si>
    <t xml:space="preserve">6.27</t>
  </si>
  <si>
    <t xml:space="preserve">Возможность локальной коммутации и маршрутизации трафика между ВМ, расположенных на разных экземплярах вычислительных ресурсов, без выхода за пределы облачной платформы</t>
  </si>
  <si>
    <t xml:space="preserve">6.28</t>
  </si>
  <si>
    <t xml:space="preserve">Возможность активации/деактивации функционала security-group на каждом порту в отдельности (возможность отключения anti-spoofing правил)</t>
  </si>
  <si>
    <t xml:space="preserve">6.29</t>
  </si>
  <si>
    <t xml:space="preserve">Функционал RBAC (в частности, определение QoS policy для доступа проекта/пула ресурсов/tenant к внешним сетям)</t>
  </si>
  <si>
    <t xml:space="preserve">QoS для виртуальных сетей задается отдельно</t>
  </si>
  <si>
    <t xml:space="preserve">7</t>
  </si>
  <si>
    <t xml:space="preserve">Отказоустойчивость и высокая доступность</t>
  </si>
  <si>
    <t xml:space="preserve">7.1</t>
  </si>
  <si>
    <t xml:space="preserve">Обеспечение отказоустойчивости и высокой доступности для управляющих узлов облачной платформы и их интерфейсов управления. </t>
  </si>
  <si>
    <t xml:space="preserve">7.2</t>
  </si>
  <si>
    <t xml:space="preserve">Архитектура решения способна обеспечить отсутствие деградации сервисов или потери данных при единичных сбоях (hdd, host, network, rack). </t>
  </si>
  <si>
    <t xml:space="preserve">7.3</t>
  </si>
  <si>
    <t xml:space="preserve">Обеспечение облачной платформой отказоустойчивости при одновременном полном отказе нескольких вычислительных узлов и узлов хранения данных (например, отказ стойки).</t>
  </si>
  <si>
    <t xml:space="preserve">DR в разработке</t>
  </si>
  <si>
    <t xml:space="preserve">7.4</t>
  </si>
  <si>
    <t xml:space="preserve">Наличие функционала автоматического восстановления элементов облачной платформы (self healing) после выхода из строя аппаратного обеспечения.</t>
  </si>
  <si>
    <t xml:space="preserve">7.5</t>
  </si>
  <si>
    <t xml:space="preserve">Наличие механизма ручной и автоматической миграции виртуальных машин (без их выключения) между серверами виртуализации (hosts) для балансировки нагрузки на вычислительные ресурсы физических серверов</t>
  </si>
  <si>
    <t xml:space="preserve">7.6</t>
  </si>
  <si>
    <t xml:space="preserve">Наличие возможности гибкой конфигурации алгоритмов балансировки нагрузки (консервативный, агрессивный и т.д.) вычислительных ресурсов между серверами виртуализации (гипервизорами). </t>
  </si>
  <si>
    <t xml:space="preserve">По CPU</t>
  </si>
  <si>
    <t xml:space="preserve">7.7</t>
  </si>
  <si>
    <t xml:space="preserve">Наличие механизмов перезапуска ВМ на основе политик, например, при отказах на вычислительных узлах или узлах хранения данных</t>
  </si>
  <si>
    <t xml:space="preserve">7.8</t>
  </si>
  <si>
    <t xml:space="preserve">Возможность рестарта и миграции виртуальных коммутаторов/роутеров на основе политик в случае сбоя. </t>
  </si>
  <si>
    <t xml:space="preserve">7.9</t>
  </si>
  <si>
    <t xml:space="preserve">Наличие режима "обслуживания" (Maintenance Mode) для серверов виртуализации (hosts)  элементов облачной инфраструктуры (compute, storage, network, control) для обеспечения проведения регламентных работ</t>
  </si>
  <si>
    <t xml:space="preserve">7.10</t>
  </si>
  <si>
    <t xml:space="preserve">Наличие встроенного механизма резервного копирования и восстановления управляющих серверов. Наличие возможности выборочного и общего бекапирования настроек компонентов решения как в ручном, так и автоматическом режиме. Оптимизация данных, сохраняемых в резервную копию</t>
  </si>
  <si>
    <t xml:space="preserve">7.11</t>
  </si>
  <si>
    <t xml:space="preserve">Возможность разделения ресурсов на зоны доступности с целью логического разделения для физической изоляции или отказоустойчивости. Включая ресурсы хранения.</t>
  </si>
  <si>
    <t xml:space="preserve">7.12</t>
  </si>
  <si>
    <t xml:space="preserve">Наличие механизмов защиты от Split-Brain при условии нарушения сетевой связанности между стойками/площадками/нодами , если потерян трафик управления, мониторинга, оркестрации, дисковые подсистемы</t>
  </si>
  <si>
    <t xml:space="preserve">7.13</t>
  </si>
  <si>
    <t xml:space="preserve">Возможность живой миграция дисков ВМ между хранилищами облачной платформы (аналог storage vMotion).</t>
  </si>
  <si>
    <t xml:space="preserve">Не для всех типов хранилищ поддерживается</t>
  </si>
  <si>
    <t xml:space="preserve">https://wiki.astralinux.ru/brest/4.0.1/vozmoyonosti-hranilishch-v-pk-sv-brest-348178368.html</t>
  </si>
  <si>
    <t xml:space="preserve">8</t>
  </si>
  <si>
    <t xml:space="preserve">Резервное копирование</t>
  </si>
  <si>
    <t xml:space="preserve">8.1</t>
  </si>
  <si>
    <t xml:space="preserve">Наличие встроенной системы резервного копирования для ВМ/контейнеров или отдельного продукта собственной разработки с аналогичным функционалом. Указать способы лицензирования</t>
  </si>
  <si>
    <t xml:space="preserve">Для бэкапа ВМ внутренние средства резервного копирования имеются. Для более профессионального решения — RuBackup. 3 модели лицензирования RuBackup имеет</t>
  </si>
  <si>
    <t xml:space="preserve">8.2</t>
  </si>
  <si>
    <t xml:space="preserve">Возможность собственного продукта по РК осуществлять РК ВМ с отличных от предлагаемого Решения платформ виртуализации. Перечислить поддерживаемые платформы.</t>
  </si>
  <si>
    <t xml:space="preserve">RuBackup</t>
  </si>
  <si>
    <t xml:space="preserve">8.3</t>
  </si>
  <si>
    <t xml:space="preserve">Возможность обеспечения консистентных (согласованных на уровне дисковых операций) резервных копий ВМ (snapshot-ы памяти и диска)</t>
  </si>
  <si>
    <t xml:space="preserve">8.4</t>
  </si>
  <si>
    <t xml:space="preserve">Функциональность оптимизации передаваемых данных на стороне облачной платформы, наличие механизмов дедупликации и сжатия для минимизации объема хранимых резервных копий данных</t>
  </si>
  <si>
    <t xml:space="preserve">В версии ACP 2.1</t>
  </si>
  <si>
    <t xml:space="preserve">8.5</t>
  </si>
  <si>
    <t xml:space="preserve">Возможность передавать резервные копии, как по сети передачи, так и по сети хранения данных</t>
  </si>
  <si>
    <t xml:space="preserve">8.6</t>
  </si>
  <si>
    <t xml:space="preserve">Возможность интеграции с системой резервного копирования Veeam</t>
  </si>
  <si>
    <t xml:space="preserve">8.7</t>
  </si>
  <si>
    <t xml:space="preserve">Возможность интеграции с системой резервного копирования КиберБэкап и\или иным отечественным инструментом резервного копирования ВМ. Привести список совместимых систем РК</t>
  </si>
  <si>
    <t xml:space="preserve">Безопасность</t>
  </si>
  <si>
    <t xml:space="preserve">9.1</t>
  </si>
  <si>
    <t xml:space="preserve">Реализации ролевой модели доступа (RBAC) ко всем компонентам решения. Возможность предоставления доступа к конкретной операции нужному пользователю облачной платформы</t>
  </si>
  <si>
    <t xml:space="preserve">9.2</t>
  </si>
  <si>
    <t xml:space="preserve">Журналирование и аудит действий пользователей со стороны всех компонентов решения, наличие детальных логов всех операций, выполняемых пользователями в системе</t>
  </si>
  <si>
    <t xml:space="preserve">логирование действий</t>
  </si>
  <si>
    <t xml:space="preserve">9.3</t>
  </si>
  <si>
    <t xml:space="preserve">Наличие единой точки консолидации системных журналов от физических и программных компонент.
Возможность выгрузки следующей информации в различные системы анализа (splunk, syslog и т.п.):
• Текстовые/csv файлы с логами/выгрузками - варианты интеграции:
   * установка агентов на хосты-источники
   * выгружающее ПО подключается на удалённый sftp
   * выгружающее ПО предоставляет свой ресурс по sftp
• Чтение сообщений из очередей при их использовании (i.e. RabbitMQ)</t>
  </si>
  <si>
    <t xml:space="preserve">9.4</t>
  </si>
  <si>
    <t xml:space="preserve">Обеспечение защиты SSH, WEB доступа, наличие и управление требованиями к сложности паролей</t>
  </si>
  <si>
    <t xml:space="preserve">9.5</t>
  </si>
  <si>
    <t xml:space="preserve">Наличие механизма доверенной загрузки как для гипервизоров, так и для виртуальных машин (secureboot).</t>
  </si>
  <si>
    <t xml:space="preserve">Для гипервизоров — сторонними средствами</t>
  </si>
  <si>
    <t xml:space="preserve">9.6</t>
  </si>
  <si>
    <t xml:space="preserve">Возможность настройки прохождения согласований запросов на услугу для портала самообслуживания</t>
  </si>
  <si>
    <t xml:space="preserve">9.7</t>
  </si>
  <si>
    <t xml:space="preserve">Аутентификация пользователя перед разрешением любых действий в GUI платформы или через API</t>
  </si>
  <si>
    <t xml:space="preserve">9.8</t>
  </si>
  <si>
    <t xml:space="preserve">Наличие механизмов защиты (шифрования) аутентификации по сети (LDAPS)</t>
  </si>
  <si>
    <t xml:space="preserve">9.9</t>
  </si>
  <si>
    <t xml:space="preserve">Использование централизованного источника информации о пользователях в системе (ФКCУД, AD, ALD Pro, LDAP-каталоги, другое).</t>
  </si>
  <si>
    <t xml:space="preserve">9.10</t>
  </si>
  <si>
    <t xml:space="preserve">Наличие централизованного и/или локального механизма обеспечения сложности пароля.</t>
  </si>
  <si>
    <t xml:space="preserve">9.11</t>
  </si>
  <si>
    <t xml:space="preserve">Наличие ограничения срока действия пароля в днях (централизованный и локальный механизм).</t>
  </si>
  <si>
    <t xml:space="preserve">9.12</t>
  </si>
  <si>
    <t xml:space="preserve">Наличие ограничения минимальной длины пароля (централизованный и локальный механизм).</t>
  </si>
  <si>
    <t xml:space="preserve">9.13</t>
  </si>
  <si>
    <t xml:space="preserve">Шифрование аутентификационной информации (пароли, токены) при хранении данных.</t>
  </si>
  <si>
    <t xml:space="preserve">9.14</t>
  </si>
  <si>
    <t xml:space="preserve">Ограничение разрешенного числа неудачных попыток входа в систему.</t>
  </si>
  <si>
    <t xml:space="preserve">9.15</t>
  </si>
  <si>
    <t xml:space="preserve">Протоколирование действий пользователя через API.</t>
  </si>
  <si>
    <t xml:space="preserve">9.16</t>
  </si>
  <si>
    <t xml:space="preserve">Протоколирование всех действий администратора через интерфейс системы.
Примеры действий:
 * создание/удаление учетной записи
 * блокировка/разблокировка учетной записи
 * изменение прав доступа учетной записи
 * сброс пароля учетной записи (с указанием учетной записи, от имени которой произведены изменения)
 * отключение протоколирования
 * изменение уровня протоколирования
 * очистка журналов протоколирования
 * изменение настроек сервисов ИБ: парольных политик, используемых протоколов, параметров шифрования, аутентификации и т.п.
 * создание/изменение группы/роли/профиля доступа
 * удаление группы/роли/профиля доступа.
 * удаление или изменение ВМ</t>
  </si>
  <si>
    <t xml:space="preserve">9.17</t>
  </si>
  <si>
    <t xml:space="preserve">Защита каналов связи при передаче данных, выгружаемых при операциях экспорта или обращениях по API (протокол HTTPS)</t>
  </si>
  <si>
    <t xml:space="preserve">9.18</t>
  </si>
  <si>
    <t xml:space="preserve">Логи по разным проектам/пулам ресурсов/tenant формируются в отдельных файлах, с возможностью предоставления дифференцированного доступа для разных пользователей</t>
  </si>
  <si>
    <t xml:space="preserve">9.19</t>
  </si>
  <si>
    <t xml:space="preserve">Возможность интеграции с продуктами антивирусной защиты Kaspersky Security. Перечислить поддерживаемые продукты.</t>
  </si>
  <si>
    <t xml:space="preserve">Справа ссылочка и по разработчику «Лаборатория Касперского» можно отфильтровать продукты. Их много</t>
  </si>
  <si>
    <t xml:space="preserve">https://astra.ru/ready-for-astra/compatible-software/</t>
  </si>
  <si>
    <t xml:space="preserve">Портал самообслуживания</t>
  </si>
  <si>
    <t xml:space="preserve">10.1</t>
  </si>
  <si>
    <t xml:space="preserve">Наличие централизованного WEB интерфейса управления с доступом по HTTPS</t>
  </si>
  <si>
    <t xml:space="preserve">10.2</t>
  </si>
  <si>
    <t xml:space="preserve">Наличие системы отслеживания и управления запросами для портала самообслуживания, с возможностью просмотра статуса текущего исполнения запросов</t>
  </si>
  <si>
    <t xml:space="preserve">10.3</t>
  </si>
  <si>
    <t xml:space="preserve">Возможность кастомизации набора действий\кнопок доступных в портале самообслуживания (snapshots, backup, etc).</t>
  </si>
  <si>
    <t xml:space="preserve">10.4</t>
  </si>
  <si>
    <t xml:space="preserve">Возможность управления жизненным циклом созданных объектов для портала самообслуживания (создание, изменение, вывод)</t>
  </si>
  <si>
    <t xml:space="preserve">10.5</t>
  </si>
  <si>
    <t xml:space="preserve">Интерфейс пользователя включает мониторинг производительности для созданных объектов</t>
  </si>
  <si>
    <t xml:space="preserve">Да — для ПК СВ Брест, Для BILLManager — Нет</t>
  </si>
  <si>
    <t xml:space="preserve">10.6</t>
  </si>
  <si>
    <t xml:space="preserve">Наличие интерфейса просмотра доступных пользователю ресурсов и их текущую утилизацию</t>
  </si>
  <si>
    <t xml:space="preserve">В ПК СВ Брест, Для BILLManager — Нет</t>
  </si>
  <si>
    <t xml:space="preserve">10.7</t>
  </si>
  <si>
    <t xml:space="preserve">Наличие русскоязычного интерфейса портала самообслуживания</t>
  </si>
  <si>
    <t xml:space="preserve">10.8</t>
  </si>
  <si>
    <t xml:space="preserve">Наличие карты\дерева топологии объектов для портала самообслуживания </t>
  </si>
  <si>
    <t xml:space="preserve">10.9</t>
  </si>
  <si>
    <t xml:space="preserve">Наличие портала самообслуживания для авторизованных пользователей, позволяющего управлять ресурсами в соотвествии с предоставленными полномочиями</t>
  </si>
  <si>
    <t xml:space="preserve">10.10</t>
  </si>
  <si>
    <t xml:space="preserve">Функциональность квотирования ресурсов при обработке запросов на их выделения со стороны пользователей</t>
  </si>
  <si>
    <t xml:space="preserve">Система мониторинга и траблшутинга</t>
  </si>
  <si>
    <t xml:space="preserve">11.1</t>
  </si>
  <si>
    <t xml:space="preserve">Решение включает встроенную систему мониторинга и траблшутинга всех программных и аппаратных компонентов</t>
  </si>
  <si>
    <t xml:space="preserve">11.2</t>
  </si>
  <si>
    <t xml:space="preserve">Наличие возможности организации мониторинга метрик физической инфраструктуры средствами Zabbix без влияния на работоспособность и производительность</t>
  </si>
  <si>
    <t xml:space="preserve">11.3</t>
  </si>
  <si>
    <t xml:space="preserve">Система мониторинга позволяет в централизованном интерфейсе наблюдать доступность, производительность, утилизацию, аварийные сообщения, события из системных журналов (logs) на каждом слое виртуализированной и физической инфраструктуры - оборудование, гипервизор, гостевые операционные системы, middleware, приложения. </t>
  </si>
  <si>
    <t xml:space="preserve">11.4</t>
  </si>
  <si>
    <t xml:space="preserve">Возможность генерации аварийных сообщений по уровням загрузки HW, включая CPU, RAM, HDD, сетевые интерфейсы</t>
  </si>
  <si>
    <t xml:space="preserve">11.5</t>
  </si>
  <si>
    <t xml:space="preserve">Возможность генерации аварийных сообщений по уровням загрузки SW включая лицензионную емкость</t>
  </si>
  <si>
    <t xml:space="preserve">11.6</t>
  </si>
  <si>
    <t xml:space="preserve">Наличие инструментов расчета процента текущей утилизации облачной платформы (емкость, использование ресурсов, etc).</t>
  </si>
  <si>
    <t xml:space="preserve">11.7</t>
  </si>
  <si>
    <t xml:space="preserve">Наличие перечня метрик KPI (в %) для отображения основных параметров работы инфраструктуры. Типовые шаблоны для отчетности по KPI (наличие trigger-ов на значения KPI).</t>
  </si>
  <si>
    <t xml:space="preserve">В связи с проблематичностью создания  типовых шаблонов для отчетности по KPI, данный функционал рассматривается реализуется индивидуально в рамках проекта</t>
  </si>
  <si>
    <t xml:space="preserve">11.8</t>
  </si>
  <si>
    <t xml:space="preserve">Наличие централизованного логирования со всех управляемых нод</t>
  </si>
  <si>
    <t xml:space="preserve">11.9</t>
  </si>
  <si>
    <t xml:space="preserve">Наличие мониторинга доступности всех управляемых нод</t>
  </si>
  <si>
    <t xml:space="preserve">11.10</t>
  </si>
  <si>
    <t xml:space="preserve">Наличие мониторинга производительности для всех управляемых нод</t>
  </si>
  <si>
    <t xml:space="preserve">Автоматизация и административный инструментарий</t>
  </si>
  <si>
    <t xml:space="preserve">12.1</t>
  </si>
  <si>
    <t xml:space="preserve">Наличие открытых API к платформе или иная аналогичная функциональность</t>
  </si>
  <si>
    <t xml:space="preserve">12.2</t>
  </si>
  <si>
    <t xml:space="preserve">Наличие документированного REST API для управления всеми подсистемами облачной платформы включая, но не ограничиваясь: виртуализации (включая создание/изменение/удаление ВМ); сетевой (включая создание и настройку виртуальных сетей); идентификации; хранения и предоставления данных.</t>
  </si>
  <si>
    <t xml:space="preserve">12.3</t>
  </si>
  <si>
    <t xml:space="preserve">Наличие документированного API для выгрузки инвентарной информации.</t>
  </si>
  <si>
    <t xml:space="preserve">12.4</t>
  </si>
  <si>
    <t xml:space="preserve">Наличие документированного API для администрирования и управления системой хранения (разворачивание новых узлов, настройка кластера, обслуживание, мониторинг статуса).</t>
  </si>
  <si>
    <t xml:space="preserve">12.5</t>
  </si>
  <si>
    <t xml:space="preserve">Наличие документированного API для интеграции с внешней системой резервного копирования.</t>
  </si>
  <si>
    <t xml:space="preserve">12.6</t>
  </si>
  <si>
    <t xml:space="preserve">API/REST API платформы поддерживает операции - авторизация, подключение/отключение к VIM, работа с сессиями</t>
  </si>
  <si>
    <t xml:space="preserve">12.7</t>
  </si>
  <si>
    <t xml:space="preserve">API/REST API платформы поддерживает операции - создание/изменение/переименование/удаление ВМ, в т.ч. создание из шаблонов</t>
  </si>
  <si>
    <t xml:space="preserve">12.8</t>
  </si>
  <si>
    <t xml:space="preserve">API/REST API платформы поддерживает операции - управление снапшотами (создание/удаление)</t>
  </si>
  <si>
    <t xml:space="preserve">12.9</t>
  </si>
  <si>
    <t xml:space="preserve">API/REST API платформы поддерживает операции - управление питанием ВМ (включение/перезагрузка/выключение)</t>
  </si>
  <si>
    <t xml:space="preserve">12.10</t>
  </si>
  <si>
    <t xml:space="preserve">API/REST API платформы поддерживает операции - получение расширенных свойств и атрибутов объектов (ВМ, хостов, кластеров, свичей, дисков/датасторов)</t>
  </si>
  <si>
    <t xml:space="preserve">12.11</t>
  </si>
  <si>
    <t xml:space="preserve">API/REST API платформы поддерживает операции - управление ролями, правами и разрешениями на объекты</t>
  </si>
  <si>
    <t xml:space="preserve">12.12</t>
  </si>
  <si>
    <t xml:space="preserve">API/REST API платформы поддерживает операции - кастомизация гостевой ОС ВМ (настройки сетевых интерфейсов, ввод в домен, выполнение скриптов)</t>
  </si>
  <si>
    <t xml:space="preserve">12.13</t>
  </si>
  <si>
    <t xml:space="preserve">Наличие централизованного CLI интерфейса или иных команд для управления инфраструктурой</t>
  </si>
  <si>
    <t xml:space="preserve">12.14</t>
  </si>
  <si>
    <t xml:space="preserve">Наличие централизованного CLI интерфейса для управления сетевыми службами инфраструктуры и их параметрами</t>
  </si>
  <si>
    <t xml:space="preserve">12.15</t>
  </si>
  <si>
    <t xml:space="preserve">Наличие централизованного CLI интерфейса для управления службами хранения и их параметрами</t>
  </si>
  <si>
    <t xml:space="preserve">12.16</t>
  </si>
  <si>
    <t xml:space="preserve">Наличие инструмента с возможностью автоматизации процесса выполнения последовательности CLI команд (скрипт) с возможностью воздействия на всех слоях облачной платформы</t>
  </si>
  <si>
    <t xml:space="preserve">В Экосистеме Группы Астра имеется продукт Astra Automation, который опционально входит в состав платформы. И позволяет выполнять последовательности CLI команд с воздействием на всех слоях облачной платформы.</t>
  </si>
  <si>
    <t xml:space="preserve">12.17</t>
  </si>
  <si>
    <t xml:space="preserve">Наличие инструмента для автоматизации процесса развертывания новых узлов существующей облачной платформы</t>
  </si>
  <si>
    <t xml:space="preserve">12.18</t>
  </si>
  <si>
    <t xml:space="preserve">Наличие инструмента для автоматизации процесса развертывания новой инсталляции облачной платформы через GUI и CLI</t>
  </si>
  <si>
    <t xml:space="preserve">12.19</t>
  </si>
  <si>
    <t xml:space="preserve">Наличие функционала\инструментария для миграции ВМ в\из отличных от Решения платформ виртуализации (например, VMware, FusionSphere, RDO (RedHat), Proxmox). Указать поддерживаемые.</t>
  </si>
  <si>
    <t xml:space="preserve">Инструмент qemu-img
Проприетарное ПО Mind</t>
  </si>
  <si>
    <t xml:space="preserve">12.20</t>
  </si>
  <si>
    <t xml:space="preserve">Наличие инструментария для конвертации физических машин в виртуальные</t>
  </si>
  <si>
    <t xml:space="preserve">Через проприетарное ПО Mind</t>
  </si>
  <si>
    <t xml:space="preserve">12.21</t>
  </si>
  <si>
    <t xml:space="preserve">Наличие инструментария для синхронизации настроек и пользовательских данных (аккаунты, права) облачной платформы между несколькими VIM инсталляциями</t>
  </si>
  <si>
    <t xml:space="preserve">12.22</t>
  </si>
  <si>
    <t xml:space="preserve">Наличие в составе предлагаемого решения средств автоматической установки обновлений ПО для всех управляющих компонентов облачной платформы</t>
  </si>
  <si>
    <t xml:space="preserve">ACM решает данную задачу</t>
  </si>
  <si>
    <t xml:space="preserve">12.23</t>
  </si>
  <si>
    <t xml:space="preserve">Возможность проведения автоматизированных валидационных тестов инфраструктуры после развертывания</t>
  </si>
  <si>
    <t xml:space="preserve">12.24</t>
  </si>
  <si>
    <t xml:space="preserve">Оркестрация виртуальных сущностей с использованием шаблонов или конфигурационных файлов (например, cloudinit или heat)</t>
  </si>
  <si>
    <t xml:space="preserve">12.25</t>
  </si>
  <si>
    <t xml:space="preserve">Функциональность тестирования аппаратного обеспечения с возможностью генерации синтетической нагрузки средствами облачной платформы</t>
  </si>
  <si>
    <t xml:space="preserve">12.26</t>
  </si>
  <si>
    <t xml:space="preserve">Решение полностью совместимо со стандартными ресурсными провайдерами инфраструктуры HashiCorp Terraform для управления инфрастуктурой по модели Infrastructure as a code (IaaC).</t>
  </si>
  <si>
    <t xml:space="preserve">12.27</t>
  </si>
  <si>
    <t xml:space="preserve">Возможность в автоматическом режиме разворачивать заранее предопределенные конфигурации набора виртуальных машин (IaaC)</t>
  </si>
  <si>
    <t xml:space="preserve">13</t>
  </si>
  <si>
    <t xml:space="preserve">Биллинг</t>
  </si>
  <si>
    <t xml:space="preserve">13.1</t>
  </si>
  <si>
    <t xml:space="preserve">Возможность просмотра ресурсов, доступных для конкретного проекта/пула ресурсов/tenant (vCPU, RAM, HDD etc) через GUI или интерфейс API VIM</t>
  </si>
  <si>
    <t xml:space="preserve">13.2</t>
  </si>
  <si>
    <t xml:space="preserve">Возможность интеграции Решения с внешними биллинговыми системами</t>
  </si>
  <si>
    <t xml:space="preserve">Портал самообслуживания, тарификации и биллинга из состава облачной платформы позволяет создать интеграцию с внешним BILLManager</t>
  </si>
  <si>
    <t xml:space="preserve">13.3</t>
  </si>
  <si>
    <t xml:space="preserve">Возможность автоматического расчета расходов на потребленные ресурсы/услуги локальных ресурсов</t>
  </si>
  <si>
    <t xml:space="preserve">13.4</t>
  </si>
  <si>
    <t xml:space="preserve">Наличие автоматических и кастомизируемых отчетов</t>
  </si>
  <si>
    <t xml:space="preserve">13.5</t>
  </si>
  <si>
    <t xml:space="preserve">Наличие возможности регулировать глубину хранения аналитической информации (минимальная глубина хранения 12 мес.)</t>
  </si>
  <si>
    <t xml:space="preserve">13.6</t>
  </si>
  <si>
    <t xml:space="preserve">Возможность построения трендов утилизации инфраструктуры для планирования закупки ресурсов</t>
  </si>
  <si>
    <t xml:space="preserve">14</t>
  </si>
  <si>
    <t xml:space="preserve">Емкостные характеристики</t>
  </si>
  <si>
    <t xml:space="preserve">14.1</t>
  </si>
  <si>
    <t xml:space="preserve">Емкостные характеристики предлагаемого решения соответствуют таблице 1 Приложения 2.1 с возможностью последующего горизонтального масштабирования.</t>
  </si>
  <si>
    <t xml:space="preserve">14.2</t>
  </si>
  <si>
    <t xml:space="preserve">Клиентское ПО и графические консоли управления предлагаемого решения обеспечивает время отклика не более 3 сек на операциях, не требующих обращения к серверному backend.</t>
  </si>
  <si>
    <t xml:space="preserve">14.3</t>
  </si>
  <si>
    <t xml:space="preserve">Предлагаемое решение поддерживает одновременную работу не менее 1000 активных пользователей в графических и CLI интерфейсах.</t>
  </si>
  <si>
    <t xml:space="preserve">14.4</t>
  </si>
  <si>
    <t xml:space="preserve">Предлагаемое решение не имеет ограничений по общему количеству пользователей, зарегистрированных в системе.</t>
  </si>
  <si>
    <t xml:space="preserve">14.5</t>
  </si>
  <si>
    <t xml:space="preserve">Максимальное число vCPU в одной ВМ не менее 128. Указать рекомендуемое и максимальное значение для предлагаемого решения.</t>
  </si>
  <si>
    <t xml:space="preserve">https://wiki.astralinux.ru/brest/4.0.1/maksimal-nye-znacheniya-konfiguratsii-pk-sv-331358995.html</t>
  </si>
  <si>
    <t xml:space="preserve">14.6</t>
  </si>
  <si>
    <t xml:space="preserve">Максимальный объём vRAM в одной ВМ не менее 4 TB. Указать рекомендуемое и максимальное значение для предлагаемого решения.</t>
  </si>
  <si>
    <t xml:space="preserve">14.7</t>
  </si>
  <si>
    <t xml:space="preserve">Максимальное число vDISK томов в одной ВМ не менее 30. Указать рекомендуемое и максимальное значение для предлагаемого решения.</t>
  </si>
  <si>
    <t xml:space="preserve">26 — virtio-blk; 100 — vitio-scsi</t>
  </si>
  <si>
    <t xml:space="preserve">14.8</t>
  </si>
  <si>
    <t xml:space="preserve">Максимальный объём одного vDISK в одной ВМ не менее 60 TB. Указать рекомендуемое и максимальное значение для предлагаемого решения.</t>
  </si>
  <si>
    <t xml:space="preserve">8 Пб</t>
  </si>
  <si>
    <t xml:space="preserve">14.9</t>
  </si>
  <si>
    <t xml:space="preserve">Максимальное число SCSI адаптеров в одной ВМ не менее 4. Указать рекомендуемое и максимальное значение для предлагаемого решения.</t>
  </si>
  <si>
    <t xml:space="preserve">14.10</t>
  </si>
  <si>
    <t xml:space="preserve">Максимальное число vNIC в одной ВМ не менее 10. Указать рекомендуемое и максимальное значение для предлагаемого решения.</t>
  </si>
  <si>
    <t xml:space="preserve">14.11</t>
  </si>
  <si>
    <t xml:space="preserve">Максимальное поддерживаемое число vCPU на одном узле вычислений (физическом сервере) не менее 1000. Указать рекомендуемое и максимальное значение для предлагаемого решения.</t>
  </si>
  <si>
    <t xml:space="preserve">14.12</t>
  </si>
  <si>
    <t xml:space="preserve">При использовании OpenStack keystone компонеты, возможность развертывание более 1000 физических хостов без ущерба производительности, например, путем горизонтального масштабирования сервиса keystone.</t>
  </si>
  <si>
    <t xml:space="preserve">OpenStack не используется</t>
  </si>
  <si>
    <t xml:space="preserve">14.13</t>
  </si>
  <si>
    <t xml:space="preserve">Поддержка "сырого" объема на узел хранения не менее 64TB</t>
  </si>
  <si>
    <t xml:space="preserve">14.14</t>
  </si>
  <si>
    <t xml:space="preserve">Поддержка не менее 40 дисков на узел хранения</t>
  </si>
  <si>
    <t xml:space="preserve">14.15</t>
  </si>
  <si>
    <t xml:space="preserve">Поддержка "сырого" объема на  кластер хранения не менее 8 PB</t>
  </si>
  <si>
    <t xml:space="preserve">14.16</t>
  </si>
  <si>
    <t xml:space="preserve">Поддержка не менее 3 узлов в кластере хранения</t>
  </si>
  <si>
    <t xml:space="preserve">14.17</t>
  </si>
  <si>
    <t xml:space="preserve">Отсутствие ограничений на количество портов виртуального коммутатора. Указать рекомендуемое и максимальное значение для предлагаемого решения.</t>
  </si>
  <si>
    <t xml:space="preserve">14.18</t>
  </si>
  <si>
    <t xml:space="preserve">Отсутствие ограничений на количество виртуальных логических сетей. Указать рекомендуемое и максимальное значение для предлагаемого решения.</t>
  </si>
  <si>
    <t xml:space="preserve">14.19</t>
  </si>
  <si>
    <t xml:space="preserve">Максимальное число дисков (LUNs), подключаемых по Fibre Channel/iSCSI, на один гипервизор не менее 1024. </t>
  </si>
  <si>
    <t xml:space="preserve">14.20</t>
  </si>
  <si>
    <t xml:space="preserve">Максимальное кол-во путей до дисков (LUNs), подключаемых по Fibre Channel, на один гипервизор не менее 4096. </t>
  </si>
  <si>
    <t xml:space="preserve">Приложение № 2.3</t>
  </si>
  <si>
    <t xml:space="preserve">Сайзинг-модель (типовые конфигурации Заказчика)</t>
  </si>
  <si>
    <t xml:space="preserve">Площадка</t>
  </si>
  <si>
    <t xml:space="preserve">Тип сервера</t>
  </si>
  <si>
    <t xml:space="preserve">Роль сервера</t>
  </si>
  <si>
    <t xml:space="preserve">Операционная система</t>
  </si>
  <si>
    <t xml:space="preserve">СУБД</t>
  </si>
  <si>
    <t xml:space="preserve">CPU, шт.</t>
  </si>
  <si>
    <t xml:space="preserve">Ядер на 1 CPU, шт.</t>
  </si>
  <si>
    <t xml:space="preserve">RAM, ГБ</t>
  </si>
  <si>
    <t xml:space="preserve">Полезный объем HDD, ГБ</t>
  </si>
  <si>
    <t xml:space="preserve">Тип дисков</t>
  </si>
  <si>
    <t xml:space="preserve">Мониторинг</t>
  </si>
  <si>
    <t xml:space="preserve">Ответ участника, указать к-во шт</t>
  </si>
  <si>
    <t xml:space="preserve">Виртуальные серверы приложений</t>
  </si>
  <si>
    <t xml:space="preserve">Основная / Резервная</t>
  </si>
  <si>
    <t xml:space="preserve">Виртуальный</t>
  </si>
  <si>
    <t xml:space="preserve">Сервер приложений</t>
  </si>
  <si>
    <t xml:space="preserve">CentOS*</t>
  </si>
  <si>
    <t xml:space="preserve">Не требуется</t>
  </si>
  <si>
    <t xml:space="preserve">SSD</t>
  </si>
  <si>
    <t xml:space="preserve">Тестовая</t>
  </si>
  <si>
    <t xml:space="preserve">Медленные</t>
  </si>
  <si>
    <t xml:space="preserve">Быстрые</t>
  </si>
  <si>
    <t xml:space="preserve">Виртуальные серверы БД</t>
  </si>
  <si>
    <t xml:space="preserve">Сервер БД</t>
  </si>
  <si>
    <t xml:space="preserve">Postgres SQL*</t>
  </si>
  <si>
    <t xml:space="preserve">Физические серверы приложений</t>
  </si>
  <si>
    <t xml:space="preserve">Физический</t>
  </si>
  <si>
    <t xml:space="preserve">Локальные</t>
  </si>
  <si>
    <t xml:space="preserve">Физические серверы БД </t>
  </si>
  <si>
    <t xml:space="preserve">Postgres SQL</t>
  </si>
  <si>
    <t xml:space="preserve">СХД</t>
  </si>
  <si>
    <t xml:space="preserve">* CentOS - Рекомендуемая ОС для ифнраструктурных серверов, может быть изменена на альтернативную ОС в случае предоставления поддержки в комплекте поставки</t>
  </si>
  <si>
    <t xml:space="preserve">Приложение № 2.4</t>
  </si>
  <si>
    <t xml:space="preserve">"Распределение обязанностей при выполнении работ"</t>
  </si>
  <si>
    <t xml:space="preserve">Применяемые в таблицах сокращения:</t>
  </si>
  <si>
    <t xml:space="preserve">З  = Обязанность лежит на Заказчике</t>
  </si>
  <si>
    <t xml:space="preserve">И =  Обязанность лежит на Исполнителе</t>
  </si>
  <si>
    <t xml:space="preserve"> -   =  Не применяется</t>
  </si>
  <si>
    <t xml:space="preserve">З/И =  Обязанность лежит на Заказчике /Исполнитель оказывает содействие и осуществляет контроль</t>
  </si>
  <si>
    <t xml:space="preserve">И/З =  Обязанность лежит на Исполнителе/Заказчик оказывает содействие и осуществляет контроль</t>
  </si>
  <si>
    <t xml:space="preserve">TBD =  Должно быть определено в каждом конкретном случае.</t>
  </si>
  <si>
    <t xml:space="preserve">Подготовка Площадок</t>
  </si>
  <si>
    <t xml:space="preserve">Площадки должны быть подготовлены Заказчиком в соответствии с отраслевыми нормативными требованиями и законодательством, а также соответствовать требованиям производителя программного обеспечения </t>
  </si>
  <si>
    <t xml:space="preserve">Распределение обязанностей</t>
  </si>
  <si>
    <t xml:space="preserve">Наименование </t>
  </si>
  <si>
    <t xml:space="preserve">Обязанность</t>
  </si>
  <si>
    <t xml:space="preserve">Подтверждение Участника (Да/Нет)</t>
  </si>
  <si>
    <t xml:space="preserve">Project Manager. Общее ведение проекта, разработка плана. Оперативный еженедельный отчет (что сделано, что планируется сделать, текущие вопросы, которые срывают сроки, ответственные, еженедельный отчет для руководства). Ответственность за срыв сроков и отставания от Плана-Графика. Организация еженедельных встреч с обсуждение текущих вопросов. Отслеживание плана-графика, решение возникающих проблем, приводящих к срыву сроков согласованного плана-графика</t>
  </si>
  <si>
    <t xml:space="preserve">И</t>
  </si>
  <si>
    <t xml:space="preserve">Тестирование на соответствие требованиям ТЗ без оплаты со стороны Заказчика</t>
  </si>
  <si>
    <t xml:space="preserve">* к тестированию допускается один участник (Победитель)</t>
  </si>
  <si>
    <t xml:space="preserve">Наименование работ</t>
  </si>
  <si>
    <t xml:space="preserve">Длительность
(не более, календарных дней)</t>
  </si>
  <si>
    <t xml:space="preserve">Составление дизайна тестовой инсталляции Платформы и плана тестирования.
План тестирования предполагает проверку функционала Платформы и совместимости с инфраструктурой Компании Заказчика, также в рамках тестирования производится миграция нескольких ВМ с текущей платформы виртуализации Заказчика для подтверждения функционала миграции.</t>
  </si>
  <si>
    <t xml:space="preserve">Утверждение дизайна тестовой инсталляции Платформы и плана тестирования</t>
  </si>
  <si>
    <t xml:space="preserve">З</t>
  </si>
  <si>
    <t xml:space="preserve">Подготовка тестовой инфраструктуры, в соответствии с утвержденным дизайном.</t>
  </si>
  <si>
    <t xml:space="preserve">Развертывание Платформы в соответствии с утвержденным дизайном тестового стенда</t>
  </si>
  <si>
    <t xml:space="preserve">Испытание Платформы на применимость в ПАО МегаФон, в рамках тестового стенда. Формирование перечня замечаний.</t>
  </si>
  <si>
    <t xml:space="preserve">Составление Акта тестирования (включая перечень замечаний со сроками устранения)</t>
  </si>
  <si>
    <t xml:space="preserve">Разработка HLD/LLD дизайна</t>
  </si>
  <si>
    <t xml:space="preserve">Сроки выполнения работ</t>
  </si>
  <si>
    <t xml:space="preserve">Предоставление опросных листов для разработки HLD, LLD и схем интеграции</t>
  </si>
  <si>
    <t xml:space="preserve">Заполнение опросных листов для разработки HLD, LLD и схем интеграции</t>
  </si>
  <si>
    <t xml:space="preserve">Подготовка и предоставление дизайна HLD и схем интеграций с учетом географического распределения с возможностью масштабирования как внутри площадки, так и возможность добавления новой площадки. Площадки могут быть с наличием системы управления, так и без. Разработка LLD (e2e дизайн), включая физические и логические схемы подключения к сетевой фабрике, дизайн оборудования в стойке\на площадке и детальную схему кабельных соединений, IP-план, схемы маршрутизации трафика, детализированная проработка согласованного решения до уровня шаблонов конфигурации, определение информационной модели - состава данных для инфообмена с системами Заказчика в рамках интеграций</t>
  </si>
  <si>
    <t xml:space="preserve">не более 2 недель на площадку</t>
  </si>
  <si>
    <t xml:space="preserve">Предоставление исходных данных для сетевого планирования</t>
  </si>
  <si>
    <t xml:space="preserve">Сетевое планирование, подготовка пакета документации</t>
  </si>
  <si>
    <t xml:space="preserve">Утверждение документации.</t>
  </si>
  <si>
    <t xml:space="preserve">Установка и конфигурирование Платформы, 
включая обеспечение ее корректного взаимодействия и интеграции с системами Заказчика*</t>
  </si>
  <si>
    <t xml:space="preserve">*Процесс установки и настройки одной из инсталляций Платформы должен быть проведен в формате видеоконференции с передачей знаний персоналу Заказчика.</t>
  </si>
  <si>
    <t xml:space="preserve">Наименование Работ</t>
  </si>
  <si>
    <t xml:space="preserve">Предоставление Оборудования для развертывания Платформы</t>
  </si>
  <si>
    <t xml:space="preserve">Инвентаризация Оборудования на соответствие предоставленной спецификации</t>
  </si>
  <si>
    <t xml:space="preserve">И/З</t>
  </si>
  <si>
    <t xml:space="preserve">Проверка наличия и комплектности технической документации, поставленной Заказчику</t>
  </si>
  <si>
    <t xml:space="preserve">Планирование изменения аппаратной реализации по результатам инвентаризации</t>
  </si>
  <si>
    <t xml:space="preserve">Проведение изменений аппаратной реализации по результатам инвентаризации</t>
  </si>
  <si>
    <t xml:space="preserve">Согласование перечня ПО</t>
  </si>
  <si>
    <t xml:space="preserve">Поставка ПО</t>
  </si>
  <si>
    <t xml:space="preserve">Проверка наличия программного обеспечения в соответствии с проектной документацией</t>
  </si>
  <si>
    <t xml:space="preserve">Установка и конфигурирование Платформы, включая гипервизоры и управляющие элементы</t>
  </si>
  <si>
    <t xml:space="preserve">Не более 5 недель на площадку</t>
  </si>
  <si>
    <t xml:space="preserve">Установка и активация лицензий</t>
  </si>
  <si>
    <t xml:space="preserve">Конфигурирование сетевой подсистемы, подсистемы хранения и настроек безопасности Платформы</t>
  </si>
  <si>
    <t xml:space="preserve">Настройка Платформы для обеспечения ее корректного взаимодействия со смежными системами. Фиксация проблем взаимодействия.</t>
  </si>
  <si>
    <t xml:space="preserve">Привлечение профильных специалистов Заказчика для решения проблем взаимодействия Платформы со смежными системами</t>
  </si>
  <si>
    <t xml:space="preserve">Консультационная поддержка и проактивное взаимодействие с производителями смежных компонентов (HW, СХД, SAN, NET) в рамках решения мультивендорных вопросов (в частности, по вопросам совместимости и консистентности реализованных интеграций)</t>
  </si>
  <si>
    <t xml:space="preserve">Устранение проблем взаимодействия Платформы со смежными системами</t>
  </si>
  <si>
    <t xml:space="preserve">Настройка приложений и конфигурирование устанавливаемого ПО для организации интеграций и взаимодействия с системами Заказчика (см приложение 2.5):
 * Разработка необходимых шаблонов для передачи данных\метрик\сообщений\аварий по интеграции
 * Настройка интеграции для двустороннего инфообмена между Платформой и интегрируемой внешней системой.
 * Документирование интеграции и форматов передаваемых данных\метрик\сообщений
 * Устранение выявленных недостатков</t>
  </si>
  <si>
    <t xml:space="preserve">Мониторинг стабильности работы установленного ПО и его реконфигурация при необходимости после переключения коммерческой нагрузки</t>
  </si>
  <si>
    <t xml:space="preserve">Приемо-сдаточные испытания</t>
  </si>
  <si>
    <t xml:space="preserve">Приемо-сдаточные испытания необходимы для проверки работоспособности программного обеспечения. Испытания проводятся на основании стандартных процедур производителя, а также процедур сдачи-приемки, определенные между Заказчиком и Исполнителем, если таковые были установлены при подписании Заказа. В ходе приемо-сдаточных испытаний Исполнитель демонстрирует Заказчику соответствие характеристик программного обеспечения, введенного в эксплуатацию в рамках выполнения Заказа, заявленным производителем. По окончании работ, в случае успешных испытаний Стороны подписывают Акт технической приемки, на основании которого Стороны подписывают Акт сдачи-приемки.</t>
  </si>
  <si>
    <t xml:space="preserve">Подготовка и согласование программы Приемо-сдаточных испытаний, включая, но не ограничиваясь:
 - Исполнение функционального тестирования Платформы
 - Исполнение нагрузочного тестирования Платформы
 - Исполнение сценариев проверки работоспособности интеграций с системами Заказчика</t>
  </si>
  <si>
    <t xml:space="preserve">Подготовка Платформы заданной конфигурации к приемо-сдаточным испытаниям</t>
  </si>
  <si>
    <t xml:space="preserve">Предоставление специалистов подразделений эксплуатации, необходимых для приемки программного обеспечения</t>
  </si>
  <si>
    <t xml:space="preserve">Проведение Приемо-сдаточных испытаний в соответствии с согласованной программой Приемо-сдаточных испытаний</t>
  </si>
  <si>
    <t xml:space="preserve">Устранение замечаний, выявленных в рамках Приемо-сдаточных испытаний</t>
  </si>
  <si>
    <t xml:space="preserve">Составление отчета о Приемо-сдаточных испытаниях  (включая перечень замечаний со сроками устранения)</t>
  </si>
  <si>
    <t xml:space="preserve">Составление Акта выполненных Работ</t>
  </si>
  <si>
    <t xml:space="preserve">Приложение № 2.5</t>
  </si>
  <si>
    <t xml:space="preserve">Требования к интеграциям</t>
  </si>
  <si>
    <t xml:space="preserve">Задача интеграции</t>
  </si>
  <si>
    <t xml:space="preserve">Программный продукт</t>
  </si>
  <si>
    <t xml:space="preserve">Поддержка версий не ниже:</t>
  </si>
  <si>
    <t xml:space="preserve">Протоколы</t>
  </si>
  <si>
    <t xml:space="preserve">Интеграция с со службой каталогов.</t>
  </si>
  <si>
    <t xml:space="preserve">Microsoft Active Directory </t>
  </si>
  <si>
    <t xml:space="preserve">DomainMode - Windows2016Domain, Schema Version 88. </t>
  </si>
  <si>
    <t xml:space="preserve">LDAPS, Kerberos, SAML, OAuth 2.0 / OpenID Connect (OIDC)</t>
  </si>
  <si>
    <t xml:space="preserve">ALD PRO</t>
  </si>
  <si>
    <t xml:space="preserve">ALD PRO 2.5.0</t>
  </si>
  <si>
    <t xml:space="preserve">Интеграция с SIEM системой для выявления инцидентов ИБ.</t>
  </si>
  <si>
    <t xml:space="preserve">после подписания NDA</t>
  </si>
  <si>
    <t xml:space="preserve">Интеграция с почтовой системой</t>
  </si>
  <si>
    <t xml:space="preserve">Microsoft Exchange</t>
  </si>
  <si>
    <t xml:space="preserve">2019 (15.2)</t>
  </si>
  <si>
    <t xml:space="preserve">SMTP TLS 1.2</t>
  </si>
  <si>
    <t xml:space="preserve">Интеграция с мониторингом заказчика.</t>
  </si>
  <si>
    <t xml:space="preserve">Zabbix</t>
  </si>
  <si>
    <t xml:space="preserve">SNMPv3,  IPMI, API</t>
  </si>
  <si>
    <t xml:space="preserve">Интеграция с системой учета CMDB (выгрузка инвентарной информации)</t>
  </si>
  <si>
    <t xml:space="preserve">Web-сервис, реализованный на стеке Oracle СУБД + Oracle APEX.</t>
  </si>
  <si>
    <t xml:space="preserve">-</t>
  </si>
  <si>
    <t xml:space="preserve">REST API, DBLINK</t>
  </si>
  <si>
    <t xml:space="preserve">Интеграция с автоматизацией CloudBot по созданию/изменению/удалению ВМ 
Поддержка функц. требований 12.6-12.12</t>
  </si>
  <si>
    <t xml:space="preserve">Собственная разработка</t>
  </si>
  <si>
    <t xml:space="preserve">REST API</t>
  </si>
  <si>
    <t xml:space="preserve">Интеграция с SM.</t>
  </si>
  <si>
    <t xml:space="preserve">Micro Focus Service Manager 9.64.2002-P2</t>
  </si>
  <si>
    <t xml:space="preserve">SOAP основной и предпочтительный,
REST урезанный функционал.</t>
  </si>
  <si>
    <t xml:space="preserve">Приложение № 2.6</t>
  </si>
  <si>
    <t xml:space="preserve">Требования к Технической поддержке в гарантийный и послегарантийный периоды</t>
  </si>
  <si>
    <t xml:space="preserve">Требование</t>
  </si>
  <si>
    <t xml:space="preserve">Подтверждение
Участника
(Да/Нет)</t>
  </si>
  <si>
    <t xml:space="preserve">Срок поддержки Системы (End of Support) должен заканчиваться не ранее, чем через 84 месяца после ввода Системы в Промышленную эксплуатацию.</t>
  </si>
  <si>
    <t xml:space="preserve">На всю поставляемую Продукцию, лицензии и работы предоставляется срок гарантии не менее 24 месяцев (с возможностью продления услуг ТП), включая мажорные и минорные обновления ПО, начиная от даты подписания Заказчиком Акта приемки полностью законченного проекта.</t>
  </si>
  <si>
    <t xml:space="preserve">Участник подтверждает готовность оказывать услуги послегарантийной технической поддержки на условиях и в соответствии с требованиями Технического задания (включая приложения к ТЗ) не менее 5 лет после окончания срока гарантийной поддержки.</t>
  </si>
  <si>
    <t xml:space="preserve">Поддержка должна предоставляться для перечня инсталляций ПО на инфраструктуре Заказчика с условием возможного переименования линейки продуктов или конкретного экземпляра ПО.</t>
  </si>
  <si>
    <t xml:space="preserve">Техническая поддержка должна включать возможности:</t>
  </si>
  <si>
    <t xml:space="preserve"> - Непосредственного взаимодействия с инженерами Исполнителя в рамках Кейсов по телефону, электронной почте, а также в онлайн сессиях с помощью системы аудио/видеоконференцсвязи Заказчика, использование других систем не допускается.</t>
  </si>
  <si>
    <t xml:space="preserve"> - Предоставления Услуг технической поддержки без выезда на Площадку, в том числе с помощью удаленного доступа.</t>
  </si>
  <si>
    <t xml:space="preserve"> - Последующий контроль решения Проблем уровня "Критичный" в режиме Online до предоставления Постоянного решения.</t>
  </si>
  <si>
    <t xml:space="preserve"> - Предоставления новых версий программного обеспечения и обновлений программного обеспечения в рамках закупленного функционала для устранения Проблем или обеспечения полного набора услуг технической поддержки.</t>
  </si>
  <si>
    <t xml:space="preserve"> - Предоставления материалов, необходимых Заказчику для своевременной подготовки системы к установке и эксплуатации новой версии ПО.</t>
  </si>
  <si>
    <t xml:space="preserve"> - Консультации по Обновлению до новых версий ПО, консультации по установке обновлений на текущую версию ПО.</t>
  </si>
  <si>
    <t xml:space="preserve"> - Консультации по эксплуатации ПО, включая вопросы:
 o Инсталляции и конфигурирования 
 o Оптимизации производительности
 o Обеспечения высокой доступности сервисов, предоставляемых ПО
 o Резервного копирования и методов предотвращения потерь данных
 o Обеспечения информационной безопасности
 o Способов диагностики и идентификации проблем
 o Практик организации мониторинга</t>
  </si>
  <si>
    <t xml:space="preserve"> - Установки ПО:</t>
  </si>
  <si>
    <t xml:space="preserve">  o   Установка новых версий ПО (без/с добавлением новой функциональности).</t>
  </si>
  <si>
    <t xml:space="preserve">  o   Установка обновлений ПО.</t>
  </si>
  <si>
    <t xml:space="preserve">  o   Поддержка установки новых версий ПО по согласованному удаленному доступу.</t>
  </si>
  <si>
    <t xml:space="preserve">  o   Поддержка установки обновления ПО по согласованному удаленному доступу.</t>
  </si>
  <si>
    <t xml:space="preserve">  o   Возможность отката на предыдущую версию ПО.</t>
  </si>
  <si>
    <t xml:space="preserve">  o   Предоставление инструкции по обновлению ПО с перечнем совместимости версий компонентов системы/ОС.</t>
  </si>
  <si>
    <t xml:space="preserve">Техническая поддержка должна обеспечивать возможность открытия Кейсов по телефону, электронной почте, на портале поддержки Исполнителя.</t>
  </si>
  <si>
    <t xml:space="preserve">Возможность создания обращений в техническую поддержку должна быть в круглосуточном режиме 24/7/365, вне зависимости от уровня критичности обращения.</t>
  </si>
  <si>
    <t xml:space="preserve">В рамках технической поддержки на Портале Исполнителя должно быть организовано:</t>
  </si>
  <si>
    <t xml:space="preserve"> - Хранилище дистрибутивов с информацией о контрольных суммах дистрибутивов.</t>
  </si>
  <si>
    <t xml:space="preserve"> - Информационный портал с документацией для обеспечения Информационного сопровождения.</t>
  </si>
  <si>
    <t xml:space="preserve"> - Система приема и обработки заявок от Заказчика (Кейсов).</t>
  </si>
  <si>
    <t xml:space="preserve"> - Информирование о наборе, типе и сроке действующих лицензий Заказчика.</t>
  </si>
  <si>
    <t xml:space="preserve">Исполнитель должен обеспечить возможность выгрузки информации об истории Кейсов поддержки с Портала Исполнителя, либо в рамках Консультационного кейса.</t>
  </si>
  <si>
    <t xml:space="preserve">В рамках поддержки, на портале Исполнителя для Заказчика должен быть организован личный кабинет, весь функционал, касающийся оформления и ведения кейсов должен быть доступен в том числе, через Портал. К личному кабинету Заказчика, данным и файлам, загружаемым на Портал, не должны иметь доступ третьи лица.</t>
  </si>
  <si>
    <t xml:space="preserve">Портал поддержки Исполнителя должен располагаться в сети Интернет и быть доступным с территории РФ, портал должен работать по защищенному каналу (https).</t>
  </si>
  <si>
    <t xml:space="preserve">Вся необходимая диагностическая информация (логи, файлы конфигураций, дампы, образы, снапшоты) передаются Исполнителю через портал Исполнителя, доступный с территории РФ, через защищенный канал передачи данных (SFTP/https) либо через портал Заказчика, доступный из сети Интернет. Способ передачи данных определяет Заказчик.</t>
  </si>
  <si>
    <t xml:space="preserve">Резервным способом передачи информации является электронная почта, при этом данные по Кейсу должны пересылаться в зашифрованном архиве, защищенном паролем. Пароль должен отвечать требованиям Компании к парольной защите (минимум 16 символов трех групп символов, двух разных раскладок). Пароль от архива при этом должен передаваться с помощью альтернативного метода связи, например, смс сообщения.</t>
  </si>
  <si>
    <t xml:space="preserve">Оказываемая техническая поддержка, не накладывает никаких временных и функциональных ограничений и не требует дополнительной оплаты или покупки расширенных условий технической поддержки.</t>
  </si>
  <si>
    <t xml:space="preserve">Поддержка должна осуществляться для всех, поставляемых в рамках закупочной процедуры, продуктов, включая ОС инфраструктурных серверов, поставляемых в рамках данного ТЗ.</t>
  </si>
  <si>
    <t xml:space="preserve">Требование к уровню технической поддержки</t>
  </si>
  <si>
    <r>
      <rPr>
        <sz val="12"/>
        <color theme="1"/>
        <rFont val="Arial Narrow"/>
        <family val="2"/>
        <charset val="204"/>
      </rPr>
      <t xml:space="preserve"> - Поддержка должна осуществляться в соответствии с согласованным c Заказчиком</t>
    </r>
    <r>
      <rPr>
        <b val="true"/>
        <sz val="12"/>
        <color theme="1"/>
        <rFont val="Arial Narrow"/>
        <family val="2"/>
        <charset val="204"/>
      </rPr>
      <t xml:space="preserve"> SLA</t>
    </r>
    <r>
      <rPr>
        <sz val="12"/>
        <color theme="1"/>
        <rFont val="Arial Narrow"/>
        <family val="2"/>
        <charset val="204"/>
      </rPr>
      <t xml:space="preserve"> (см. Таблица 1 и Таблица 2)</t>
    </r>
  </si>
  <si>
    <t xml:space="preserve"> - Степень критичности кейса определяется Заказчиком и может быть изменена только с согласования Заказчика</t>
  </si>
  <si>
    <t xml:space="preserve"> - Количество кейсов любой степени критичности не ограничено</t>
  </si>
  <si>
    <r>
      <rPr>
        <b val="true"/>
        <sz val="12"/>
        <rFont val="Arial Narrow"/>
        <family val="2"/>
        <charset val="204"/>
      </rPr>
      <t xml:space="preserve">Штрафные санкции</t>
    </r>
    <r>
      <rPr>
        <sz val="12"/>
        <rFont val="Arial Narrow"/>
        <family val="2"/>
        <charset val="204"/>
      </rPr>
      <t xml:space="preserve"> в гарантийный и послегарантийный периоды перечислены в Таблице 3.
«Санкции для запросов Услуг Технической поддержки Программного обеспечения, открытых в пределах срока действия Договора и Заказа могут рассчитываться и применяться ежеквартально на основании превышения сроков, установленных в SLA. 
Моментом расчета санкций является последний календарный день расчетного квартала.</t>
    </r>
  </si>
  <si>
    <r>
      <rPr>
        <sz val="12"/>
        <color theme="1"/>
        <rFont val="Arial Narrow"/>
        <family val="2"/>
        <charset val="204"/>
      </rPr>
      <t xml:space="preserve">Исполнитель подтверждает готовность предоставления Отчетности по ТП заказчику. Отчетность по Технической поддержке подразумевает регулярное</t>
    </r>
    <r>
      <rPr>
        <sz val="12"/>
        <rFont val="Arial Narrow"/>
        <family val="2"/>
        <charset val="204"/>
      </rPr>
      <t xml:space="preserve"> (в конце каждого квартала</t>
    </r>
    <r>
      <rPr>
        <sz val="12"/>
        <color theme="1"/>
        <rFont val="Arial Narrow"/>
        <family val="2"/>
        <charset val="204"/>
      </rPr>
      <t xml:space="preserve">) сообщение Заказчику</t>
    </r>
    <r>
      <rPr>
        <sz val="12"/>
        <rFont val="Arial Narrow"/>
        <family val="2"/>
        <charset val="204"/>
      </rPr>
      <t xml:space="preserve"> о выполнении всех мероприятий (кейсов, инф. запросов, уведомлений), предусмотренных Технической поддержкой.</t>
    </r>
    <r>
      <rPr>
        <sz val="12"/>
        <color theme="1"/>
        <rFont val="Arial Narrow"/>
        <family val="2"/>
        <charset val="204"/>
      </rPr>
      <t xml:space="preserve"> Формат отчетности и способ передачи согласовывается с Заказчиком отдельно.</t>
    </r>
  </si>
  <si>
    <t xml:space="preserve">Поквартальная приемка и оплата услуг.</t>
  </si>
  <si>
    <t xml:space="preserve">Предоставление дистрибутивов/патчей/доступа к базе знаний не являются обращениями/кейсами</t>
  </si>
  <si>
    <t xml:space="preserve">Таблица 1</t>
  </si>
  <si>
    <t xml:space="preserve">Уровень критичности</t>
  </si>
  <si>
    <t xml:space="preserve">Описание</t>
  </si>
  <si>
    <t xml:space="preserve">Критичный</t>
  </si>
  <si>
    <t xml:space="preserve">Ошибка в промышленно эксплуатируемой Платформе, при возникновении которой зафиксировано значительное негативное влияние на потребителей ИС.
Нарушение функциональности системы, не позволяющее выполнять критичные для бизнеса операции</t>
  </si>
  <si>
    <t xml:space="preserve">Средний</t>
  </si>
  <si>
    <t xml:space="preserve">Ошибка в промышленно эксплуатируемой Платформе, в результате которой стала невозможной эксплуатация части функций ПО.
Запрос характеризуется одним или несколькими критериями:
повреждение данных;
недоступность части задокументированной функциональности системы;
система произвольно зависает, приводя к неприемлемым и неопределённым задержкам; 
Cистемные сбои, повторяющиеся после перезагрузки системы. 
Важные компоненты системы недоступны, отсутствуют обходные пути решения проблемы, бизнес-операции могут выполняться в ограниченной функциональности. </t>
  </si>
  <si>
    <t xml:space="preserve">Низкий</t>
  </si>
  <si>
    <t xml:space="preserve">Ошибки на Платформе, не подходящие под определение Критичных или Средних.</t>
  </si>
  <si>
    <t xml:space="preserve">Консультация</t>
  </si>
  <si>
    <t xml:space="preserve">Предоставление специалистам Заказчика консультаций.</t>
  </si>
  <si>
    <t xml:space="preserve">Таблица 2</t>
  </si>
  <si>
    <t xml:space="preserve">Услуга</t>
  </si>
  <si>
    <t xml:space="preserve">Время реагирования</t>
  </si>
  <si>
    <t xml:space="preserve">Предельное время предоставления Временного решения проблемы</t>
  </si>
  <si>
    <t xml:space="preserve">Предельное время предоставления Постоянного решения проблемы</t>
  </si>
  <si>
    <t xml:space="preserve">Доступность обслуживания</t>
  </si>
  <si>
    <t xml:space="preserve">Принятие в работу и решение запроса уровня "Критичный" в установленные сроки</t>
  </si>
  <si>
    <t xml:space="preserve">Не более получаса</t>
  </si>
  <si>
    <t xml:space="preserve">Не более 4 часов</t>
  </si>
  <si>
    <t xml:space="preserve">Не более 10 рабочих дней</t>
  </si>
  <si>
    <t xml:space="preserve">24x7</t>
  </si>
  <si>
    <t xml:space="preserve">Принятие в работу и решение запроса уровня "Средний" в установленные сроки</t>
  </si>
  <si>
    <t xml:space="preserve">Не более 1 часа</t>
  </si>
  <si>
    <t xml:space="preserve">Не более 1 рабочего дня</t>
  </si>
  <si>
    <t xml:space="preserve">Не более 20 рабочих дней</t>
  </si>
  <si>
    <t xml:space="preserve">8x5</t>
  </si>
  <si>
    <t xml:space="preserve">Принятие в работу и решение запроса уровня "Низкий" в установленные сроки</t>
  </si>
  <si>
    <t xml:space="preserve">Не более 5 рабочих дней</t>
  </si>
  <si>
    <t xml:space="preserve">Не более 30 рабочих дней</t>
  </si>
  <si>
    <t xml:space="preserve">Принятие в работу и решение запроса уровня "Консультация" в установленные сроки</t>
  </si>
  <si>
    <t xml:space="preserve">Не более 2 рабочих дней</t>
  </si>
  <si>
    <t xml:space="preserve">Таблица 3</t>
  </si>
  <si>
    <t xml:space="preserve">Размер штрафных санкций, за превышение Времени предоставления решений и Времени реакции</t>
  </si>
  <si>
    <t xml:space="preserve">100 000 рублей по истечении каждого периода равного сроку предоставления Временного решения по запросам Уровня 1 в соответствии с Таблицей 2; </t>
  </si>
  <si>
    <t xml:space="preserve">30 000 рублей по истечении каждого периода равного Времени реагирования по запросам уровня 1 в соответствии с Таблицей 2; </t>
  </si>
  <si>
    <t xml:space="preserve">70 000 рублей по истечении каждого периода равного сроку предоставления Постоянного решения по запросам уровня 1 в соответствии с Таблицей 2 </t>
  </si>
  <si>
    <t xml:space="preserve">70 000 рублей по истечении каждого периода равного сроку предоставления Временного решения по запросам уровня 2 в соответствии с Таблицей 2; </t>
  </si>
  <si>
    <t xml:space="preserve">70 000 рублей по истечении каждого периода равного сроку предоставления Постоянного решения по запросам уровня 2 в соответствии с Таблицей 2; </t>
  </si>
  <si>
    <t xml:space="preserve">50 000 рублей по истечении каждого периода равного сроку предоставления Постоянного решения по запросам уровня 3 в соответствии с Таблицей 2; </t>
  </si>
  <si>
    <t xml:space="preserve">Консультации</t>
  </si>
  <si>
    <t xml:space="preserve">50 000 рублей по истечении каждого периода равного сроку предоставления Постоянного решения по запросам уровня 4 в соответствии с Таблицей 2</t>
  </si>
  <si>
    <t xml:space="preserve">Установка новой версии/обновления ПО</t>
  </si>
  <si>
    <t xml:space="preserve">70 000 рублей за каждый случай неуспешной установки Обновления ПО и/или новой Версии ПО, повлекшие возникновение аварийной ситуации Уровня критичности 1 по причине некорректной работы ПО или по причине предоставления некорректной инструкции по установке Обновления  ПО и/или новой Версии ПО.</t>
  </si>
  <si>
    <t xml:space="preserve">Предоставление отчетности</t>
  </si>
  <si>
    <r>
      <rPr>
        <sz val="11"/>
        <color theme="1"/>
        <rFont val="Times New Roman"/>
        <family val="1"/>
        <charset val="204"/>
      </rPr>
      <t xml:space="preserve">10 000 рублей за каждый Рабочий день задержки предоставления отчетности</t>
    </r>
    <r>
      <rPr>
        <sz val="11"/>
        <color rgb="FFFF0000"/>
        <rFont val="Times New Roman"/>
        <family val="1"/>
        <charset val="204"/>
      </rPr>
      <t xml:space="preserve">.</t>
    </r>
  </si>
  <si>
    <t xml:space="preserve">Штрафные санкции по каждому Запросу (кейсу) начисляются столько раз, сколько раз истек
срок, установленный в соответствии с Договором для реагирования по Запросам (кейсам).</t>
  </si>
  <si>
    <t xml:space="preserve">Приложение № 2.7</t>
  </si>
  <si>
    <t xml:space="preserve">Требования к Поставщику</t>
  </si>
  <si>
    <t xml:space="preserve">Требования к поставщику</t>
  </si>
  <si>
    <t xml:space="preserve">Ответ
участника
(Да/Нет)</t>
  </si>
  <si>
    <t xml:space="preserve">Комментарии участника</t>
  </si>
  <si>
    <t xml:space="preserve">1</t>
  </si>
  <si>
    <t xml:space="preserve">Авторизация от производителя решения. Предоставить Авторизационное письмо в составе Технического предложения</t>
  </si>
  <si>
    <t xml:space="preserve">2</t>
  </si>
  <si>
    <t xml:space="preserve">Наличие успешных реализаций в сложной геораспределенной инфраструктуре, сопоставимых по масштабам инфраструктуры проектов</t>
  </si>
  <si>
    <t xml:space="preserve">Наличие внедрений в сложной геораспределенной инфраструктуре</t>
  </si>
  <si>
    <t xml:space="preserve">Опыт работы сотрудников Исполнителя от 3 лет на сопоставимых по масштабам проектах, имеющих опыт и достаточную квалификацию для поддержки ПО, работающего в условиях высокой нагрузки, в режиме 24x7.</t>
  </si>
  <si>
    <t xml:space="preserve">5</t>
  </si>
  <si>
    <t xml:space="preserve">Перед началом работ Исполнитель обязуется подписать с Заказчиком договор о неразглашении NDA Предоставить скан подписанного NDA в составе Технического Предложения.</t>
  </si>
  <si>
    <t xml:space="preserve">6</t>
  </si>
  <si>
    <t xml:space="preserve">На этапе внедрения Исполнитель обязан предоставить выделенного Project Manager, в обязанности которого входит: Общее ведение проекта, разработка плана. Оперативный еженедельный отчет (что сделано, что планируется сделать, текущие вопросы, которые срывают сроки, ответственные, еженедельный отчет для руководства). Организация еженедельных встреч с обсуждение текущих вопросов. Отслеживание плана-графика, решение возникающих проблем, приводящих к срыву сроков согласованного плана-графика.</t>
  </si>
  <si>
    <t xml:space="preserve">Приложение № 2.8</t>
  </si>
  <si>
    <t xml:space="preserve">Примерные конфигурации типового HW ПАО "МегаФон</t>
  </si>
  <si>
    <t xml:space="preserve">1.</t>
  </si>
  <si>
    <t xml:space="preserve">ThinkSystem SR665 </t>
  </si>
  <si>
    <t xml:space="preserve">ThinkSystem AMD EPYC 9355 32C 280W 3.55GHz Processor</t>
  </si>
  <si>
    <t xml:space="preserve">ThinkSystem 64GB TruDDR5 6400MHz (2Rx4) RDIMM-A</t>
  </si>
  <si>
    <t xml:space="preserve">ThinkSystem 7mm S4520 960GB Read Intensive SATA 6Gb HS SSD</t>
  </si>
  <si>
    <t xml:space="preserve">ThinkSystem 2.5" U.2 PM9D5a 6.4TB Mixed Use NVMe NVMe PCIe 5.0 x4 HS SSD</t>
  </si>
  <si>
    <t xml:space="preserve">ThinkSystem Mellanox ConnectX-6 Lx 10/25GbE SFP28 2-port PCIe Ethernet Adapter</t>
  </si>
  <si>
    <t xml:space="preserve">ThinkSystem QLogic QLE2772 32Gb 2-Port PCIe Fibre Channel Adapter</t>
  </si>
  <si>
    <t xml:space="preserve">ThinkSystem V3 2U x16/x8/x8 PCIe Gen4 Riser1 or 2</t>
  </si>
  <si>
    <t xml:space="preserve">ThinkSystem V3 2U x16/x16/E PCIe Gen4 Riser1 or 2</t>
  </si>
  <si>
    <t xml:space="preserve">ThinkSystem 2U/4U 8x2.5" NVMe Backplane</t>
  </si>
  <si>
    <t xml:space="preserve">ThinkSystem 7mm SATA/NVMe 2-Bay Rear Hot-Swap RAID Enablement Kit</t>
  </si>
  <si>
    <t xml:space="preserve">2.</t>
  </si>
  <si>
    <t xml:space="preserve">2288H V6 (8*2.5inch HDD Chassis, With 2*GE and 2*10GE SFP+(Without Optical Transceiver)) H22H-05(For oversea)</t>
  </si>
  <si>
    <t xml:space="preserve">Intel Xeon Gold 6342(2.8GHz/24-Core/36MB/230W)Ice lake Processor (with 2U heatpipe heatsink)</t>
  </si>
  <si>
    <t xml:space="preserve">DDR4 RDIMM-64GB-288pin-0.625ns-3200000KHz-1.2V-ECC-2Rank(4G*4bit)</t>
  </si>
  <si>
    <t xml:space="preserve">M.2 SSD,SATA 6Gb/s-480GB,hot-swappable</t>
  </si>
  <si>
    <t xml:space="preserve">SSD,1600GB,NVMe PCIe,Mixed Use,P5620 Series,2.5inch(2.5inch Drive Bay)</t>
  </si>
  <si>
    <t xml:space="preserve">SSD,7680GB,SAS 12Gb/s,Read Intensive,PM1653 Series,2.5inch(2.5inch Drive Bay)</t>
  </si>
  <si>
    <t xml:space="preserve">SAS/SATA RAID Card MR,RAID0,1,5,6,10,50,60,4GB Cache,Support SuperCap and Sideband Management-3508 BCM</t>
  </si>
  <si>
    <t xml:space="preserve">35xx/39xx RAID Card SuperCap</t>
  </si>
  <si>
    <t xml:space="preserve">Ethernet Adapter,25GE(Intel E810),Dual-Port,SFP28,PCIE 4.0 x8-Vendor ID 8086-Device ID 159b-2-Subvendor ID 8086-Subdevice ID 0005</t>
  </si>
  <si>
    <t xml:space="preserve">1*16X+2*8X SLOT(PCIE4.0)-RISER1&amp;2 Module</t>
  </si>
  <si>
    <t xml:space="preserve">Rear PSU 4*2.5 inch Hard Disk Backplane Module with Air duct(for NVME)</t>
  </si>
  <si>
    <t xml:space="preserve">XP210 Ethernet Adapter,1Gb Electrical Interface(Intel I350),2-Port,RJ45,PCIe 2.0 x4</t>
  </si>
  <si>
    <t xml:space="preserve">Network Card,25G Optical Port(E810XXVDA2G1P5 978333)-Dual Port,SFP28(without Optical Transceiver)-PCIE 4.0 X8-8086-159b|0003-2</t>
  </si>
  <si>
    <t xml:space="preserve">Emulex,HBA Card LPE35002-AP,FC Double Ports--32Gb/s,SFP28+(with 2x Multi-mode Optical Transceiver),PCIE 4.0 x8-Vendor ID 10DF-Device ID F400-2</t>
  </si>
  <si>
    <t xml:space="preserve">XR230-M,Avago3004,M.2 RAID PCIE card-RAID0,1,JBOD,Support Sideband Management,PCIE 3.0 X8,No Cache,HH/HL</t>
  </si>
  <si>
    <t xml:space="preserve">3.</t>
  </si>
  <si>
    <t xml:space="preserve">2288H V5 (8*2.5inch HDD Chassis, With 2*GE and 2*10GE SFP+(Without Optical Transceiver)) H22H-05(For oversea)</t>
  </si>
  <si>
    <t xml:space="preserve">Intel Xeon Gold 6242R(3.1GHz/20-Core/35.75MB/205W)Cascade lake Processor (with heatsink)</t>
  </si>
  <si>
    <t xml:space="preserve">DDR4 RDIMM,32GB,288pin,0.625ns,3200000KHz,1.2,ECC,2Rank(2G*4bit)</t>
  </si>
  <si>
    <t xml:space="preserve">Hard Disk(with 2.5" Front Panel)-SSD</t>
  </si>
  <si>
    <t xml:space="preserve"> </t>
  </si>
  <si>
    <t xml:space="preserve">SSD,1920GB,SATA 6Gb/s,Read intensive,PM893 Series,2.5inch(2.5inch Drive Bay)</t>
  </si>
  <si>
    <t xml:space="preserve">SSD,480GB,SATA 6Gb/s,Read Intensive,ER2-CD Series,2.5inch(2.5inch Drive Bay)</t>
  </si>
  <si>
    <t xml:space="preserve">Hard Disk(with 2.5" Front Panel)-NVMe</t>
  </si>
  <si>
    <t xml:space="preserve">SSD,7680GB,NVMe PCIe,Read Intensive,PM9A3 Series,2.5inch(2.5inch Drive Bay)</t>
  </si>
  <si>
    <t xml:space="preserve">Riser Card</t>
  </si>
  <si>
    <t xml:space="preserve">3*x8 (x16 slot) Riser1 Module</t>
  </si>
  <si>
    <t xml:space="preserve">Rear 4*2.5 inch Hard Disk Backplane Module</t>
  </si>
  <si>
    <t xml:space="preserve">PCIe Card-NIC</t>
  </si>
  <si>
    <t xml:space="preserve">Ethernet Adapter,25Gb Optical Interface(Mellanox CX4-lx EN),2-Port,SFP28(without Optical Transceiver),PCIe 3.0 x8</t>
  </si>
  <si>
    <t xml:space="preserve">PCIe Card-SAS/RAID card</t>
  </si>
  <si>
    <t xml:space="preserve">SR430C-M 1G(LSI3108) SAS/SATA RAID Card,RAID0,1,5,6,10,50,60,12Gb/s,1GB Cache</t>
  </si>
  <si>
    <t xml:space="preserve">LSI3108 1GB RAID controller supercap(4GB,with a cable and supercap tray),used for rack servers/X6800</t>
  </si>
  <si>
    <t xml:space="preserve">4.</t>
  </si>
  <si>
    <t xml:space="preserve">Enclosure (2*CMC / PSU 6*3000W220v AC / 2*ETH switch (4*10GbT, 1*40GbE QSFP+, 2*100GbE Q28) / 2*SAN switch (32*FC32 max, 16*FC32 active))</t>
  </si>
  <si>
    <t xml:space="preserve">Intel Xeon Gold 6248R 24 ядра 3.0 ГГц 205 Вт</t>
  </si>
  <si>
    <t xml:space="preserve">Модуль памяти RDIMM 64 Гбайт, 3200 МТ/с, двухранговый</t>
  </si>
  <si>
    <t xml:space="preserve">RAID-контроллер (LSI SAS3108)</t>
  </si>
  <si>
    <t xml:space="preserve">Контроллер сети Ethernet 10/25 Гбит (iSCSI/FCoE) 2 порта (QLogic 41262), мезонин</t>
  </si>
  <si>
    <t xml:space="preserve">Контроллер сети FibreChannel 32 Гбит 2 порта (Emulex LPm32002), мезонин</t>
  </si>
  <si>
    <t xml:space="preserve">НЖМД 600 ГБ 10000 об/мин 12 Гбит SAS 2.5 дюйма, горячая замена, 512n</t>
  </si>
  <si>
    <t xml:space="preserve">Адаптер с SD-накопителем vFlash 16ГБ</t>
  </si>
  <si>
    <t xml:space="preserve">5.</t>
  </si>
  <si>
    <t xml:space="preserve">19" Server 2RU</t>
  </si>
  <si>
    <t xml:space="preserve">Intel Xeon 6548Y+</t>
  </si>
  <si>
    <t xml:space="preserve">DDR5 64 GB</t>
  </si>
  <si>
    <t xml:space="preserve">Ethernet 10/25Gb 2-port SFP28</t>
  </si>
  <si>
    <t xml:space="preserve">Ethernet Card-2*GE dual port-RJ45</t>
  </si>
  <si>
    <t xml:space="preserve">Hardware RAID 1 support</t>
  </si>
  <si>
    <t xml:space="preserve">SSD 800Gb</t>
  </si>
  <si>
    <t xml:space="preserve">SATA/SAS 24Gb/s HBA Card JBOD</t>
  </si>
  <si>
    <t xml:space="preserve">NVMe SSD 1600GB</t>
  </si>
  <si>
    <t xml:space="preserve">SSD 7680GB</t>
  </si>
  <si>
    <t xml:space="preserve">Приложение № 2.9</t>
  </si>
  <si>
    <t xml:space="preserve">Чек лист ГОСТ Р 56938</t>
  </si>
  <si>
    <t xml:space="preserve">Требования</t>
  </si>
  <si>
    <t xml:space="preserve">Сроки доработки (если частично/нет)</t>
  </si>
  <si>
    <t xml:space="preserve">13.1.</t>
  </si>
  <si>
    <t xml:space="preserve">Защита средств создания и управления виртуальной инфраструктурой</t>
  </si>
  <si>
    <t xml:space="preserve">Мерами защиты средств создания и управления виртуальной инфраструктурой являются:</t>
  </si>
  <si>
    <t xml:space="preserve">13.1.1.</t>
  </si>
  <si>
    <t xml:space="preserve"> автоматическое изменение маршрутов передачи сетевых пакетов между компонентами виртуальной инфраструктуры внутри гипервизора;</t>
  </si>
  <si>
    <t xml:space="preserve">13.1.2.</t>
  </si>
  <si>
    <t xml:space="preserve"> блокировка доступа к объектам виртуальной инфраструктуры для субъектов доступа, непрошедших процедуру аутентификации;</t>
  </si>
  <si>
    <t xml:space="preserve">13.1.3.</t>
  </si>
  <si>
    <t xml:space="preserve"> выявление, анализ и блокирование внутри виртуальной инфраструктуры скрытых каналов передачи информации в обход реализованных мер ЗИ или внутри разрешенных сетевых протоколов;</t>
  </si>
  <si>
    <t xml:space="preserve">13.1.4.</t>
  </si>
  <si>
    <t xml:space="preserve"> защита от НСД к вводимой субъектами доступа, входящими в состав виртуальной инфраструктуры. аутентификационной информации;</t>
  </si>
  <si>
    <t xml:space="preserve">13.1.5.</t>
  </si>
  <si>
    <t xml:space="preserve"> защита от НСД к хранящейся в компонентах виртуальной инфраструктуры аутентификационной информации о субъектах доступа;</t>
  </si>
  <si>
    <t xml:space="preserve">13.1.6.</t>
  </si>
  <si>
    <t xml:space="preserve"> идентификация и аутентификация субъектов доступа при их локальном или удаленном обращении к объектам виртуальной инфраструктуры;</t>
  </si>
  <si>
    <t xml:space="preserve">13.1.7.</t>
  </si>
  <si>
    <t xml:space="preserve"> идентификация и аутентификация субъектов доступа при осуществлении ими попыток доступа к консолям управления параметрами аппаратного обеспечения;</t>
  </si>
  <si>
    <t xml:space="preserve">13.1.8.</t>
  </si>
  <si>
    <t xml:space="preserve"> контроль ввода (вывода) информации в/из виртуальную(ой) инфраструктуру(ы);</t>
  </si>
  <si>
    <t xml:space="preserve">13.1.9.</t>
  </si>
  <si>
    <t xml:space="preserve"> контроль ввода (вывода) информации в/из ИС;</t>
  </si>
  <si>
    <t xml:space="preserve">13.1.10.</t>
  </si>
  <si>
    <t xml:space="preserve"> контроль доступа субъектов доступа к изолированному адресному пространству в памяти гипервизора;</t>
  </si>
  <si>
    <t xml:space="preserve">13.1.11.</t>
  </si>
  <si>
    <t xml:space="preserve"> контроль доступа субъектов доступа к изолированному адресному пространству в памяти хостовой операционной системы;</t>
  </si>
  <si>
    <t xml:space="preserve">13.1.12.</t>
  </si>
  <si>
    <t xml:space="preserve"> контроль доступа субъектов доступа к средствам конфигурирования виртуального аппаратного обеспечения;</t>
  </si>
  <si>
    <t xml:space="preserve">13.1.13.</t>
  </si>
  <si>
    <t xml:space="preserve"> контроль доступа субъектов доступа к средствам конфигурирования гипервизора и ВМ;</t>
  </si>
  <si>
    <t xml:space="preserve">13.1.14.</t>
  </si>
  <si>
    <t xml:space="preserve"> контроль доступа субъектов доступа к средствам конфигурирования хостовой и/или гостевых операционных систем;</t>
  </si>
  <si>
    <t xml:space="preserve">13.1.15.</t>
  </si>
  <si>
    <t xml:space="preserve"> контроль запуска гипервизора и ВМ на основе заданных критериев обеспечения безопасности объектов защиты (режим запуска, тип используемого носителя и т. д.);</t>
  </si>
  <si>
    <t xml:space="preserve">13.1.16.</t>
  </si>
  <si>
    <t xml:space="preserve"> контроль запуска хостовой и/или гостевых операционных систем на основе заданных критериев обеспечения безопасности объектов защиты (режим запуска, тип используемого носителя и т. д.);</t>
  </si>
  <si>
    <t xml:space="preserve">13.1.17.</t>
  </si>
  <si>
    <t xml:space="preserve"> контроль передачи служебных информационных сообщений, передаваемых в виртуальных сетях хостовой операционной системы, по следующим характеристикам: составу, объему и др.;</t>
  </si>
  <si>
    <t xml:space="preserve">13.1.18.</t>
  </si>
  <si>
    <t xml:space="preserve"> контроль работоспособности дублирующих ключевых компонентов аппаратного обеспечения ИС:</t>
  </si>
  <si>
    <t xml:space="preserve">Контроль состояния дублирующих компонентов, реализуется либо орг мерами либо средствами мониторинга инфраструктуры</t>
  </si>
  <si>
    <t xml:space="preserve">13.1.19.</t>
  </si>
  <si>
    <t xml:space="preserve"> контроль работоспособности дублирующих ключевых компонентов виртуальной инфраструктуры;</t>
  </si>
  <si>
    <t xml:space="preserve">13.1.20.</t>
  </si>
  <si>
    <t xml:space="preserve"> контроль целостности компонентов, критически важных для функционирования гипервизора</t>
  </si>
  <si>
    <t xml:space="preserve">13.1.21.</t>
  </si>
  <si>
    <t xml:space="preserve">и ВМ;</t>
  </si>
  <si>
    <t xml:space="preserve">13.1.22.</t>
  </si>
  <si>
    <t xml:space="preserve"> контроль целостности компонентов, критически важных дпя функционирования хостовой и гостевых операционных систем:</t>
  </si>
  <si>
    <t xml:space="preserve">13.1.23.</t>
  </si>
  <si>
    <t xml:space="preserve"> контроль целостности микропрограммного обеспечения аппаратной части ИС;</t>
  </si>
  <si>
    <t xml:space="preserve">частично</t>
  </si>
  <si>
    <t xml:space="preserve">реализуется путем применения СДЗ</t>
  </si>
  <si>
    <t xml:space="preserve">13.1.24.</t>
  </si>
  <si>
    <t xml:space="preserve"> мониторинг загрузки мощностей физического и виртуального аппаратного обеспечения;</t>
  </si>
  <si>
    <t xml:space="preserve">13.1.25.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</si>
  <si>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уровне виртуализации и оборудования;</t>
  </si>
  <si>
    <t xml:space="preserve">13.1.26.</t>
  </si>
  <si>
    <t xml:space="preserve"> обеспечение изоляции различных потоков данных, передаваемых и обрабатываемых компонентами виртуальной инфраструктуры хостовой операционной системы;</t>
  </si>
  <si>
    <t xml:space="preserve">13.1.27.</t>
  </si>
  <si>
    <t xml:space="preserve"> обеспечение подлинности сетевых соединений (сеансов взаимодействия) внутри виртуальной инфраструктуры, в том числе для защиты от подмены сетевых устройств и сервисов:</t>
  </si>
  <si>
    <t xml:space="preserve">реализуется с применением МЭ</t>
  </si>
  <si>
    <t xml:space="preserve">13.1.28.</t>
  </si>
  <si>
    <t xml:space="preserve"> отключение неиспользуемых сетевых протоколов компонентами виртуальной инфраструктуры хостовой операционной системы;</t>
  </si>
  <si>
    <t xml:space="preserve">13.1.29.</t>
  </si>
  <si>
    <t xml:space="preserve"> предотвращение задержки или прерывания выполнения в виртуальной инфраструктуре процессов с высоким приоритетом со стороны процессов с низким приоритетом;</t>
  </si>
  <si>
    <t xml:space="preserve">13.1.30.</t>
  </si>
  <si>
    <t xml:space="preserve"> предотвращение задержки или прерывания выполнения процессов 8М с высоким приоритетом со стороны процессов ВМ с низким приоритетом:</t>
  </si>
  <si>
    <t xml:space="preserve">13.1.31.</t>
  </si>
  <si>
    <t xml:space="preserve"> применение индивидуальных прав доступа к объектам доступа субъектов доступа для одного или совокупности компонентов виртуальной инфраструктуры;</t>
  </si>
  <si>
    <t xml:space="preserve">13.1.32.</t>
  </si>
  <si>
    <t xml:space="preserve"> проверка наличия вредоносных программ в загрузочных областях машинных носителей информации. подключенных к ИС;</t>
  </si>
  <si>
    <t xml:space="preserve">реализуется с применением САВЗ</t>
  </si>
  <si>
    <t xml:space="preserve">13.1.33.</t>
  </si>
  <si>
    <t xml:space="preserve"> проверка наличия вредоносных программ в микропрограммном обеспечении физического и виртуального аппаратного обеспечения:</t>
  </si>
  <si>
    <t xml:space="preserve">13.1.34.</t>
  </si>
  <si>
    <t xml:space="preserve"> проверка наличия вредоносных программ в файлах конфигурации гипервизора и/или ВМ:</t>
  </si>
  <si>
    <t xml:space="preserve">13.1.35.</t>
  </si>
  <si>
    <t xml:space="preserve"> проверка наличия вредоносных программ в файлах конфигурации хостовой и гостевых операционных системах;</t>
  </si>
  <si>
    <t xml:space="preserve">13.1.36.</t>
  </si>
  <si>
    <t xml:space="preserve"> проверка наличия вредоносных программ в файлахобразах виртуализованного ПО и ВМ. а также файлахобразах, используемых для обеспечения работы виртуальных файловых систем:</t>
  </si>
  <si>
    <t xml:space="preserve">13.1.37.</t>
  </si>
  <si>
    <t xml:space="preserve"> проверка оперативной памяти и файловой системы гипервизора и/или ВМ на наличие вредоносных программ;</t>
  </si>
  <si>
    <t xml:space="preserve">13.1.38.</t>
  </si>
  <si>
    <t xml:space="preserve"> проверка оперативной памяти и файловой системы хостовой и/или гостевых операционных систем на наличие вредоносных программ:</t>
  </si>
  <si>
    <t xml:space="preserve">13.1.39.</t>
  </si>
  <si>
    <t xml:space="preserve"> размещение сенсоров и/или датчиков систем обнаружения (предотвращения) вторжений в виртуальном аппаратном обеспечении;</t>
  </si>
  <si>
    <t xml:space="preserve">реализуется с применением СОВ</t>
  </si>
  <si>
    <t xml:space="preserve">13.1.40.</t>
  </si>
  <si>
    <t xml:space="preserve"> размещение сенсоров и/или датчиков систем обнаружения (предотвращения) вторжений в гипервизоре и/или ВМ;</t>
  </si>
  <si>
    <t xml:space="preserve">13.1.41.</t>
  </si>
  <si>
    <t xml:space="preserve"> размещение сенсоров и/или датчиков систем обнаружения (предотвращения) вторжений в хостовой и/или гостевых операционных системах:</t>
  </si>
  <si>
    <t xml:space="preserve">13.1.42.</t>
  </si>
  <si>
    <t xml:space="preserve"> регистрации и учет запуска (завершения) работы компонентов виртуальной инфраструктуры;</t>
  </si>
  <si>
    <t xml:space="preserve">13.1.43.</t>
  </si>
  <si>
    <t xml:space="preserve"> регистрация входа (выхода) субъектов доступа в/из гипервизор(а) и/или ВМ;</t>
  </si>
  <si>
    <t xml:space="preserve">13.1.44.</t>
  </si>
  <si>
    <t xml:space="preserve"> регистрация входа (выхода) субъектов доступа е/иэ хостовую(ой) и/или гостевых операционных систем:</t>
  </si>
  <si>
    <t xml:space="preserve">13.1.45.</t>
  </si>
  <si>
    <t xml:space="preserve"> регистрация запуска (завершения работы) гипервизора и/или ВМ. программ и процессов в гипервизоре и/или ВМ;</t>
  </si>
  <si>
    <t xml:space="preserve">13.1.46.</t>
  </si>
  <si>
    <t xml:space="preserve">регистрация запуска (завершения работы) хостовой и/или гостевых операционных систем, программ и процессов в хостовой и/или гостевых операционных системах;</t>
  </si>
  <si>
    <t xml:space="preserve">13.1.47.</t>
  </si>
  <si>
    <t xml:space="preserve"> регистрация и учет изменений в составе программной и аппаратной части ИС во время ее функционирования и/или в период ее аппаратного отключения:</t>
  </si>
  <si>
    <t xml:space="preserve">реализуется с применением СДЗ</t>
  </si>
  <si>
    <t xml:space="preserve">13.1.48.</t>
  </si>
  <si>
    <t xml:space="preserve"> регистрация изменений правил доступа к виртуальному аппаратному обеспечению;</t>
  </si>
  <si>
    <t xml:space="preserve">13.1.49.</t>
  </si>
  <si>
    <t xml:space="preserve"> регистрация изменений состава и конфигурации виртуального аппаратного обеспечения;</t>
  </si>
  <si>
    <t xml:space="preserve">13.1.50.</t>
  </si>
  <si>
    <t xml:space="preserve"> регистрация изменений состава и конфигурации ВМ:</t>
  </si>
  <si>
    <t xml:space="preserve">13.1.51.</t>
  </si>
  <si>
    <t xml:space="preserve"> регистрация изменений состава ПО и виртуального аппаратного обеспечения в гипервизоре и/или ВМ:</t>
  </si>
  <si>
    <t xml:space="preserve">13.1.52.</t>
  </si>
  <si>
    <t xml:space="preserve"> регистрация изменений состава ПО и виртуального аппаратного обеспечения в хостовой и/или гостевых операционных системах;</t>
  </si>
  <si>
    <t xml:space="preserve">13.1.53.</t>
  </si>
  <si>
    <t xml:space="preserve"> регистрация изменения правил доступа к информации ограниченного доступа, хранимой и обрабатываемой в гипервизоре и/или ВМ;</t>
  </si>
  <si>
    <t xml:space="preserve">13.1.54.</t>
  </si>
  <si>
    <t xml:space="preserve"> регистрация изменения правил доступа к информации ограниченного доступа, хранимой и обрабатываемой в хостовой и/или гостевых операционных системах:</t>
  </si>
  <si>
    <t xml:space="preserve">13.1.55.</t>
  </si>
  <si>
    <t xml:space="preserve"> резервирование пропускной способности канала связи для обеспечения стабильного взаимодействия между компонентами виртуальной инфраструктуры внутри гипервизора;</t>
  </si>
  <si>
    <t xml:space="preserve">13.1.56.</t>
  </si>
  <si>
    <t xml:space="preserve"> резервное копирование защищаемой информации в гипервизоре и/или ВМ. хранимой на физических и/или виртуальных носителях информации;</t>
  </si>
  <si>
    <t xml:space="preserve">13.1.57.</t>
  </si>
  <si>
    <t xml:space="preserve"> резервное копирование защищаемой информации в хостовой и/или гостевых операционных системах, хранимой на физических и/или виртуальных носителях информации.</t>
  </si>
  <si>
    <t xml:space="preserve">13.1.58.</t>
  </si>
  <si>
    <t xml:space="preserve"> резервное копирование физического и/или виртуального дискового пространства, используемого для хранения журналов событий гипервизора и/или ВМ;</t>
  </si>
  <si>
    <t xml:space="preserve">13.1.59.</t>
  </si>
  <si>
    <t xml:space="preserve"> своевременное обнаружение отказов компонентов виртуальной инфраструктуры;</t>
  </si>
  <si>
    <t xml:space="preserve">13.1.60.</t>
  </si>
  <si>
    <t xml:space="preserve"> создание (имитация) ложных компонентов виртуальной инфраструктуры, предназначенных для обнаружения, регистрации и анализа действий нарушителей в процессе реализации угроз безопасности;</t>
  </si>
  <si>
    <t xml:space="preserve">13.1.61.</t>
  </si>
  <si>
    <t xml:space="preserve"> стирание остаточной информации, образующейся после удаления данных, обрабатываемых в виртуальной инфраструктуре, содержащих информацию ограниченного доступа;</t>
  </si>
  <si>
    <t xml:space="preserve">13.1.62.</t>
  </si>
  <si>
    <t xml:space="preserve"> стирание остаточной информации, образующейся после удаления данных, содержащих информацию ограниченного доступа, в гипервизоре и/или ВМ;</t>
  </si>
  <si>
    <t xml:space="preserve">13.1.63.</t>
  </si>
  <si>
    <t xml:space="preserve"> стирание остаточной информации, образующейся после удаления данных, содержащих информацию ограниченного доступа, в хостовой и/или гостевых операционных системах;</t>
  </si>
  <si>
    <t xml:space="preserve">13.1.64.</t>
  </si>
  <si>
    <t xml:space="preserve"> стирание остаточной информации, образующейся после удаления файлов, содержащих настройки виртуализованного ПО и виртуального аппаратного обеспечения:</t>
  </si>
  <si>
    <t xml:space="preserve">13.1.65.</t>
  </si>
  <si>
    <t xml:space="preserve"> управление доступом к аппаратному обеспечению ИС, контроль подключения (отключения) машинных носителей информации:</t>
  </si>
  <si>
    <t xml:space="preserve">13.1.66.</t>
  </si>
  <si>
    <t xml:space="preserve"> управление запуском (обращениями) компонентов ПО. в том числе определение запускаемых компонентов, настройка параметров запуска компонентов, контроль за запуском компонентов ПО;</t>
  </si>
  <si>
    <t xml:space="preserve">13.1.67.</t>
  </si>
  <si>
    <t xml:space="preserve"> управление установкой (инсталляцией) компонентов ПО. входящего в состав виртуальной инфраструктуры, в том числе определение компонентов, подлежащих установке, настройка параметров установки компонентов, контроль за установкой компонентов ПО:</t>
  </si>
  <si>
    <t xml:space="preserve">13.1.68.</t>
  </si>
  <si>
    <t xml:space="preserve"> установка (инсталляция) только разрешенного к использованию в виртуальной инфраструктуре ПО и/или его компонентов;</t>
  </si>
  <si>
    <t xml:space="preserve">13.1.69.</t>
  </si>
  <si>
    <t xml:space="preserve"> фильтрация сетевого трафика между компонентами виртуальной инфраструктуры и внешними сетями хостовой операционной системы, в том числе сетями общего пользования;</t>
  </si>
  <si>
    <t xml:space="preserve">13.1.70.</t>
  </si>
  <si>
    <t xml:space="preserve"> фильтрация сетевого трафика от/к каждой гостевой операционной системы(е).</t>
  </si>
  <si>
    <t xml:space="preserve">13.2.</t>
  </si>
  <si>
    <t xml:space="preserve">Защита виртуальных вычислительных систем</t>
  </si>
  <si>
    <t xml:space="preserve">Мерами защиты виртуальных вычислительных систем являются:</t>
  </si>
  <si>
    <t xml:space="preserve">13.2.1.</t>
  </si>
  <si>
    <t xml:space="preserve"> блокировка доступа к объектам виртуальной инфраструктуры для субъектов доступа, не прошедших процедуру аутентификации:</t>
  </si>
  <si>
    <t xml:space="preserve">13.2.2.</t>
  </si>
  <si>
    <t xml:space="preserve">13.2.3.</t>
  </si>
  <si>
    <t xml:space="preserve">13.2.4.</t>
  </si>
  <si>
    <t xml:space="preserve"> идентификация и аутентификация субъектов доступа при их локальном или удаленном обращении к объектам виртуальной инфраструктуры:</t>
  </si>
  <si>
    <t xml:space="preserve">13.2.5.</t>
  </si>
  <si>
    <t xml:space="preserve">контроль доступа субъектов доступа к изолированному адресному пространству в памяти гипервизора:</t>
  </si>
  <si>
    <t xml:space="preserve">13.2.6.</t>
  </si>
  <si>
    <t xml:space="preserve"> контроль доступа субъектов доступа к изолированному адресному пространству в памяти хос товой операционной системы;</t>
  </si>
  <si>
    <t xml:space="preserve">13.2.7.</t>
  </si>
  <si>
    <t xml:space="preserve">13.2.8.</t>
  </si>
  <si>
    <t xml:space="preserve">13.2.9.</t>
  </si>
  <si>
    <t xml:space="preserve"> контроль доступа субъектов доступа к файламобразам виртуализованного ПО и ВМ. а также файламобразам, используемым для обеспечения работы виртуальных файловых систем;</t>
  </si>
  <si>
    <t xml:space="preserve">13.2.10.</t>
  </si>
  <si>
    <t xml:space="preserve"> контроль запуска гипервизора и ВМ на основе заданных критериев обеспечения безопасности объектов защиты (режима запуска, типа используемого носителя и т. д.);</t>
  </si>
  <si>
    <t xml:space="preserve">13.2.11.</t>
  </si>
  <si>
    <t xml:space="preserve"> контроль запуска хостовой и/или гостевых операционных систем на основе заданных критериев обеспечения безопасности объектов защиты (режима запуска, типа используемого носителя и т. д.);</t>
  </si>
  <si>
    <t xml:space="preserve">13.2.12.</t>
  </si>
  <si>
    <t xml:space="preserve"> контроль целостности компонентов, критически важных для функционирования гипервизора и ВМ;</t>
  </si>
  <si>
    <t xml:space="preserve">МКЦ</t>
  </si>
  <si>
    <t xml:space="preserve">13.2.13.</t>
  </si>
  <si>
    <t xml:space="preserve"> контроль целостности компонентов, критически важных для функционирования хостовой и гостевых операционных систем;</t>
  </si>
  <si>
    <t xml:space="preserve">13.2.14.</t>
  </si>
  <si>
    <t xml:space="preserve"> контроль целостности файлов, содержащих настройки виртуализованного ПО и ВМ;</t>
  </si>
  <si>
    <t xml:space="preserve">13.2.15.</t>
  </si>
  <si>
    <t xml:space="preserve"> контроль целостности файловобразов виртуализованного ПО и ВМ. а также файловобразов, используемых для обеспечения работы виртуальных файловых систем;</t>
  </si>
  <si>
    <t xml:space="preserve">13.2.16.</t>
  </si>
  <si>
    <t xml:space="preserve">13.2.17.</t>
  </si>
  <si>
    <t xml:space="preserve"> проверка наличия вредоносных программ в микропрограммном обеспечении физического и виртуального аппаратного обеспечения;</t>
  </si>
  <si>
    <t xml:space="preserve">13.2.18.</t>
  </si>
  <si>
    <t xml:space="preserve"> проверка наличия вредоносных программ в файлах конфигурации гипервизора и/или ВМ;</t>
  </si>
  <si>
    <t xml:space="preserve">13.2.19.</t>
  </si>
  <si>
    <t xml:space="preserve">13.2.20.</t>
  </si>
  <si>
    <t xml:space="preserve"> проверка наличия вредоносных программ в файлахобразах виртуализованного ПО и ВМ. а также файлахобразах, используемых для обеспечения работы виртуальных файловых систем;</t>
  </si>
  <si>
    <t xml:space="preserve">13.2.21.</t>
  </si>
  <si>
    <t xml:space="preserve">13.2.22.</t>
  </si>
  <si>
    <t xml:space="preserve">13.2.23.</t>
  </si>
  <si>
    <t xml:space="preserve"> размещение сенсоров и/или датчиков систем обнаружения (предотвращения) вторжений в виртуальном аппаратном обеспечении:</t>
  </si>
  <si>
    <t xml:space="preserve">13.2.24.</t>
  </si>
  <si>
    <t xml:space="preserve">13.2.25.</t>
  </si>
  <si>
    <t xml:space="preserve"> размещение сенсоров и/или датчиков систем обнаружения (предотвращения) вторжений в хостовой и/или гостевых операционных системах;</t>
  </si>
  <si>
    <t xml:space="preserve">13.2.26.</t>
  </si>
  <si>
    <t xml:space="preserve"> регистрация входа (выхода) субъектов доступа e/из гипервизор(а) и/или ВМ:</t>
  </si>
  <si>
    <t xml:space="preserve">13.2.27.</t>
  </si>
  <si>
    <t xml:space="preserve"> регистрация входа (выхода) субъектов доступа е/иэ хостовой и/или гостевых операционных системах (систем);</t>
  </si>
  <si>
    <t xml:space="preserve">13.2.28.</t>
  </si>
  <si>
    <t xml:space="preserve">13.2.29.</t>
  </si>
  <si>
    <t xml:space="preserve"> регистрация запуска (завершения работы) хостовой и/или гостевых операционных систем, программ и процессов в хостовой и/или гостевых операционных системах;</t>
  </si>
  <si>
    <t xml:space="preserve">13.2.30.</t>
  </si>
  <si>
    <t xml:space="preserve"> регистрация изменений прав доступа к файламобразам виртуализованного ПО и ВМ. а также файламобразам, используемым для обеспечения работы виртуальных файловых систем;</t>
  </si>
  <si>
    <t xml:space="preserve">13.2.31.</t>
  </si>
  <si>
    <t xml:space="preserve">13.2.32.</t>
  </si>
  <si>
    <t xml:space="preserve"> регистрация изменений состава и конфигурации ВМ;</t>
  </si>
  <si>
    <t xml:space="preserve">13.2.33.</t>
  </si>
  <si>
    <t xml:space="preserve"> регистрация изменений состава ПО и виртуального аппаратного обеспечения в гипервизоре и/или ВМ;</t>
  </si>
  <si>
    <t xml:space="preserve">13.2.34.</t>
  </si>
  <si>
    <t xml:space="preserve">13.2.35.</t>
  </si>
  <si>
    <t xml:space="preserve">13.2.36.</t>
  </si>
  <si>
    <t xml:space="preserve"> регистрация изменения правил доступа к информации ограниченного доступа, хранимой и обрабатываемой в хостовой и/или гостевых операционных системах;</t>
  </si>
  <si>
    <t xml:space="preserve">13.2.37.</t>
  </si>
  <si>
    <t xml:space="preserve">резервное копирование защищаемой информации в гипервизоре и/или ВМ. хранимой на физических и/или виртуальных носителях информации;</t>
  </si>
  <si>
    <t xml:space="preserve">13.2.38.</t>
  </si>
  <si>
    <t xml:space="preserve"> резервное копирование защищаемой информации в хостовой и/или гостевых операционных системах, хранимой на физических и/или виртуальных носителях информации;</t>
  </si>
  <si>
    <t xml:space="preserve">13.2.39.</t>
  </si>
  <si>
    <t xml:space="preserve"> резервное копирование файповобразов виртуализованного ПО и ВМ, а также файловобразов, используемых для обеспечения работы виртуальных файловых систем;</t>
  </si>
  <si>
    <t xml:space="preserve">13.2.40.</t>
  </si>
  <si>
    <t xml:space="preserve">13.2.41.</t>
  </si>
  <si>
    <t xml:space="preserve">13.2.42.</t>
  </si>
  <si>
    <t xml:space="preserve">13.2.43.</t>
  </si>
  <si>
    <t xml:space="preserve">13.2.44.</t>
  </si>
  <si>
    <t xml:space="preserve"> стирание остаточной информации, образующейся после удаления файловобразов ВМ. в которых обрабатывалась информация ограниченного доступа;</t>
  </si>
  <si>
    <t xml:space="preserve">13.2.45.</t>
  </si>
  <si>
    <t xml:space="preserve">13.2.46.</t>
  </si>
  <si>
    <t xml:space="preserve"> фильтрация сетевого трафика от/к каждой гостевой операционной системы(е);</t>
  </si>
  <si>
    <t xml:space="preserve">13.2.47.</t>
  </si>
  <si>
    <t xml:space="preserve"> шифрование файловобразов виртуализованного ПО и ВМ. а также файловобразов, используемых для обеспечения работы виртуальных файловых систем, содержащих информацию ограниченного доступа.</t>
  </si>
  <si>
    <t xml:space="preserve">реализуется с применением СКЗИ</t>
  </si>
  <si>
    <t xml:space="preserve">13.3.</t>
  </si>
  <si>
    <t xml:space="preserve">Защита виртуальных систем хранения данных</t>
  </si>
  <si>
    <t xml:space="preserve">Мерами защиты виртуальных систем хранения данных являются;</t>
  </si>
  <si>
    <t xml:space="preserve">13.3.1.</t>
  </si>
  <si>
    <t xml:space="preserve"> автоматическое восстановление работоспособности системы хранения данных, подключенной к виртуальной инфраструктуре, в случае отказа одного или нескольких ее компонентов;</t>
  </si>
  <si>
    <t xml:space="preserve">13.3.2.</t>
  </si>
  <si>
    <t xml:space="preserve"> блокировка достулакобъектам виртуальной инфраструктуры длясубъектов доступа, непрошедших процедуру аутентификации;</t>
  </si>
  <si>
    <t xml:space="preserve">13.3.3.</t>
  </si>
  <si>
    <t xml:space="preserve">13.3.4.</t>
  </si>
  <si>
    <t xml:space="preserve">13.3.5.</t>
  </si>
  <si>
    <t xml:space="preserve">13.3.6.</t>
  </si>
  <si>
    <t xml:space="preserve">13.3.7.</t>
  </si>
  <si>
    <t xml:space="preserve"> контроль ввода (вывода) информации в/из систему(ы) хранения данных, входящей в состав виртуальной инфраструктуры;</t>
  </si>
  <si>
    <t xml:space="preserve">13.3.8.</t>
  </si>
  <si>
    <t xml:space="preserve"> контроль доступа субъектов доступа к средствам конфигурирования системы хранения данных, входящей в состав виртуальной инфраструктуры;</t>
  </si>
  <si>
    <t xml:space="preserve">13.3.9.</t>
  </si>
  <si>
    <t xml:space="preserve">13.3.10.</t>
  </si>
  <si>
    <t xml:space="preserve"> контроль работоспособности(изношенности) машинных носителей информации, подключенных к виртуальной инфраструктуре, переход на дублирующие при необходимости;</t>
  </si>
  <si>
    <t xml:space="preserve">13.3.11.</t>
  </si>
  <si>
    <t xml:space="preserve"> контроль целостности данных, хранимых на машинных носителях информации, подключенных к виртуальной инфраструктуре;</t>
  </si>
  <si>
    <t xml:space="preserve">13.3.12.</t>
  </si>
  <si>
    <t xml:space="preserve">13.3.13.</t>
  </si>
  <si>
    <t xml:space="preserve"> обеспечение доверенных (защищенных) канала, маршрута передачи данных в/из систему(ы) хранения данных, входящую(ей) в состав виртуальной инфраструктуры;</t>
  </si>
  <si>
    <t xml:space="preserve">13.3.14</t>
  </si>
  <si>
    <t xml:space="preserve"> обеспечение подлинности сетевых соединений (сеансов взаимодействия) внутри виртуальной инфраструктуры, в том числе для защиты от подмены сетевых устройств и сервисов;</t>
  </si>
  <si>
    <t xml:space="preserve">13.3.15.</t>
  </si>
  <si>
    <t xml:space="preserve"> проверка наличия вредоносных программ в операционной среде гипервизора системы хранения данных;</t>
  </si>
  <si>
    <t xml:space="preserve">13.3.16.</t>
  </si>
  <si>
    <t xml:space="preserve">13.3.17</t>
  </si>
  <si>
    <t xml:space="preserve">разделение данных в зависимости от уровня конфиденциальности обрабатываемой информации между компонентами системы хранения данных, отдельными машинными носителями информации. входящими в состав виртуальной инфраструктуры, логическими дисками или между палками файлов;</t>
  </si>
  <si>
    <t xml:space="preserve">13.3.18</t>
  </si>
  <si>
    <t xml:space="preserve"> размещение системы хранения данных в защищенном сегменте информационной системы;</t>
  </si>
  <si>
    <t xml:space="preserve">Реализуется организационно-техническими методами</t>
  </si>
  <si>
    <t xml:space="preserve">13.3.19</t>
  </si>
  <si>
    <t xml:space="preserve"> регистрация изменений прав доступа к информации, хранящейся в системе хранения данных, входящей в состав виртуальной инфраструктуры;</t>
  </si>
  <si>
    <t xml:space="preserve">13.3.20</t>
  </si>
  <si>
    <t xml:space="preserve"> регистрация изменений прав доступа к файламобразам виртуализованного ПО и 8М, а также файламобразам, используемым для обеспечения работы виртуальных файловых систем;</t>
  </si>
  <si>
    <t xml:space="preserve">13.3.21.</t>
  </si>
  <si>
    <t xml:space="preserve"> регистрация изменений правил доступа к виртуальному и физическому аппаратному обеспечению системы хранения данных:</t>
  </si>
  <si>
    <t xml:space="preserve">13.3.22.</t>
  </si>
  <si>
    <t xml:space="preserve"> регистрация изменений состава и конфигурации виртуального и физического аппаратного обеспечения системы хранения данных;</t>
  </si>
  <si>
    <t xml:space="preserve">13.3.23.</t>
  </si>
  <si>
    <t xml:space="preserve"> резервное копирование файловобразов виртуализованного ПО и ВМ. а также файловобразов, используемых для обеспечения работы виртуальных файловых систем;</t>
  </si>
  <si>
    <t xml:space="preserve">13.3.24.</t>
  </si>
  <si>
    <t xml:space="preserve"> создание (имитация) ложных компонентов виртуальной инфраструктуры, предназначенных для обнаружения, регистрации и анализа действий нарушителей в процессе реализации угроз безопасности:</t>
  </si>
  <si>
    <t xml:space="preserve">13.3.25</t>
  </si>
  <si>
    <t xml:space="preserve"> управление доступом к аппаратному обеспечению системы хранения данных, контроль подключения (отключения) машинных носителей информации к/от виртуальной инфраструктуре(ы);</t>
  </si>
  <si>
    <t xml:space="preserve">13.3.26.</t>
  </si>
  <si>
    <t xml:space="preserve">13.4.</t>
  </si>
  <si>
    <t xml:space="preserve">Защита виртуальных каналов передачи данных</t>
  </si>
  <si>
    <t xml:space="preserve">Мерами защиты виртуальных каналов передачи данных являются:</t>
  </si>
  <si>
    <t xml:space="preserve">13.4.1.</t>
  </si>
  <si>
    <t xml:space="preserve"> автоматическое восстановление работоспособности системы хранения данных, подключенной к виртуальной инфраструктуре, в случае отказа одного или нескольких ее компонентов:</t>
  </si>
  <si>
    <t xml:space="preserve">13.4.2.</t>
  </si>
  <si>
    <t xml:space="preserve">13.4.3.</t>
  </si>
  <si>
    <t xml:space="preserve"> блокировка доступа к объектам виртуальной инфраструктуры для субъектов доступа, не прошедших процедуру аутентификации;</t>
  </si>
  <si>
    <t xml:space="preserve">13.4.4.</t>
  </si>
  <si>
    <t xml:space="preserve">13.4.5.</t>
  </si>
  <si>
    <t xml:space="preserve">13.4.6.</t>
  </si>
  <si>
    <t xml:space="preserve"> защита от НСД к хранящейся в компонентах виртуальной инфраструктуры аутентификационной информации о субъектах доступа:</t>
  </si>
  <si>
    <t xml:space="preserve">13.4.7.</t>
  </si>
  <si>
    <t xml:space="preserve"> идентификация и аутентификация субъектов доступа при их локальном или удаленном обращении кобъектам виртуальной инфраструктуры;</t>
  </si>
  <si>
    <t xml:space="preserve">13.4.8.</t>
  </si>
  <si>
    <t xml:space="preserve">13.4.9.</t>
  </si>
  <si>
    <t xml:space="preserve">13.4.10.</t>
  </si>
  <si>
    <t xml:space="preserve">13.4.11.</t>
  </si>
  <si>
    <t xml:space="preserve">реализуется с применением МСЭ</t>
  </si>
  <si>
    <t xml:space="preserve">13.4.12.</t>
  </si>
  <si>
    <t xml:space="preserve">13.4.13.</t>
  </si>
  <si>
    <t xml:space="preserve"> передача и контроль целостности атрибутов безопасности (меток безопасности), связанных с информацией ограниченного доступа, обрабатываемой в виртуальной инфраструктуре, при обмене информацией с иными ИС.</t>
  </si>
  <si>
    <t xml:space="preserve">13.4.14.</t>
  </si>
  <si>
    <t xml:space="preserve">13.4.15</t>
  </si>
  <si>
    <t xml:space="preserve">13.4.16</t>
  </si>
  <si>
    <t xml:space="preserve">фильтрация сетевого трафика между компонентами виртуальной инфраструктуры и внешними сетями хостовой операционной системы, в том числе сетями общего пользования;</t>
  </si>
  <si>
    <t xml:space="preserve">13.4.17.</t>
  </si>
  <si>
    <t xml:space="preserve">13.4.18.</t>
  </si>
  <si>
    <t xml:space="preserve">. шифрование информации ограниченного доступа, передаваемой по виртуальным и физическим каналам связи гипервизора:</t>
  </si>
  <si>
    <t xml:space="preserve">13.4.19.</t>
  </si>
  <si>
    <t xml:space="preserve"> шифрование информации ограниченного доступа, передаваемой по виртуальным и физическим каналам связи хостоеой операционной системы.</t>
  </si>
  <si>
    <t xml:space="preserve">13.5.</t>
  </si>
  <si>
    <t xml:space="preserve">Защита отдельных виртуальных устройств обработки, хранения и передачи данных</t>
  </si>
  <si>
    <t xml:space="preserve">Мерами защиты виртуальных устройств обработки, хранения и передачи данных являются:</t>
  </si>
  <si>
    <t xml:space="preserve">13.5.1.</t>
  </si>
  <si>
    <t xml:space="preserve">13.5.2.</t>
  </si>
  <si>
    <t xml:space="preserve"> защита от НСД к вводимой субъектами доступа, входящими в состав виртуальной инфраструктуры. аутентификационной информации:</t>
  </si>
  <si>
    <t xml:space="preserve">13.5.3.</t>
  </si>
  <si>
    <t xml:space="preserve"> защита от НСД кхранящейся в компонентах виртуальной инфраструктуры аутентификационной информации о субъектах доступа;</t>
  </si>
  <si>
    <t xml:space="preserve">13.5.4.</t>
  </si>
  <si>
    <t xml:space="preserve">13.5.5.</t>
  </si>
  <si>
    <t xml:space="preserve">13.5.6.</t>
  </si>
  <si>
    <t xml:space="preserve">13.5.7.</t>
  </si>
  <si>
    <t xml:space="preserve">13.5.8.</t>
  </si>
  <si>
    <t xml:space="preserve"> контроль целостности файлов, содержащих настройки виртуализованного ПО и 8М:</t>
  </si>
  <si>
    <t xml:space="preserve">13.5.9.</t>
  </si>
  <si>
    <t xml:space="preserve">13.5.10.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</si>
  <si>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уровни виртуализации и оборудования;</t>
  </si>
  <si>
    <t xml:space="preserve">13.5.11.</t>
  </si>
  <si>
    <t xml:space="preserve"> обеспечение подлинности сетевых соединений (сеансов взаимодействия) внутри виртуальной инфраструктуры, е том числе для защиты от подмены сетевых устройств и сервисов;</t>
  </si>
  <si>
    <t xml:space="preserve">13.5.12.</t>
  </si>
  <si>
    <t xml:space="preserve"> отключение неиспользуемых сетевых протоколов компонентами виртуальной инфраструктуры хостоеой операционной системы;</t>
  </si>
  <si>
    <t xml:space="preserve">13.5.13.</t>
  </si>
  <si>
    <t xml:space="preserve">13.5.14.</t>
  </si>
  <si>
    <t xml:space="preserve">13.5.15.</t>
  </si>
  <si>
    <t xml:space="preserve"> разделение физических ресурсов между компонентами виртуальной инфраструктуры в зависимости от уровня конфиденциальности обрабатываемой информации;</t>
  </si>
  <si>
    <t xml:space="preserve">кроме CPU</t>
  </si>
  <si>
    <t xml:space="preserve">13.5.16.</t>
  </si>
  <si>
    <t xml:space="preserve">13.5.17.</t>
  </si>
  <si>
    <t xml:space="preserve">13.5.18.</t>
  </si>
  <si>
    <t xml:space="preserve">13.5.19.</t>
  </si>
  <si>
    <t xml:space="preserve"> регистрация изменений правил доступа к виртуальному аппаратному обеспечению:</t>
  </si>
  <si>
    <t xml:space="preserve">13.5.20.</t>
  </si>
  <si>
    <t xml:space="preserve">13.5.21.</t>
  </si>
  <si>
    <t xml:space="preserve">13.5.22.</t>
  </si>
  <si>
    <t xml:space="preserve"> регистрация изменений состава ПО и виртуального аппаратного обеспечения в хостовой и/или гостевых операционных системах:</t>
  </si>
  <si>
    <t xml:space="preserve">13.5.23.</t>
  </si>
  <si>
    <t xml:space="preserve"> резервное копирование защищаемой информации, хранимой на физических и виртуальных носителях информации;</t>
  </si>
  <si>
    <t xml:space="preserve">13.5.24.</t>
  </si>
  <si>
    <t xml:space="preserve">13.5.25.</t>
  </si>
  <si>
    <t xml:space="preserve">13.5.26.</t>
  </si>
  <si>
    <t xml:space="preserve">13.5.27.</t>
  </si>
  <si>
    <t xml:space="preserve"> управление доступом к аппаратному обеспечению ИС. контроль подключений (отключения) машинныхносителей информации.</t>
  </si>
  <si>
    <t xml:space="preserve">13.6.</t>
  </si>
  <si>
    <t xml:space="preserve">Защита виртуальных средств защиты информации и средств защиты информации, предназначенных для использования в среде виртуализации</t>
  </si>
  <si>
    <t xml:space="preserve">Мерами защиты виртуальных средств защиты информации и средств защиты информации, предназначенных для использования в среде виртуализации, являются:</t>
  </si>
  <si>
    <t xml:space="preserve">13.6.1.</t>
  </si>
  <si>
    <t xml:space="preserve"> автоматическое восстановление всех функций средств ЗИ, входящих в состав ИС;</t>
  </si>
  <si>
    <t xml:space="preserve">13.6.2.</t>
  </si>
  <si>
    <t xml:space="preserve">13.6.3.</t>
  </si>
  <si>
    <t xml:space="preserve">13.6.4.</t>
  </si>
  <si>
    <t xml:space="preserve">13.6.5.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</si>
  <si>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уровни виртуализации и оборудования:</t>
  </si>
  <si>
    <t xml:space="preserve">13.6.6.</t>
  </si>
  <si>
    <t xml:space="preserve"> обеспечение доверенных канала, маршрута внутри виртуальной инфраструктуры между администратором, пользователем и средствами ЗИ (функциями безопасности средств ЗИ).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</si>
</sst>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@"/>
    <numFmt numFmtId="168" formatCode="#,##0.00"/>
  </numFmts>
  <fonts count="6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0"/>
      <charset val="204"/>
    </font>
    <font>
      <b val="true"/>
      <sz val="12"/>
      <name val="Arial"/>
      <family val="2"/>
      <charset val="204"/>
    </font>
    <font>
      <sz val="10"/>
      <name val="Arial Cyr"/>
      <family val="0"/>
      <charset val="204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204"/>
    </font>
    <font>
      <sz val="12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 val="true"/>
      <sz val="14"/>
      <color rgb="FF000000"/>
      <name val="Arial Narrow"/>
      <family val="2"/>
      <charset val="204"/>
    </font>
    <font>
      <b val="true"/>
      <sz val="14"/>
      <color rgb="FF00B050"/>
      <name val="Arial Narrow"/>
      <family val="2"/>
      <charset val="204"/>
    </font>
    <font>
      <b val="true"/>
      <sz val="14"/>
      <name val="Arial Narrow"/>
      <family val="2"/>
      <charset val="204"/>
    </font>
    <font>
      <sz val="11"/>
      <name val="Arial Narrow"/>
      <family val="2"/>
      <charset val="204"/>
    </font>
    <font>
      <sz val="12"/>
      <name val="Arial Narrow"/>
      <family val="2"/>
      <charset val="204"/>
    </font>
    <font>
      <sz val="14"/>
      <color rgb="FF000000"/>
      <name val="Arial Narrow"/>
      <family val="2"/>
      <charset val="204"/>
    </font>
    <font>
      <sz val="12"/>
      <color rgb="FFFF0000"/>
      <name val="Arial Narrow"/>
      <family val="2"/>
      <charset val="204"/>
    </font>
    <font>
      <sz val="14"/>
      <color rgb="FF00B050"/>
      <name val="Arial Narrow"/>
      <family val="2"/>
      <charset val="204"/>
    </font>
    <font>
      <b val="true"/>
      <sz val="14"/>
      <color theme="1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9"/>
      <name val="Arial Narrow"/>
      <family val="2"/>
      <charset val="204"/>
    </font>
    <font>
      <sz val="9"/>
      <color theme="1"/>
      <name val="Arial Narrow"/>
      <family val="2"/>
      <charset val="204"/>
    </font>
    <font>
      <b val="true"/>
      <sz val="11"/>
      <name val="Arial Narrow"/>
      <family val="2"/>
      <charset val="204"/>
    </font>
    <font>
      <b val="true"/>
      <sz val="11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14"/>
      <color theme="1"/>
      <name val="Arial Narrow"/>
      <family val="2"/>
      <charset val="204"/>
    </font>
    <font>
      <b val="true"/>
      <sz val="12"/>
      <color theme="1"/>
      <name val="Arial Narrow"/>
      <family val="2"/>
      <charset val="204"/>
    </font>
    <font>
      <b val="true"/>
      <sz val="11"/>
      <name val="Arial"/>
      <family val="0"/>
      <charset val="204"/>
    </font>
    <font>
      <b val="true"/>
      <sz val="8"/>
      <name val="Arial"/>
      <family val="0"/>
      <charset val="204"/>
    </font>
    <font>
      <sz val="10"/>
      <color theme="1"/>
      <name val="Arial"/>
      <family val="0"/>
      <charset val="204"/>
    </font>
    <font>
      <sz val="10"/>
      <name val="Arial"/>
      <family val="2"/>
      <charset val="1"/>
    </font>
    <font>
      <sz val="14"/>
      <name val="Arial Narrow"/>
      <family val="2"/>
      <charset val="204"/>
    </font>
    <font>
      <b val="true"/>
      <sz val="8"/>
      <color theme="1"/>
      <name val="Tahoma"/>
      <family val="2"/>
      <charset val="204"/>
    </font>
    <font>
      <b val="true"/>
      <sz val="11"/>
      <color theme="1"/>
      <name val="Calibri"/>
      <family val="2"/>
      <charset val="204"/>
    </font>
    <font>
      <sz val="8"/>
      <color theme="1"/>
      <name val="Tahoma"/>
      <family val="2"/>
      <charset val="204"/>
    </font>
    <font>
      <sz val="8"/>
      <color rgb="FF000000"/>
      <name val="Tahoma"/>
      <family val="2"/>
      <charset val="204"/>
    </font>
    <font>
      <sz val="8"/>
      <name val="Tahoma"/>
      <family val="2"/>
      <charset val="204"/>
    </font>
    <font>
      <b val="true"/>
      <sz val="11"/>
      <name val="Calibri"/>
      <family val="2"/>
      <charset val="204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2"/>
      <name val="Arial Narrow"/>
      <family val="2"/>
      <charset val="204"/>
    </font>
    <font>
      <b val="true"/>
      <sz val="12"/>
      <color rgb="FF000000"/>
      <name val="Arial Narrow"/>
      <family val="2"/>
      <charset val="204"/>
    </font>
    <font>
      <sz val="12"/>
      <color rgb="FF1F497D"/>
      <name val="Arial Narrow"/>
      <family val="2"/>
      <charset val="204"/>
    </font>
    <font>
      <i val="true"/>
      <sz val="12"/>
      <name val="Arial Narrow"/>
      <family val="2"/>
      <charset val="204"/>
    </font>
    <font>
      <sz val="12"/>
      <color rgb="FF000000"/>
      <name val="Arial Narrow"/>
      <family val="2"/>
      <charset val="204"/>
    </font>
    <font>
      <i val="true"/>
      <sz val="12"/>
      <color theme="1"/>
      <name val="Arial Narrow"/>
      <family val="2"/>
      <charset val="204"/>
    </font>
    <font>
      <b val="true"/>
      <i val="true"/>
      <sz val="12"/>
      <name val="Arial Narrow"/>
      <family val="2"/>
      <charset val="204"/>
    </font>
    <font>
      <b val="true"/>
      <i val="true"/>
      <sz val="11"/>
      <color theme="1"/>
      <name val="Calibri"/>
      <family val="2"/>
      <charset val="1"/>
    </font>
    <font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theme="1"/>
      <name val="Arial"/>
      <family val="0"/>
      <charset val="204"/>
    </font>
    <font>
      <b val="true"/>
      <sz val="11"/>
      <color theme="1"/>
      <name val="Arial"/>
      <family val="0"/>
      <charset val="204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sz val="10"/>
      <color theme="1"/>
      <name val="Calibri Light"/>
      <family val="2"/>
      <charset val="204"/>
    </font>
    <font>
      <sz val="10"/>
      <color rgb="FFFF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EEEEE"/>
        <bgColor rgb="FFEDEDED"/>
      </patternFill>
    </fill>
    <fill>
      <patternFill patternType="solid">
        <fgColor rgb="FFDDDDDD"/>
        <bgColor rgb="FFD9D9D9"/>
      </patternFill>
    </fill>
    <fill>
      <patternFill patternType="solid">
        <fgColor theme="4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3999"/>
        <bgColor rgb="FFD0CECE"/>
      </patternFill>
    </fill>
    <fill>
      <patternFill patternType="solid">
        <fgColor theme="0" tint="-0.05"/>
        <bgColor rgb="FFEEEEEE"/>
      </patternFill>
    </fill>
    <fill>
      <patternFill patternType="solid">
        <fgColor theme="9" tint="0.5999"/>
        <bgColor rgb="FFC6EFCE"/>
      </patternFill>
    </fill>
    <fill>
      <patternFill patternType="solid">
        <fgColor theme="0" tint="-0.15"/>
        <bgColor rgb="FFDDDDDD"/>
      </patternFill>
    </fill>
    <fill>
      <patternFill patternType="solid">
        <fgColor rgb="FF00FF0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2" tint="-0.1"/>
        <bgColor rgb="FFD9D9D9"/>
      </patternFill>
    </fill>
    <fill>
      <patternFill patternType="solid">
        <fgColor theme="6" tint="0.7999"/>
        <bgColor rgb="FFEEEEEE"/>
      </patternFill>
    </fill>
    <fill>
      <patternFill patternType="solid">
        <fgColor theme="8" tint="0.7999"/>
        <bgColor rgb="FFDEEBF7"/>
      </patternFill>
    </fill>
    <fill>
      <patternFill patternType="solid">
        <fgColor rgb="FF7FFE00"/>
        <bgColor rgb="FF00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23" fillId="5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5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6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0" xfId="2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23" fillId="5" borderId="3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2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3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43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25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2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2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1" xfId="3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1" xfId="25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1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1" fillId="0" borderId="1" xfId="26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1" fillId="0" borderId="1" xfId="26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2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26" applyFont="true" applyBorder="true" applyAlignment="true" applyProtection="false">
      <alignment horizontal="left" vertical="center" textRotation="0" wrapText="false" indent="12" shrinkToFit="false"/>
      <protection locked="true" hidden="false"/>
    </xf>
    <xf numFmtId="164" fontId="11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2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26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26" applyFont="true" applyBorder="false" applyAlignment="true" applyProtection="false">
      <alignment horizontal="left" vertical="center" textRotation="0" wrapText="false" indent="7" shrinkToFit="false"/>
      <protection locked="true" hidden="false"/>
    </xf>
    <xf numFmtId="164" fontId="37" fillId="1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26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2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0" xfId="26" applyFont="true" applyBorder="false" applyAlignment="true" applyProtection="false">
      <alignment horizontal="left" vertical="center" textRotation="0" wrapText="false" indent="12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2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2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3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5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SDH Megafon_Order_21062005_~3120416 9" xfId="20"/>
    <cellStyle name="default_style" xfId="21"/>
    <cellStyle name="marked_style" xfId="22"/>
    <cellStyle name="Normal_PO019_Kavkaz 3Q'04_21.06.04." xfId="23"/>
    <cellStyle name="system_header_style" xfId="24"/>
    <cellStyle name="Обычный 10 2 2 2 2" xfId="25"/>
    <cellStyle name="Обычный 2" xfId="26"/>
    <cellStyle name="Обычный 2 3" xfId="27"/>
    <cellStyle name="Обычный 2 4" xfId="28"/>
    <cellStyle name="Обычный 2 40" xfId="29"/>
    <cellStyle name="Обычный 26 8" xfId="30"/>
    <cellStyle name="Обычный 26 8 2" xfId="31"/>
    <cellStyle name="Обычный 3" xfId="32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EEEEEE"/>
      <rgbColor rgb="FF9DC3E6"/>
      <rgbColor rgb="FFEDEDED"/>
      <rgbColor rgb="FFDAE3F3"/>
      <rgbColor rgb="FFDDDDDD"/>
      <rgbColor rgb="FF3366FF"/>
      <rgbColor rgb="FF33CCCC"/>
      <rgbColor rgb="FF7FFE00"/>
      <rgbColor rgb="FFFFCC00"/>
      <rgbColor rgb="FFFF9900"/>
      <rgbColor rgb="FFFF6600"/>
      <rgbColor rgb="FF666699"/>
      <rgbColor rgb="FFC5E0B4"/>
      <rgbColor rgb="FF003366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externalLink" Target="externalLinks/externalLink2.xml"/><Relationship Id="rId14" Type="http://schemas.openxmlformats.org/officeDocument/2006/relationships/externalLink" Target="externalLinks/externalLink3.xml"/><Relationship Id="rId15" Type="http://schemas.openxmlformats.org/officeDocument/2006/relationships/externalLink" Target="externalLinks/externalLink4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nevmw.sharepoint.com/megafon.ru/msk/Quotation/MegaFon%20CS%20CORE%202013/output/MegaFon%20CS%20Config1b%20-%20Model-based_000000258282201311250001_Unit%20Price%20List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egafon.ru/fr/MF/URL/VOL02/igor.belykh/Desktop/ITI-Cloud-Virt/&#1055;&#1088;&#1086;&#1077;&#1082;&#1090;&#1099;/!%20ITi%20Cloud%20Platform/RFP/VMWare%20&#1092;&#1080;&#1085;&#1072;&#1083;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megafon.ru/fr/MF/VLG/VOL01/alexey.girnik/&#1052;&#1086;&#1080;%20&#1076;&#1086;&#1082;&#1091;&#1084;&#1077;&#1085;&#1090;&#1099;/&#1052;&#1086;&#1080;%20&#1087;&#1086;&#1083;&#1091;&#1095;&#1077;&#1085;&#1085;&#1099;&#1077;%20&#1092;&#1072;&#1081;&#1083;&#1099;/VMWare%20&#1092;&#1080;&#1085;&#1072;&#1083;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megafon.ru/fr/MF/URL/VOL02/igor.belykh/Desktop/&#1054;&#1090;&#1077;&#1095;.%20&#1086;&#1073;&#1083;&#1072;&#1082;&#1086;/&#1050;&#1086;&#1085;&#1082;&#1091;&#1088;&#1089;/VMWare%20&#1092;&#1080;&#1085;&#1072;&#1083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L4-UPL"/>
      <sheetName val="tmp_v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Глоссарий"/>
      <sheetName val="Инструкция"/>
      <sheetName val="2.1. Предмет"/>
      <sheetName val="2.2 Объем проекта и работ"/>
      <sheetName val="2.3. Функциональные требования"/>
      <sheetName val="2.3.1 HW"/>
      <sheetName val="2.3.2 OSS_integr"/>
      <sheetName val="2.3.2.1 OSS_export"/>
      <sheetName val="2.3.3 Capacity_Perf"/>
      <sheetName val="2.4. Поставщик"/>
      <sheetName val="2.4.1 Обуч"/>
      <sheetName val="2.4.2 ТП"/>
      <sheetName val="2.4.2.1 ТП_HPSM"/>
      <sheetName val="2.4.3 Тестовая зона"/>
      <sheetName val="2.5. Документация"/>
      <sheetName val="2.5.1 Референсы"/>
      <sheetName val="2.6. Матрица ПНР"/>
      <sheetName val="Техоценка с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Глоссарий"/>
      <sheetName val="Инструкция"/>
      <sheetName val="2.1. Предмет"/>
      <sheetName val="2.3. Функциональные требования"/>
      <sheetName val="2.3.1 HW"/>
      <sheetName val="2.3.2 OSS_integr"/>
      <sheetName val="2.3.2.1 OSS_export"/>
      <sheetName val="2.3.3 Capacity_Perf"/>
      <sheetName val="2.4. Поставщик"/>
      <sheetName val="2.4.1 Обуч"/>
      <sheetName val="2.4.2 ТП"/>
      <sheetName val="2.4.2.1 ТП_HPSM"/>
      <sheetName val="2.4.3 Тестовая зона"/>
      <sheetName val="2.5. Документация"/>
      <sheetName val="2.5.1 Референсы"/>
      <sheetName val="2.6. Матрица ПНР"/>
      <sheetName val="Техоценка с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Глоссарий"/>
      <sheetName val="Инструкция"/>
      <sheetName val="2.1. Предмет"/>
      <sheetName val="2.2 Объем проекта и работ"/>
      <sheetName val="2.3. Функциональные требования"/>
      <sheetName val="2.3.1 HW"/>
      <sheetName val="2.3.2 OSS_integr"/>
      <sheetName val="2.3.2.1 OSS_export"/>
      <sheetName val="2.3.3 Capacity_Perf"/>
      <sheetName val="2.4. Поставщик"/>
      <sheetName val="2.4.1 Обуч"/>
      <sheetName val="2.4.2 ТП"/>
      <sheetName val="2.4.2.1 ТП_HPSM"/>
      <sheetName val="2.4.3 Тестовая зона"/>
      <sheetName val="2.5. Документация"/>
      <sheetName val="2.5.1 Референсы"/>
      <sheetName val="2.6. Матрица ПНР"/>
      <sheetName val="Техоценка сво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stra.ru/ready-for-astra/compatible-hardware/" TargetMode="External"/><Relationship Id="rId2" Type="http://schemas.openxmlformats.org/officeDocument/2006/relationships/hyperlink" Target="https://www.ispsystem.ru/docs/dcimanager-admin/oborudovanie/servery/otchty" TargetMode="External"/><Relationship Id="rId3" Type="http://schemas.openxmlformats.org/officeDocument/2006/relationships/hyperlink" Target="https://wiki.astralinux.ru/brest/4.0.1/vozmoyonosti-hranilishch-v-pk-sv-brest-348178368.html" TargetMode="External"/><Relationship Id="rId4" Type="http://schemas.openxmlformats.org/officeDocument/2006/relationships/hyperlink" Target="https://astra.ru/ready-for-astra/compatible-softwar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1:T80"/>
  <sheetViews>
    <sheetView showFormulas="false" showGridLines="true" showRowColHeaders="true" showZeros="true" rightToLeft="false" tabSelected="false" showOutlineSymbols="true" defaultGridColor="true" view="normal" topLeftCell="A19" colorId="64" zoomScale="115" zoomScaleNormal="115" zoomScalePageLayoutView="100" workbookViewId="0">
      <selection pane="topLeft" activeCell="D6" activeCellId="0" sqref="D6"/>
    </sheetView>
  </sheetViews>
  <sheetFormatPr defaultColWidth="8.859375" defaultRowHeight="15" customHeight="true" zeroHeight="false" outlineLevelRow="0" outlineLevelCol="0"/>
  <cols>
    <col collapsed="false" customWidth="true" hidden="false" outlineLevel="0" max="3" min="3" style="0" width="11.57"/>
    <col collapsed="false" customWidth="true" hidden="false" outlineLevel="0" max="4" min="4" style="0" width="13.71"/>
    <col collapsed="false" customWidth="true" hidden="false" outlineLevel="0" max="5" min="5" style="0" width="11"/>
    <col collapsed="false" customWidth="true" hidden="false" outlineLevel="0" max="7" min="6" style="0" width="10.42"/>
    <col collapsed="false" customWidth="true" hidden="false" outlineLevel="0" max="9" min="8" style="0" width="11.14"/>
    <col collapsed="false" customWidth="true" hidden="false" outlineLevel="0" max="12" min="12" style="0" width="12.42"/>
    <col collapsed="false" customWidth="true" hidden="false" outlineLevel="0" max="24" min="24" style="0" width="15"/>
    <col collapsed="false" customWidth="true" hidden="false" outlineLevel="0" max="25" min="25" style="0" width="10.42"/>
  </cols>
  <sheetData>
    <row r="1" customFormat="false" ht="15" hidden="false" customHeight="false" outlineLevel="0" collapsed="false">
      <c r="L1" s="1" t="s">
        <v>0</v>
      </c>
    </row>
    <row r="2" customFormat="false" ht="15" hidden="false" customHeight="false" outlineLevel="0" collapsed="false">
      <c r="L2" s="1" t="s">
        <v>1</v>
      </c>
    </row>
    <row r="3" customFormat="false" ht="15" hidden="false" customHeight="false" outlineLevel="0" collapsed="false">
      <c r="L3" s="1"/>
    </row>
    <row r="4" s="2" customFormat="true" ht="17.35" hidden="false" customHeight="false" outlineLevel="0" collapsed="false">
      <c r="B4" s="3" t="s">
        <v>2</v>
      </c>
      <c r="C4" s="3"/>
      <c r="D4" s="3"/>
      <c r="F4" s="3"/>
      <c r="G4" s="3"/>
      <c r="H4" s="3"/>
      <c r="I4" s="3"/>
      <c r="J4" s="3"/>
      <c r="K4" s="3"/>
      <c r="L4" s="3"/>
    </row>
    <row r="5" s="2" customFormat="true" ht="17.35" hidden="false" customHeight="false" outlineLevel="0" collapsed="false">
      <c r="B5" s="4" t="s">
        <v>3</v>
      </c>
      <c r="C5" s="3"/>
      <c r="D5" s="3"/>
      <c r="G5" s="3"/>
      <c r="H5" s="3"/>
      <c r="I5" s="3"/>
      <c r="J5" s="3"/>
      <c r="K5" s="3"/>
      <c r="L5" s="3"/>
    </row>
    <row r="6" s="2" customFormat="true" ht="17.35" hidden="false" customHeight="false" outlineLevel="0" collapsed="false">
      <c r="B6" s="5" t="s">
        <v>4</v>
      </c>
      <c r="C6" s="3"/>
      <c r="D6" s="3"/>
      <c r="E6" s="3"/>
      <c r="F6" s="5"/>
      <c r="G6" s="3"/>
      <c r="H6" s="3"/>
      <c r="I6" s="3"/>
      <c r="J6" s="3"/>
      <c r="K6" s="3"/>
      <c r="L6" s="3"/>
    </row>
    <row r="7" s="2" customFormat="true" ht="17.35" hidden="false" customHeight="false" outlineLevel="0" collapsed="false">
      <c r="B7" s="5"/>
      <c r="C7" s="3"/>
      <c r="D7" s="3"/>
      <c r="E7" s="3"/>
      <c r="F7" s="5"/>
      <c r="G7" s="3"/>
      <c r="H7" s="3"/>
      <c r="I7" s="3"/>
      <c r="J7" s="3"/>
      <c r="K7" s="3"/>
      <c r="L7" s="3"/>
    </row>
    <row r="8" s="2" customFormat="true" ht="17.35" hidden="false" customHeight="false" outlineLevel="0" collapsed="false">
      <c r="B8" s="3" t="s">
        <v>5</v>
      </c>
      <c r="C8" s="3"/>
      <c r="E8" s="6"/>
      <c r="F8" s="6"/>
      <c r="G8" s="6"/>
      <c r="H8" s="6"/>
      <c r="I8" s="6"/>
      <c r="J8" s="6"/>
      <c r="K8" s="6"/>
      <c r="L8" s="6"/>
      <c r="M8" s="7"/>
    </row>
    <row r="9" s="2" customFormat="true" ht="17.35" hidden="false" customHeight="false" outlineLevel="0" collapsed="false">
      <c r="B9" s="8" t="s">
        <v>6</v>
      </c>
      <c r="C9" s="3"/>
      <c r="D9" s="8"/>
      <c r="E9" s="6"/>
      <c r="F9" s="6"/>
      <c r="G9" s="6"/>
      <c r="H9" s="6"/>
      <c r="I9" s="6"/>
      <c r="J9" s="6"/>
      <c r="K9" s="6"/>
      <c r="L9" s="6"/>
      <c r="M9" s="7"/>
    </row>
    <row r="10" s="2" customFormat="true" ht="17.35" hidden="false" customHeight="false" outlineLevel="0" collapsed="false">
      <c r="B10" s="9"/>
      <c r="C10" s="9"/>
      <c r="D10" s="10"/>
      <c r="E10" s="9"/>
      <c r="F10" s="11"/>
      <c r="G10" s="9"/>
      <c r="H10" s="9"/>
      <c r="I10" s="9"/>
      <c r="J10" s="9"/>
      <c r="K10" s="9"/>
      <c r="L10" s="9"/>
    </row>
    <row r="11" s="2" customFormat="true" ht="17.35" hidden="false" customHeight="false" outlineLevel="0" collapsed="false">
      <c r="B11" s="12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true" ht="15" hidden="false" customHeight="true" outlineLevel="0" collapsed="false">
      <c r="B12" s="2" t="s">
        <v>8</v>
      </c>
    </row>
    <row r="13" s="2" customFormat="true" ht="15" hidden="false" customHeight="false" outlineLevel="0" collapsed="false">
      <c r="B13" s="13" t="s">
        <v>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="2" customFormat="true" ht="15" hidden="false" customHeight="false" outlineLevel="0" collapsed="false">
      <c r="B14" s="13" t="s">
        <v>10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="2" customFormat="true" ht="15" hidden="false" customHeight="false" outlineLevel="0" collapsed="false">
      <c r="B15" s="13" t="s">
        <v>11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="2" customFormat="true" ht="15" hidden="false" customHeight="false" outlineLevel="0" collapsed="false">
      <c r="B16" s="13" t="s">
        <v>12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="2" customFormat="true" ht="15" hidden="false" customHeight="false" outlineLevel="0" collapsed="false">
      <c r="B17" s="14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="2" customFormat="true" ht="15" hidden="false" customHeight="false" outlineLevel="0" collapsed="false">
      <c r="B18" s="14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="2" customFormat="true" ht="15" hidden="false" customHeight="true" outlineLevel="0" collapsed="false">
      <c r="B19" s="12" t="s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="2" customFormat="true" ht="15" hidden="false" customHeight="true" outlineLevel="0" collapsed="false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="2" customFormat="true" ht="15.75" hidden="false" customHeight="true" outlineLevel="0" collapsed="false">
      <c r="B21" s="16" t="s">
        <v>14</v>
      </c>
      <c r="D21" s="13"/>
      <c r="E21" s="13"/>
      <c r="F21" s="13"/>
      <c r="G21" s="13"/>
      <c r="H21" s="13"/>
      <c r="I21" s="13"/>
      <c r="J21" s="13"/>
      <c r="K21" s="13"/>
      <c r="L21" s="13"/>
      <c r="M21" s="17"/>
      <c r="N21" s="17"/>
      <c r="O21" s="17"/>
      <c r="P21" s="17"/>
      <c r="Q21" s="17"/>
      <c r="R21" s="17"/>
      <c r="S21" s="13"/>
    </row>
    <row r="22" s="2" customFormat="true" ht="15.75" hidden="false" customHeight="true" outlineLevel="0" collapsed="false">
      <c r="B22" s="18" t="s">
        <v>15</v>
      </c>
      <c r="D22" s="13"/>
      <c r="E22" s="13"/>
      <c r="F22" s="13"/>
      <c r="G22" s="13"/>
      <c r="H22" s="13"/>
      <c r="I22" s="13"/>
      <c r="J22" s="13"/>
      <c r="K22" s="13"/>
      <c r="L22" s="13"/>
      <c r="M22" s="17"/>
      <c r="N22" s="17"/>
      <c r="O22" s="17"/>
      <c r="P22" s="17"/>
      <c r="Q22" s="17"/>
      <c r="R22" s="17"/>
      <c r="S22" s="13"/>
    </row>
    <row r="23" s="2" customFormat="true" ht="15.75" hidden="false" customHeight="true" outlineLevel="0" collapsed="false">
      <c r="B23" s="18" t="s">
        <v>16</v>
      </c>
      <c r="D23" s="13"/>
      <c r="E23" s="13"/>
      <c r="F23" s="13"/>
      <c r="G23" s="13"/>
      <c r="H23" s="13"/>
      <c r="I23" s="13"/>
      <c r="J23" s="13"/>
      <c r="K23" s="13"/>
      <c r="L23" s="13"/>
      <c r="M23" s="17"/>
      <c r="N23" s="17"/>
      <c r="O23" s="17"/>
      <c r="P23" s="17"/>
      <c r="Q23" s="17"/>
      <c r="R23" s="17"/>
      <c r="S23" s="13"/>
    </row>
    <row r="24" s="2" customFormat="true" ht="15.75" hidden="false" customHeight="true" outlineLevel="0" collapsed="false">
      <c r="B24" s="18" t="s">
        <v>17</v>
      </c>
      <c r="D24" s="13"/>
      <c r="E24" s="13"/>
      <c r="F24" s="13"/>
      <c r="G24" s="13"/>
      <c r="H24" s="13"/>
      <c r="I24" s="13"/>
      <c r="J24" s="13"/>
      <c r="K24" s="13"/>
      <c r="L24" s="13"/>
      <c r="M24" s="17"/>
      <c r="N24" s="17"/>
      <c r="O24" s="17"/>
      <c r="P24" s="17"/>
      <c r="Q24" s="17"/>
      <c r="R24" s="17"/>
      <c r="S24" s="13"/>
    </row>
    <row r="25" s="2" customFormat="true" ht="15.75" hidden="false" customHeight="true" outlineLevel="0" collapsed="false">
      <c r="B25" s="16" t="s">
        <v>18</v>
      </c>
      <c r="D25" s="13"/>
      <c r="E25" s="13"/>
      <c r="F25" s="13"/>
      <c r="G25" s="13"/>
      <c r="H25" s="13"/>
      <c r="I25" s="13"/>
      <c r="J25" s="13"/>
      <c r="K25" s="13"/>
      <c r="L25" s="13"/>
      <c r="M25" s="17"/>
      <c r="N25" s="17"/>
      <c r="O25" s="17"/>
      <c r="P25" s="17"/>
      <c r="Q25" s="17"/>
      <c r="R25" s="17"/>
      <c r="S25" s="13"/>
    </row>
    <row r="26" s="2" customFormat="true" ht="15" hidden="false" customHeight="false" outlineLevel="0" collapsed="false">
      <c r="B26" s="13" t="s">
        <v>19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="2" customFormat="true" ht="15" hidden="false" customHeight="false" outlineLevel="0" collapsed="false">
      <c r="B27" s="16" t="s">
        <v>20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="2" customFormat="true" ht="15" hidden="false" customHeight="false" outlineLevel="0" collapsed="false">
      <c r="B28" s="13" t="s">
        <v>21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="2" customFormat="true" ht="15" hidden="false" customHeight="false" outlineLevel="0" collapsed="false">
      <c r="B29" s="13" t="s">
        <v>22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="2" customFormat="true" ht="15" hidden="false" customHeight="false" outlineLevel="0" collapsed="false">
      <c r="B30" s="16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="2" customFormat="true" ht="15" hidden="false" customHeight="false" outlineLevel="0" collapsed="false">
      <c r="B31" s="16" t="s">
        <v>24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="2" customFormat="true" ht="15" hidden="false" customHeight="false" outlineLevel="0" collapsed="false">
      <c r="B32" s="16" t="s">
        <v>25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="2" customFormat="true" ht="15" hidden="false" customHeight="false" outlineLevel="0" collapsed="false"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="2" customFormat="true" ht="15" hidden="false" customHeight="false" outlineLevel="0" collapsed="false">
      <c r="B34" s="2" t="s">
        <v>26</v>
      </c>
    </row>
    <row r="35" s="2" customFormat="true" ht="15" hidden="false" customHeight="true" outlineLevel="0" collapsed="false">
      <c r="B35" s="19" t="s">
        <v>27</v>
      </c>
      <c r="C35" s="19" t="s">
        <v>28</v>
      </c>
      <c r="D35" s="20" t="s">
        <v>29</v>
      </c>
      <c r="E35" s="21" t="n">
        <v>1</v>
      </c>
      <c r="F35" s="22"/>
      <c r="G35" s="22"/>
      <c r="H35" s="22"/>
      <c r="I35" s="22"/>
      <c r="J35" s="22"/>
      <c r="K35" s="22"/>
      <c r="L35" s="22"/>
      <c r="M35" s="22"/>
    </row>
    <row r="36" s="2" customFormat="true" ht="15" hidden="false" customHeight="false" outlineLevel="0" collapsed="false">
      <c r="B36" s="19"/>
      <c r="C36" s="19" t="s">
        <v>28</v>
      </c>
      <c r="D36" s="19" t="s">
        <v>30</v>
      </c>
      <c r="E36" s="21" t="n">
        <v>4</v>
      </c>
      <c r="F36" s="22"/>
      <c r="G36" s="22"/>
      <c r="H36" s="22"/>
      <c r="I36" s="22"/>
      <c r="J36" s="22"/>
      <c r="K36" s="22"/>
      <c r="L36" s="22"/>
      <c r="M36" s="22"/>
      <c r="Q36" s="23"/>
      <c r="R36" s="23"/>
      <c r="S36" s="23"/>
      <c r="T36" s="23"/>
    </row>
    <row r="37" s="2" customFormat="true" ht="15" hidden="false" customHeight="false" outlineLevel="0" collapsed="false"/>
    <row r="38" s="2" customFormat="true" ht="15" hidden="false" customHeight="false" outlineLevel="0" collapsed="false">
      <c r="B38" s="2" t="s">
        <v>31</v>
      </c>
    </row>
    <row r="39" s="2" customFormat="true" ht="15" hidden="false" customHeight="false" outlineLevel="0" collapsed="false">
      <c r="B39" s="23" t="s">
        <v>32</v>
      </c>
    </row>
    <row r="40" s="2" customFormat="true" ht="15" hidden="false" customHeight="false" outlineLevel="0" collapsed="false">
      <c r="B40" s="23"/>
    </row>
    <row r="41" s="2" customFormat="true" ht="15" hidden="false" customHeight="false" outlineLevel="0" collapsed="false">
      <c r="B41" s="24"/>
      <c r="C41" s="24"/>
      <c r="D41" s="24"/>
      <c r="E41" s="25" t="s">
        <v>33</v>
      </c>
      <c r="F41" s="26" t="s">
        <v>34</v>
      </c>
      <c r="G41" s="26" t="s">
        <v>35</v>
      </c>
      <c r="H41" s="26" t="s">
        <v>36</v>
      </c>
      <c r="I41" s="26" t="s">
        <v>37</v>
      </c>
      <c r="J41" s="26" t="s">
        <v>38</v>
      </c>
      <c r="K41" s="26" t="s">
        <v>39</v>
      </c>
      <c r="L41" s="27" t="s">
        <v>40</v>
      </c>
    </row>
    <row r="42" s="2" customFormat="true" ht="15" hidden="false" customHeight="true" outlineLevel="0" collapsed="false">
      <c r="B42" s="19" t="s">
        <v>27</v>
      </c>
      <c r="C42" s="19" t="s">
        <v>28</v>
      </c>
      <c r="D42" s="19" t="s">
        <v>41</v>
      </c>
      <c r="E42" s="28" t="n">
        <v>3</v>
      </c>
      <c r="F42" s="29" t="n">
        <v>11</v>
      </c>
      <c r="G42" s="29" t="n">
        <v>2</v>
      </c>
      <c r="H42" s="30" t="n">
        <v>0</v>
      </c>
      <c r="I42" s="30" t="n">
        <v>0</v>
      </c>
      <c r="J42" s="30" t="n">
        <v>0</v>
      </c>
      <c r="K42" s="30" t="n">
        <v>0</v>
      </c>
      <c r="L42" s="29" t="n">
        <f aca="false">SUM(E42:K42)</f>
        <v>16</v>
      </c>
    </row>
    <row r="43" s="2" customFormat="true" ht="15" hidden="false" customHeight="false" outlineLevel="0" collapsed="false">
      <c r="B43" s="19"/>
      <c r="C43" s="19" t="s">
        <v>28</v>
      </c>
      <c r="D43" s="19" t="s">
        <v>30</v>
      </c>
      <c r="E43" s="28" t="n">
        <v>15</v>
      </c>
      <c r="F43" s="29" t="n">
        <v>55</v>
      </c>
      <c r="G43" s="29" t="n">
        <v>280</v>
      </c>
      <c r="H43" s="30" t="n">
        <v>600</v>
      </c>
      <c r="I43" s="30" t="n">
        <v>713</v>
      </c>
      <c r="J43" s="30" t="n">
        <v>800</v>
      </c>
      <c r="K43" s="30" t="n">
        <v>900</v>
      </c>
      <c r="L43" s="29" t="n">
        <f aca="false">SUM(E43:K43)</f>
        <v>3363</v>
      </c>
      <c r="P43" s="23"/>
      <c r="Q43" s="23"/>
      <c r="R43" s="23"/>
      <c r="S43" s="23"/>
    </row>
    <row r="44" s="2" customFormat="true" ht="15" hidden="false" customHeight="true" outlineLevel="0" collapsed="false">
      <c r="B44" s="31" t="s">
        <v>42</v>
      </c>
      <c r="C44" s="31"/>
      <c r="D44" s="31"/>
      <c r="E44" s="31"/>
      <c r="F44" s="31"/>
    </row>
    <row r="45" s="2" customFormat="true" ht="15" hidden="false" customHeight="true" outlineLevel="0" collapsed="false"/>
    <row r="46" s="2" customFormat="true" ht="16.5" hidden="false" customHeight="true" outlineLevel="0" collapsed="false">
      <c r="B46" s="2" t="s">
        <v>43</v>
      </c>
    </row>
    <row r="47" s="2" customFormat="true" ht="15" hidden="false" customHeight="false" outlineLevel="0" collapsed="false">
      <c r="B47" s="23" t="s">
        <v>44</v>
      </c>
    </row>
    <row r="48" s="2" customFormat="true" ht="15" hidden="false" customHeight="false" outlineLevel="0" collapsed="false">
      <c r="B48" s="23"/>
    </row>
    <row r="49" s="2" customFormat="true" ht="27" hidden="false" customHeight="true" outlineLevel="0" collapsed="false">
      <c r="E49" s="32" t="s">
        <v>45</v>
      </c>
      <c r="F49" s="32"/>
      <c r="G49" s="33"/>
    </row>
    <row r="50" s="2" customFormat="true" ht="25.5" hidden="false" customHeight="true" outlineLevel="0" collapsed="false">
      <c r="B50" s="34" t="s">
        <v>46</v>
      </c>
      <c r="C50" s="34"/>
      <c r="D50" s="34"/>
      <c r="E50" s="35" t="n">
        <v>5</v>
      </c>
      <c r="F50" s="35"/>
      <c r="G50" s="36"/>
    </row>
    <row r="51" s="2" customFormat="true" ht="24" hidden="false" customHeight="true" outlineLevel="0" collapsed="false">
      <c r="B51" s="34" t="s">
        <v>47</v>
      </c>
      <c r="C51" s="34"/>
      <c r="D51" s="34"/>
      <c r="E51" s="35" t="n">
        <v>5</v>
      </c>
      <c r="F51" s="35"/>
      <c r="G51" s="36"/>
    </row>
    <row r="52" s="2" customFormat="true" ht="20.25" hidden="false" customHeight="true" outlineLevel="0" collapsed="false">
      <c r="B52" s="34" t="s">
        <v>48</v>
      </c>
      <c r="C52" s="34"/>
      <c r="D52" s="34"/>
      <c r="E52" s="35" t="n">
        <v>5</v>
      </c>
      <c r="F52" s="35"/>
      <c r="G52" s="36"/>
    </row>
    <row r="53" s="2" customFormat="true" ht="29.25" hidden="false" customHeight="true" outlineLevel="0" collapsed="false">
      <c r="B53" s="34" t="s">
        <v>49</v>
      </c>
      <c r="C53" s="34"/>
      <c r="D53" s="34"/>
      <c r="E53" s="35" t="n">
        <v>5</v>
      </c>
      <c r="F53" s="35"/>
      <c r="G53" s="36"/>
    </row>
    <row r="54" s="2" customFormat="true" ht="39.75" hidden="false" customHeight="true" outlineLevel="0" collapsed="false">
      <c r="B54" s="34" t="s">
        <v>50</v>
      </c>
      <c r="C54" s="34"/>
      <c r="D54" s="34"/>
      <c r="E54" s="35" t="n">
        <v>5</v>
      </c>
      <c r="F54" s="35"/>
      <c r="G54" s="36"/>
    </row>
    <row r="55" s="2" customFormat="true" ht="15" hidden="false" customHeight="false" outlineLevel="0" collapsed="false"/>
    <row r="56" s="2" customFormat="true" ht="15" hidden="false" customHeight="false" outlineLevel="0" collapsed="false"/>
    <row r="57" s="2" customFormat="true" ht="15" hidden="false" customHeight="false" outlineLevel="0" collapsed="false">
      <c r="B57" s="2" t="s">
        <v>51</v>
      </c>
    </row>
    <row r="58" s="2" customFormat="true" ht="15" hidden="false" customHeight="false" outlineLevel="0" collapsed="false">
      <c r="B58" s="2" t="s">
        <v>52</v>
      </c>
    </row>
    <row r="59" s="2" customFormat="true" ht="15" hidden="false" customHeight="false" outlineLevel="0" collapsed="false"/>
    <row r="60" s="2" customFormat="true" ht="16.5" hidden="false" customHeight="true" outlineLevel="0" collapsed="false">
      <c r="B60" s="25" t="s">
        <v>53</v>
      </c>
      <c r="C60" s="25" t="s">
        <v>54</v>
      </c>
      <c r="D60" s="25"/>
      <c r="E60" s="25"/>
      <c r="F60" s="25"/>
      <c r="G60" s="25" t="s">
        <v>55</v>
      </c>
      <c r="H60" s="37" t="s">
        <v>34</v>
      </c>
      <c r="I60" s="37" t="s">
        <v>35</v>
      </c>
      <c r="J60" s="37" t="s">
        <v>36</v>
      </c>
      <c r="K60" s="37" t="s">
        <v>37</v>
      </c>
      <c r="L60" s="37" t="s">
        <v>38</v>
      </c>
      <c r="M60" s="37" t="s">
        <v>39</v>
      </c>
      <c r="N60" s="38" t="s">
        <v>40</v>
      </c>
    </row>
    <row r="61" s="2" customFormat="true" ht="50.25" hidden="false" customHeight="true" outlineLevel="0" collapsed="false">
      <c r="B61" s="30" t="n">
        <v>1</v>
      </c>
      <c r="C61" s="39" t="s">
        <v>56</v>
      </c>
      <c r="D61" s="39"/>
      <c r="E61" s="39"/>
      <c r="F61" s="39"/>
      <c r="G61" s="40"/>
      <c r="H61" s="41"/>
      <c r="I61" s="41"/>
      <c r="J61" s="41"/>
      <c r="K61" s="41"/>
      <c r="L61" s="41"/>
      <c r="M61" s="41"/>
      <c r="N61" s="40"/>
    </row>
    <row r="62" s="2" customFormat="true" ht="27" hidden="false" customHeight="true" outlineLevel="0" collapsed="false">
      <c r="B62" s="42" t="s">
        <v>57</v>
      </c>
      <c r="C62" s="43" t="s">
        <v>58</v>
      </c>
      <c r="D62" s="43"/>
      <c r="E62" s="43"/>
      <c r="F62" s="43"/>
      <c r="G62" s="40"/>
      <c r="H62" s="29" t="n">
        <v>11</v>
      </c>
      <c r="I62" s="29" t="n">
        <v>2</v>
      </c>
      <c r="J62" s="30" t="n">
        <v>0</v>
      </c>
      <c r="K62" s="30" t="n">
        <v>0</v>
      </c>
      <c r="L62" s="30" t="n">
        <v>0</v>
      </c>
      <c r="M62" s="30" t="n">
        <v>0</v>
      </c>
      <c r="N62" s="30" t="n">
        <f aca="false">SUM(H62:M62)</f>
        <v>13</v>
      </c>
    </row>
    <row r="63" s="2" customFormat="true" ht="42" hidden="false" customHeight="true" outlineLevel="0" collapsed="false">
      <c r="B63" s="42" t="s">
        <v>59</v>
      </c>
      <c r="C63" s="43" t="s">
        <v>60</v>
      </c>
      <c r="D63" s="43"/>
      <c r="E63" s="43"/>
      <c r="F63" s="43"/>
      <c r="G63" s="40"/>
      <c r="H63" s="29" t="n">
        <v>11</v>
      </c>
      <c r="I63" s="29" t="n">
        <v>2</v>
      </c>
      <c r="J63" s="30" t="n">
        <v>0</v>
      </c>
      <c r="K63" s="30" t="n">
        <v>0</v>
      </c>
      <c r="L63" s="30" t="n">
        <v>0</v>
      </c>
      <c r="M63" s="30" t="n">
        <v>0</v>
      </c>
      <c r="N63" s="30" t="n">
        <f aca="false">SUM(H63:M63)</f>
        <v>13</v>
      </c>
    </row>
    <row r="64" s="2" customFormat="true" ht="44.25" hidden="false" customHeight="true" outlineLevel="0" collapsed="false">
      <c r="B64" s="42" t="s">
        <v>61</v>
      </c>
      <c r="C64" s="43" t="s">
        <v>62</v>
      </c>
      <c r="D64" s="43"/>
      <c r="E64" s="43"/>
      <c r="F64" s="43"/>
      <c r="G64" s="40"/>
      <c r="H64" s="29" t="n">
        <v>11</v>
      </c>
      <c r="I64" s="29" t="n">
        <v>2</v>
      </c>
      <c r="J64" s="30" t="n">
        <v>0</v>
      </c>
      <c r="K64" s="30" t="n">
        <v>0</v>
      </c>
      <c r="L64" s="30" t="n">
        <v>0</v>
      </c>
      <c r="M64" s="30" t="n">
        <v>0</v>
      </c>
      <c r="N64" s="30" t="n">
        <f aca="false">SUM(H64:M64)</f>
        <v>13</v>
      </c>
    </row>
    <row r="65" s="2" customFormat="true" ht="34.5" hidden="false" customHeight="true" outlineLevel="0" collapsed="false">
      <c r="B65" s="42" t="s">
        <v>63</v>
      </c>
      <c r="C65" s="43" t="s">
        <v>64</v>
      </c>
      <c r="D65" s="43"/>
      <c r="E65" s="43"/>
      <c r="F65" s="43"/>
      <c r="G65" s="40"/>
      <c r="H65" s="29" t="n">
        <v>11</v>
      </c>
      <c r="I65" s="29" t="n">
        <v>2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f aca="false">SUM(H65:M65)</f>
        <v>13</v>
      </c>
    </row>
    <row r="66" s="2" customFormat="true" ht="71.25" hidden="false" customHeight="true" outlineLevel="0" collapsed="false">
      <c r="B66" s="30" t="n">
        <v>2</v>
      </c>
      <c r="C66" s="44" t="s">
        <v>65</v>
      </c>
      <c r="D66" s="44"/>
      <c r="E66" s="44"/>
      <c r="F66" s="44"/>
      <c r="G66" s="40"/>
      <c r="H66" s="45" t="n">
        <v>0</v>
      </c>
      <c r="I66" s="45" t="n">
        <v>1</v>
      </c>
      <c r="J66" s="45" t="n">
        <v>4</v>
      </c>
      <c r="K66" s="45" t="n">
        <v>10</v>
      </c>
      <c r="L66" s="45" t="n">
        <v>17</v>
      </c>
      <c r="M66" s="45" t="n">
        <v>25</v>
      </c>
      <c r="N66" s="30" t="n">
        <f aca="false">SUM(H66:M66)</f>
        <v>57</v>
      </c>
      <c r="P66" s="46"/>
    </row>
    <row r="67" s="2" customFormat="true" ht="72" hidden="false" customHeight="true" outlineLevel="0" collapsed="false">
      <c r="B67" s="30" t="n">
        <f aca="false">B66+1</f>
        <v>3</v>
      </c>
      <c r="C67" s="44" t="s">
        <v>66</v>
      </c>
      <c r="D67" s="44"/>
      <c r="E67" s="44"/>
      <c r="F67" s="44"/>
      <c r="G67" s="40"/>
      <c r="H67" s="45" t="n">
        <v>0</v>
      </c>
      <c r="I67" s="45" t="n">
        <v>1</v>
      </c>
      <c r="J67" s="45" t="n">
        <v>0</v>
      </c>
      <c r="K67" s="45" t="n">
        <v>1</v>
      </c>
      <c r="L67" s="45" t="n">
        <v>0</v>
      </c>
      <c r="M67" s="45" t="n">
        <v>1</v>
      </c>
      <c r="N67" s="30" t="n">
        <f aca="false">SUM(H67:M67)</f>
        <v>3</v>
      </c>
    </row>
    <row r="68" s="2" customFormat="true" ht="66" hidden="false" customHeight="true" outlineLevel="0" collapsed="false">
      <c r="B68" s="30" t="n">
        <f aca="false">B67+1</f>
        <v>4</v>
      </c>
      <c r="C68" s="44" t="s">
        <v>67</v>
      </c>
      <c r="D68" s="44"/>
      <c r="E68" s="44"/>
      <c r="F68" s="44"/>
      <c r="G68" s="40"/>
      <c r="H68" s="45" t="n">
        <v>10</v>
      </c>
      <c r="I68" s="45" t="n">
        <v>10</v>
      </c>
      <c r="J68" s="45" t="n">
        <v>10</v>
      </c>
      <c r="K68" s="45" t="n">
        <v>10</v>
      </c>
      <c r="L68" s="45" t="n">
        <v>10</v>
      </c>
      <c r="M68" s="45" t="n">
        <v>10</v>
      </c>
      <c r="N68" s="30" t="n">
        <f aca="false">SUM(H68:M68)</f>
        <v>60</v>
      </c>
    </row>
    <row r="69" s="2" customFormat="true" ht="70.5" hidden="false" customHeight="true" outlineLevel="0" collapsed="false">
      <c r="B69" s="30" t="n">
        <f aca="false">B68+1</f>
        <v>5</v>
      </c>
      <c r="C69" s="44" t="s">
        <v>68</v>
      </c>
      <c r="D69" s="44"/>
      <c r="E69" s="44"/>
      <c r="F69" s="44"/>
      <c r="G69" s="40"/>
      <c r="H69" s="45" t="n">
        <v>15</v>
      </c>
      <c r="I69" s="45" t="n">
        <v>15</v>
      </c>
      <c r="J69" s="45" t="n">
        <v>15</v>
      </c>
      <c r="K69" s="45" t="n">
        <v>15</v>
      </c>
      <c r="L69" s="45" t="n">
        <v>15</v>
      </c>
      <c r="M69" s="45" t="n">
        <v>15</v>
      </c>
      <c r="N69" s="30" t="n">
        <f aca="false">SUM(H69:M69)</f>
        <v>90</v>
      </c>
    </row>
    <row r="70" s="2" customFormat="true" ht="51.75" hidden="false" customHeight="true" outlineLevel="0" collapsed="false">
      <c r="B70" s="30" t="n">
        <f aca="false">B69+1</f>
        <v>6</v>
      </c>
      <c r="C70" s="44" t="s">
        <v>69</v>
      </c>
      <c r="D70" s="44"/>
      <c r="E70" s="44"/>
      <c r="F70" s="44"/>
      <c r="G70" s="40"/>
      <c r="H70" s="45" t="n">
        <v>2</v>
      </c>
      <c r="I70" s="45" t="n">
        <v>2</v>
      </c>
      <c r="J70" s="45" t="n">
        <v>2</v>
      </c>
      <c r="K70" s="45" t="n">
        <v>2</v>
      </c>
      <c r="L70" s="45" t="n">
        <v>2</v>
      </c>
      <c r="M70" s="45" t="n">
        <v>2</v>
      </c>
      <c r="N70" s="30" t="n">
        <f aca="false">SUM(H70:M70)</f>
        <v>12</v>
      </c>
    </row>
    <row r="71" s="2" customFormat="true" ht="53.25" hidden="false" customHeight="true" outlineLevel="0" collapsed="false">
      <c r="B71" s="30" t="n">
        <f aca="false">B70+1</f>
        <v>7</v>
      </c>
      <c r="C71" s="44" t="s">
        <v>70</v>
      </c>
      <c r="D71" s="44"/>
      <c r="E71" s="44"/>
      <c r="F71" s="44"/>
      <c r="G71" s="40"/>
      <c r="H71" s="45" t="n">
        <v>4</v>
      </c>
      <c r="I71" s="45" t="n">
        <v>4</v>
      </c>
      <c r="J71" s="45" t="n">
        <v>4</v>
      </c>
      <c r="K71" s="45" t="n">
        <v>4</v>
      </c>
      <c r="L71" s="45" t="n">
        <v>4</v>
      </c>
      <c r="M71" s="45" t="n">
        <v>4</v>
      </c>
      <c r="N71" s="30" t="n">
        <f aca="false">SUM(H71:M71)</f>
        <v>24</v>
      </c>
    </row>
    <row r="72" s="2" customFormat="true" ht="74.25" hidden="false" customHeight="true" outlineLevel="0" collapsed="false">
      <c r="B72" s="30" t="n">
        <f aca="false">B71+1</f>
        <v>8</v>
      </c>
      <c r="C72" s="44" t="s">
        <v>71</v>
      </c>
      <c r="D72" s="44"/>
      <c r="E72" s="44"/>
      <c r="F72" s="44"/>
      <c r="G72" s="40"/>
      <c r="H72" s="45" t="n">
        <v>1</v>
      </c>
      <c r="I72" s="45" t="n">
        <v>1</v>
      </c>
      <c r="J72" s="45" t="n">
        <v>1</v>
      </c>
      <c r="K72" s="45" t="n">
        <v>1</v>
      </c>
      <c r="L72" s="45" t="n">
        <v>1</v>
      </c>
      <c r="M72" s="45" t="n">
        <v>1</v>
      </c>
      <c r="N72" s="30" t="n">
        <f aca="false">SUM(H72:M72)</f>
        <v>6</v>
      </c>
    </row>
    <row r="73" s="2" customFormat="true" ht="62.25" hidden="false" customHeight="true" outlineLevel="0" collapsed="false">
      <c r="B73" s="30" t="n">
        <v>9</v>
      </c>
      <c r="C73" s="44" t="s">
        <v>72</v>
      </c>
      <c r="D73" s="44"/>
      <c r="E73" s="44"/>
      <c r="F73" s="44"/>
      <c r="G73" s="40"/>
      <c r="H73" s="45" t="n">
        <v>150</v>
      </c>
      <c r="I73" s="45" t="n">
        <v>550</v>
      </c>
      <c r="J73" s="45" t="n">
        <v>2500</v>
      </c>
      <c r="K73" s="45" t="n">
        <v>3500</v>
      </c>
      <c r="L73" s="45" t="n">
        <v>4000</v>
      </c>
      <c r="M73" s="45" t="n">
        <v>4300</v>
      </c>
      <c r="N73" s="47" t="n">
        <f aca="false">SUM(H73:M73)</f>
        <v>15000</v>
      </c>
    </row>
    <row r="74" customFormat="false" ht="15" hidden="false" customHeight="false" outlineLevel="0" collapsed="false">
      <c r="B74" s="48"/>
      <c r="C74" s="49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customFormat="false" ht="15.75" hidden="false" customHeight="true" outlineLevel="0" collapsed="false">
      <c r="D75" s="50"/>
      <c r="E75" s="50"/>
      <c r="F75" s="50"/>
      <c r="G75" s="51"/>
      <c r="H75" s="51"/>
      <c r="I75" s="51"/>
      <c r="J75" s="52"/>
      <c r="K75" s="52"/>
      <c r="L75" s="52"/>
      <c r="M75" s="52"/>
      <c r="N75" s="50"/>
      <c r="O75" s="50"/>
      <c r="P75" s="50"/>
    </row>
    <row r="76" customFormat="false" ht="15" hidden="false" customHeight="false" outlineLevel="0" collapsed="false"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</row>
    <row r="77" customFormat="false" ht="15" hidden="false" customHeight="false" outlineLevel="0" collapsed="false"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</row>
    <row r="78" customFormat="false" ht="15" hidden="false" customHeight="false" outlineLevel="0" collapsed="false"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</row>
    <row r="79" customFormat="false" ht="15" hidden="false" customHeight="false" outlineLevel="0" collapsed="false"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</row>
    <row r="80" customFormat="false" ht="15" hidden="false" customHeight="false" outlineLevel="0" collapsed="false"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</row>
  </sheetData>
  <mergeCells count="27">
    <mergeCell ref="B35:B36"/>
    <mergeCell ref="B42:B43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E254"/>
  <sheetViews>
    <sheetView showFormulas="false" showGridLines="true" showRowColHeaders="true" showZeros="true" rightToLeft="false" tabSelected="false" showOutlineSymbols="true" defaultGridColor="true" view="normal" topLeftCell="A228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53" width="150.57"/>
    <col collapsed="false" customWidth="true" hidden="false" outlineLevel="0" max="3" min="3" style="53" width="20.14"/>
    <col collapsed="false" customWidth="true" hidden="false" outlineLevel="0" max="4" min="4" style="0" width="35"/>
    <col collapsed="false" customWidth="true" hidden="false" outlineLevel="0" max="5" min="5" style="0" width="45.57"/>
    <col collapsed="false" customWidth="true" hidden="false" outlineLevel="0" max="6" min="6" style="0" width="61.42"/>
  </cols>
  <sheetData>
    <row r="1" customFormat="false" ht="15" hidden="false" customHeight="false" outlineLevel="0" collapsed="false">
      <c r="C1" s="54" t="s">
        <v>73</v>
      </c>
    </row>
    <row r="2" customFormat="false" ht="15" hidden="false" customHeight="false" outlineLevel="0" collapsed="false">
      <c r="C2" s="1" t="s">
        <v>1</v>
      </c>
    </row>
    <row r="3" customFormat="false" ht="17.35" hidden="false" customHeight="false" outlineLevel="0" collapsed="false">
      <c r="A3" s="55"/>
      <c r="C3" s="56"/>
    </row>
    <row r="4" customFormat="false" ht="17.35" hidden="false" customHeight="false" outlineLevel="0" collapsed="false">
      <c r="A4" s="55"/>
      <c r="B4" s="57"/>
      <c r="C4" s="56"/>
    </row>
    <row r="5" customFormat="false" ht="15" hidden="false" customHeight="false" outlineLevel="0" collapsed="false">
      <c r="A5" s="55"/>
      <c r="B5" s="58" t="s">
        <v>74</v>
      </c>
      <c r="C5" s="59" t="s">
        <v>75</v>
      </c>
      <c r="D5" s="59"/>
      <c r="E5" s="59"/>
    </row>
    <row r="6" customFormat="false" ht="15" hidden="false" customHeight="false" outlineLevel="0" collapsed="false">
      <c r="A6" s="60"/>
      <c r="B6" s="58" t="s">
        <v>76</v>
      </c>
      <c r="C6" s="59" t="s">
        <v>75</v>
      </c>
      <c r="D6" s="59"/>
      <c r="E6" s="59"/>
    </row>
    <row r="7" customFormat="false" ht="15" hidden="false" customHeight="false" outlineLevel="0" collapsed="false">
      <c r="A7" s="60"/>
      <c r="B7" s="58" t="s">
        <v>77</v>
      </c>
      <c r="C7" s="59" t="s">
        <v>75</v>
      </c>
      <c r="D7" s="59"/>
      <c r="E7" s="59"/>
    </row>
    <row r="8" customFormat="false" ht="15" hidden="false" customHeight="false" outlineLevel="0" collapsed="false">
      <c r="A8" s="60"/>
      <c r="B8" s="58" t="s">
        <v>78</v>
      </c>
      <c r="C8" s="59" t="s">
        <v>75</v>
      </c>
      <c r="D8" s="59"/>
      <c r="E8" s="59"/>
    </row>
    <row r="10" customFormat="false" ht="17.9" hidden="false" customHeight="false" outlineLevel="0" collapsed="false">
      <c r="B10" s="61" t="s">
        <v>79</v>
      </c>
    </row>
    <row r="12" customFormat="false" ht="42.5" hidden="false" customHeight="false" outlineLevel="0" collapsed="false">
      <c r="A12" s="62" t="s">
        <v>80</v>
      </c>
      <c r="B12" s="63" t="s">
        <v>81</v>
      </c>
      <c r="C12" s="63" t="s">
        <v>82</v>
      </c>
      <c r="D12" s="63" t="s">
        <v>83</v>
      </c>
      <c r="E12" s="64" t="s">
        <v>84</v>
      </c>
    </row>
    <row r="13" customFormat="false" ht="15" hidden="false" customHeight="false" outlineLevel="0" collapsed="false">
      <c r="A13" s="65" t="n">
        <v>1</v>
      </c>
      <c r="B13" s="66" t="s">
        <v>85</v>
      </c>
      <c r="C13" s="67" t="s">
        <v>86</v>
      </c>
      <c r="D13" s="68"/>
      <c r="E13" s="68"/>
    </row>
    <row r="14" customFormat="false" ht="15" hidden="false" customHeight="false" outlineLevel="0" collapsed="false">
      <c r="A14" s="65" t="n">
        <v>2</v>
      </c>
      <c r="B14" s="66" t="s">
        <v>87</v>
      </c>
      <c r="C14" s="67" t="s">
        <v>86</v>
      </c>
      <c r="D14" s="68"/>
      <c r="E14" s="68"/>
    </row>
    <row r="15" customFormat="false" ht="20.85" hidden="false" customHeight="false" outlineLevel="0" collapsed="false">
      <c r="A15" s="65" t="n">
        <v>3</v>
      </c>
      <c r="B15" s="66" t="s">
        <v>88</v>
      </c>
      <c r="C15" s="67" t="s">
        <v>86</v>
      </c>
      <c r="D15" s="68"/>
      <c r="E15" s="68"/>
    </row>
    <row r="16" customFormat="false" ht="15" hidden="false" customHeight="false" outlineLevel="0" collapsed="false">
      <c r="A16" s="65" t="n">
        <v>4</v>
      </c>
      <c r="B16" s="66" t="s">
        <v>89</v>
      </c>
      <c r="C16" s="67" t="s">
        <v>86</v>
      </c>
      <c r="D16" s="68"/>
      <c r="E16" s="68"/>
    </row>
    <row r="17" customFormat="false" ht="15" hidden="false" customHeight="false" outlineLevel="0" collapsed="false">
      <c r="A17" s="65" t="n">
        <v>5</v>
      </c>
      <c r="B17" s="66" t="s">
        <v>90</v>
      </c>
      <c r="C17" s="67" t="s">
        <v>86</v>
      </c>
      <c r="D17" s="68"/>
      <c r="E17" s="68"/>
    </row>
    <row r="19" customFormat="false" ht="17.9" hidden="false" customHeight="false" outlineLevel="0" collapsed="false">
      <c r="A19" s="55"/>
      <c r="B19" s="61" t="s">
        <v>91</v>
      </c>
      <c r="C19" s="56"/>
    </row>
    <row r="21" customFormat="false" ht="42.5" hidden="false" customHeight="false" outlineLevel="0" collapsed="false">
      <c r="A21" s="62" t="s">
        <v>80</v>
      </c>
      <c r="B21" s="63" t="s">
        <v>81</v>
      </c>
      <c r="C21" s="63" t="s">
        <v>82</v>
      </c>
      <c r="D21" s="63" t="s">
        <v>83</v>
      </c>
      <c r="E21" s="64" t="s">
        <v>84</v>
      </c>
    </row>
    <row r="22" customFormat="false" ht="15" hidden="false" customHeight="false" outlineLevel="0" collapsed="false">
      <c r="A22" s="62" t="n">
        <v>1</v>
      </c>
      <c r="B22" s="69" t="s">
        <v>79</v>
      </c>
      <c r="C22" s="69"/>
      <c r="D22" s="69"/>
      <c r="E22" s="69"/>
    </row>
    <row r="23" customFormat="false" ht="68.65" hidden="false" customHeight="false" outlineLevel="0" collapsed="false">
      <c r="A23" s="70" t="s">
        <v>57</v>
      </c>
      <c r="B23" s="71" t="s">
        <v>92</v>
      </c>
      <c r="C23" s="72" t="s">
        <v>93</v>
      </c>
      <c r="D23" s="73" t="s">
        <v>94</v>
      </c>
      <c r="E23" s="74"/>
    </row>
    <row r="24" customFormat="false" ht="68.65" hidden="false" customHeight="false" outlineLevel="0" collapsed="false">
      <c r="A24" s="70" t="s">
        <v>59</v>
      </c>
      <c r="B24" s="71" t="s">
        <v>95</v>
      </c>
      <c r="C24" s="67" t="s">
        <v>86</v>
      </c>
      <c r="D24" s="73" t="s">
        <v>96</v>
      </c>
      <c r="E24" s="75" t="s">
        <v>97</v>
      </c>
    </row>
    <row r="25" customFormat="false" ht="68.65" hidden="false" customHeight="false" outlineLevel="0" collapsed="false">
      <c r="A25" s="70" t="s">
        <v>61</v>
      </c>
      <c r="B25" s="71" t="s">
        <v>98</v>
      </c>
      <c r="C25" s="67" t="s">
        <v>86</v>
      </c>
      <c r="D25" s="73" t="s">
        <v>99</v>
      </c>
      <c r="E25" s="74"/>
    </row>
    <row r="26" customFormat="false" ht="23.85" hidden="false" customHeight="false" outlineLevel="0" collapsed="false">
      <c r="A26" s="70" t="s">
        <v>63</v>
      </c>
      <c r="B26" s="71" t="s">
        <v>100</v>
      </c>
      <c r="C26" s="67" t="s">
        <v>86</v>
      </c>
      <c r="D26" s="73" t="s">
        <v>101</v>
      </c>
      <c r="E26" s="74"/>
    </row>
    <row r="27" customFormat="false" ht="23.85" hidden="false" customHeight="false" outlineLevel="0" collapsed="false">
      <c r="A27" s="70" t="s">
        <v>102</v>
      </c>
      <c r="B27" s="71" t="s">
        <v>103</v>
      </c>
      <c r="C27" s="67" t="s">
        <v>86</v>
      </c>
      <c r="D27" s="73" t="s">
        <v>104</v>
      </c>
      <c r="E27" s="74"/>
    </row>
    <row r="28" customFormat="false" ht="30.55" hidden="false" customHeight="false" outlineLevel="0" collapsed="false">
      <c r="A28" s="70" t="s">
        <v>105</v>
      </c>
      <c r="B28" s="71" t="s">
        <v>106</v>
      </c>
      <c r="C28" s="67" t="s">
        <v>86</v>
      </c>
      <c r="D28" s="73"/>
      <c r="E28" s="74"/>
    </row>
    <row r="29" customFormat="false" ht="46.25" hidden="false" customHeight="false" outlineLevel="0" collapsed="false">
      <c r="A29" s="70" t="s">
        <v>107</v>
      </c>
      <c r="B29" s="71" t="s">
        <v>108</v>
      </c>
      <c r="C29" s="67" t="s">
        <v>109</v>
      </c>
      <c r="D29" s="73" t="s">
        <v>110</v>
      </c>
      <c r="E29" s="74"/>
    </row>
    <row r="30" customFormat="false" ht="20.85" hidden="false" customHeight="false" outlineLevel="0" collapsed="false">
      <c r="A30" s="70" t="s">
        <v>111</v>
      </c>
      <c r="B30" s="71" t="s">
        <v>112</v>
      </c>
      <c r="C30" s="67" t="s">
        <v>86</v>
      </c>
      <c r="D30" s="73"/>
      <c r="E30" s="74"/>
    </row>
    <row r="31" customFormat="false" ht="15" hidden="false" customHeight="false" outlineLevel="0" collapsed="false">
      <c r="A31" s="70" t="s">
        <v>113</v>
      </c>
      <c r="B31" s="71" t="s">
        <v>114</v>
      </c>
      <c r="C31" s="67" t="s">
        <v>86</v>
      </c>
      <c r="D31" s="73"/>
      <c r="E31" s="74"/>
    </row>
    <row r="32" customFormat="false" ht="15" hidden="false" customHeight="false" outlineLevel="0" collapsed="false">
      <c r="A32" s="70" t="s">
        <v>115</v>
      </c>
      <c r="B32" s="71" t="s">
        <v>116</v>
      </c>
      <c r="C32" s="67" t="s">
        <v>86</v>
      </c>
      <c r="D32" s="73"/>
      <c r="E32" s="74"/>
    </row>
    <row r="33" customFormat="false" ht="15" hidden="false" customHeight="false" outlineLevel="0" collapsed="false">
      <c r="A33" s="70" t="s">
        <v>117</v>
      </c>
      <c r="B33" s="71" t="s">
        <v>118</v>
      </c>
      <c r="C33" s="76" t="s">
        <v>119</v>
      </c>
      <c r="D33" s="73"/>
      <c r="E33" s="74"/>
    </row>
    <row r="34" customFormat="false" ht="23.85" hidden="false" customHeight="false" outlineLevel="0" collapsed="false">
      <c r="A34" s="70" t="s">
        <v>120</v>
      </c>
      <c r="B34" s="71" t="s">
        <v>121</v>
      </c>
      <c r="C34" s="72" t="s">
        <v>93</v>
      </c>
      <c r="D34" s="73" t="s">
        <v>122</v>
      </c>
      <c r="E34" s="74"/>
    </row>
    <row r="35" customFormat="false" ht="20.85" hidden="false" customHeight="false" outlineLevel="0" collapsed="false">
      <c r="A35" s="70" t="s">
        <v>123</v>
      </c>
      <c r="B35" s="71" t="s">
        <v>124</v>
      </c>
      <c r="C35" s="67" t="s">
        <v>119</v>
      </c>
      <c r="D35" s="73" t="s">
        <v>125</v>
      </c>
      <c r="E35" s="74"/>
    </row>
    <row r="36" customFormat="false" ht="46.25" hidden="false" customHeight="false" outlineLevel="0" collapsed="false">
      <c r="A36" s="70" t="s">
        <v>126</v>
      </c>
      <c r="B36" s="71" t="s">
        <v>127</v>
      </c>
      <c r="C36" s="72" t="s">
        <v>93</v>
      </c>
      <c r="D36" s="73" t="s">
        <v>128</v>
      </c>
      <c r="E36" s="74"/>
    </row>
    <row r="37" customFormat="false" ht="15" hidden="false" customHeight="false" outlineLevel="0" collapsed="false">
      <c r="A37" s="70" t="s">
        <v>129</v>
      </c>
      <c r="B37" s="71" t="s">
        <v>130</v>
      </c>
      <c r="C37" s="67" t="s">
        <v>86</v>
      </c>
      <c r="D37" s="73"/>
      <c r="E37" s="74"/>
    </row>
    <row r="38" customFormat="false" ht="35.05" hidden="false" customHeight="false" outlineLevel="0" collapsed="false">
      <c r="A38" s="70" t="s">
        <v>131</v>
      </c>
      <c r="B38" s="71" t="s">
        <v>132</v>
      </c>
      <c r="C38" s="72" t="s">
        <v>93</v>
      </c>
      <c r="D38" s="73" t="s">
        <v>133</v>
      </c>
      <c r="E38" s="74"/>
    </row>
    <row r="39" customFormat="false" ht="15" hidden="false" customHeight="false" outlineLevel="0" collapsed="false">
      <c r="A39" s="62" t="n">
        <v>2</v>
      </c>
      <c r="B39" s="69" t="s">
        <v>134</v>
      </c>
      <c r="C39" s="77"/>
      <c r="D39" s="78"/>
      <c r="E39" s="78"/>
    </row>
    <row r="40" customFormat="false" ht="15" hidden="false" customHeight="false" outlineLevel="0" collapsed="false">
      <c r="A40" s="70" t="s">
        <v>135</v>
      </c>
      <c r="B40" s="71" t="s">
        <v>136</v>
      </c>
      <c r="C40" s="67" t="s">
        <v>86</v>
      </c>
      <c r="D40" s="73" t="s">
        <v>137</v>
      </c>
      <c r="E40" s="74"/>
    </row>
    <row r="41" customFormat="false" ht="20.85" hidden="false" customHeight="false" outlineLevel="0" collapsed="false">
      <c r="A41" s="70" t="s">
        <v>138</v>
      </c>
      <c r="B41" s="71" t="s">
        <v>139</v>
      </c>
      <c r="C41" s="67" t="s">
        <v>86</v>
      </c>
      <c r="D41" s="73" t="s">
        <v>140</v>
      </c>
      <c r="E41" s="74"/>
    </row>
    <row r="42" customFormat="false" ht="35.05" hidden="false" customHeight="false" outlineLevel="0" collapsed="false">
      <c r="A42" s="70" t="s">
        <v>141</v>
      </c>
      <c r="B42" s="71" t="s">
        <v>142</v>
      </c>
      <c r="C42" s="72" t="s">
        <v>93</v>
      </c>
      <c r="D42" s="73" t="s">
        <v>143</v>
      </c>
      <c r="E42" s="75" t="s">
        <v>144</v>
      </c>
    </row>
    <row r="43" customFormat="false" ht="20.85" hidden="false" customHeight="false" outlineLevel="0" collapsed="false">
      <c r="A43" s="70" t="s">
        <v>145</v>
      </c>
      <c r="B43" s="71" t="s">
        <v>146</v>
      </c>
      <c r="C43" s="67" t="s">
        <v>86</v>
      </c>
      <c r="D43" s="73"/>
      <c r="E43" s="74"/>
    </row>
    <row r="44" customFormat="false" ht="15" hidden="false" customHeight="false" outlineLevel="0" collapsed="false">
      <c r="A44" s="70" t="s">
        <v>147</v>
      </c>
      <c r="B44" s="71" t="s">
        <v>148</v>
      </c>
      <c r="C44" s="67" t="s">
        <v>86</v>
      </c>
      <c r="D44" s="73"/>
      <c r="E44" s="74"/>
    </row>
    <row r="45" customFormat="false" ht="35.05" hidden="false" customHeight="false" outlineLevel="0" collapsed="false">
      <c r="A45" s="70" t="s">
        <v>149</v>
      </c>
      <c r="B45" s="71" t="s">
        <v>150</v>
      </c>
      <c r="C45" s="72" t="s">
        <v>93</v>
      </c>
      <c r="D45" s="73" t="s">
        <v>151</v>
      </c>
      <c r="E45" s="74"/>
    </row>
    <row r="46" customFormat="false" ht="15" hidden="false" customHeight="false" outlineLevel="0" collapsed="false">
      <c r="A46" s="62" t="s">
        <v>152</v>
      </c>
      <c r="B46" s="69" t="s">
        <v>153</v>
      </c>
      <c r="C46" s="77"/>
      <c r="D46" s="78"/>
      <c r="E46" s="78"/>
    </row>
    <row r="47" customFormat="false" ht="35.05" hidden="false" customHeight="false" outlineLevel="0" collapsed="false">
      <c r="A47" s="70" t="s">
        <v>154</v>
      </c>
      <c r="B47" s="71" t="s">
        <v>155</v>
      </c>
      <c r="C47" s="67" t="s">
        <v>86</v>
      </c>
      <c r="D47" s="73" t="s">
        <v>156</v>
      </c>
      <c r="E47" s="68"/>
    </row>
    <row r="48" customFormat="false" ht="23.85" hidden="false" customHeight="false" outlineLevel="0" collapsed="false">
      <c r="A48" s="70" t="s">
        <v>157</v>
      </c>
      <c r="B48" s="71" t="s">
        <v>158</v>
      </c>
      <c r="C48" s="67" t="s">
        <v>86</v>
      </c>
      <c r="D48" s="73" t="s">
        <v>159</v>
      </c>
      <c r="E48" s="68"/>
    </row>
    <row r="49" customFormat="false" ht="35.05" hidden="false" customHeight="false" outlineLevel="0" collapsed="false">
      <c r="A49" s="70" t="s">
        <v>160</v>
      </c>
      <c r="B49" s="71" t="s">
        <v>161</v>
      </c>
      <c r="C49" s="72" t="s">
        <v>93</v>
      </c>
      <c r="D49" s="73" t="s">
        <v>162</v>
      </c>
      <c r="E49" s="68"/>
    </row>
    <row r="50" customFormat="false" ht="15" hidden="false" customHeight="false" outlineLevel="0" collapsed="false">
      <c r="A50" s="70" t="s">
        <v>163</v>
      </c>
      <c r="B50" s="71" t="s">
        <v>164</v>
      </c>
      <c r="C50" s="76" t="s">
        <v>119</v>
      </c>
      <c r="D50" s="73"/>
      <c r="E50" s="68"/>
    </row>
    <row r="51" customFormat="false" ht="46.25" hidden="false" customHeight="false" outlineLevel="0" collapsed="false">
      <c r="A51" s="70" t="s">
        <v>165</v>
      </c>
      <c r="B51" s="71" t="s">
        <v>166</v>
      </c>
      <c r="C51" s="72" t="s">
        <v>93</v>
      </c>
      <c r="D51" s="73" t="s">
        <v>167</v>
      </c>
      <c r="E51" s="68"/>
    </row>
    <row r="52" customFormat="false" ht="20.85" hidden="false" customHeight="false" outlineLevel="0" collapsed="false">
      <c r="A52" s="70" t="s">
        <v>168</v>
      </c>
      <c r="B52" s="71" t="s">
        <v>169</v>
      </c>
      <c r="C52" s="67" t="s">
        <v>86</v>
      </c>
      <c r="D52" s="73"/>
      <c r="E52" s="68"/>
    </row>
    <row r="53" customFormat="false" ht="23.85" hidden="false" customHeight="false" outlineLevel="0" collapsed="false">
      <c r="A53" s="70" t="s">
        <v>170</v>
      </c>
      <c r="B53" s="71" t="s">
        <v>171</v>
      </c>
      <c r="C53" s="67" t="s">
        <v>86</v>
      </c>
      <c r="D53" s="73" t="s">
        <v>172</v>
      </c>
      <c r="E53" s="68"/>
    </row>
    <row r="54" customFormat="false" ht="15" hidden="false" customHeight="false" outlineLevel="0" collapsed="false">
      <c r="A54" s="70" t="s">
        <v>173</v>
      </c>
      <c r="B54" s="71" t="s">
        <v>174</v>
      </c>
      <c r="C54" s="67" t="s">
        <v>86</v>
      </c>
      <c r="D54" s="73"/>
      <c r="E54" s="68"/>
    </row>
    <row r="55" customFormat="false" ht="30.55" hidden="false" customHeight="false" outlineLevel="0" collapsed="false">
      <c r="A55" s="70" t="s">
        <v>175</v>
      </c>
      <c r="B55" s="71" t="s">
        <v>176</v>
      </c>
      <c r="C55" s="67" t="s">
        <v>86</v>
      </c>
      <c r="D55" s="73"/>
      <c r="E55" s="68"/>
    </row>
    <row r="56" customFormat="false" ht="15" hidden="false" customHeight="false" outlineLevel="0" collapsed="false">
      <c r="A56" s="70" t="s">
        <v>177</v>
      </c>
      <c r="B56" s="71" t="s">
        <v>178</v>
      </c>
      <c r="C56" s="67" t="s">
        <v>86</v>
      </c>
      <c r="D56" s="73"/>
      <c r="E56" s="68"/>
    </row>
    <row r="57" customFormat="false" ht="15" hidden="false" customHeight="false" outlineLevel="0" collapsed="false">
      <c r="A57" s="70" t="s">
        <v>179</v>
      </c>
      <c r="B57" s="71" t="s">
        <v>180</v>
      </c>
      <c r="C57" s="67" t="s">
        <v>86</v>
      </c>
      <c r="D57" s="73"/>
      <c r="E57" s="68"/>
    </row>
    <row r="58" customFormat="false" ht="15" hidden="false" customHeight="false" outlineLevel="0" collapsed="false">
      <c r="A58" s="70" t="s">
        <v>181</v>
      </c>
      <c r="B58" s="71" t="s">
        <v>182</v>
      </c>
      <c r="C58" s="67" t="s">
        <v>86</v>
      </c>
      <c r="D58" s="73"/>
      <c r="E58" s="68"/>
    </row>
    <row r="59" customFormat="false" ht="15" hidden="false" customHeight="false" outlineLevel="0" collapsed="false">
      <c r="A59" s="70" t="s">
        <v>183</v>
      </c>
      <c r="B59" s="71" t="s">
        <v>184</v>
      </c>
      <c r="C59" s="67" t="s">
        <v>86</v>
      </c>
      <c r="D59" s="73"/>
      <c r="E59" s="68"/>
    </row>
    <row r="60" customFormat="false" ht="15" hidden="false" customHeight="false" outlineLevel="0" collapsed="false">
      <c r="A60" s="70" t="s">
        <v>185</v>
      </c>
      <c r="B60" s="71" t="s">
        <v>186</v>
      </c>
      <c r="C60" s="67" t="s">
        <v>86</v>
      </c>
      <c r="D60" s="73"/>
      <c r="E60" s="68"/>
    </row>
    <row r="61" customFormat="false" ht="46.25" hidden="false" customHeight="false" outlineLevel="0" collapsed="false">
      <c r="A61" s="70" t="s">
        <v>187</v>
      </c>
      <c r="B61" s="71" t="s">
        <v>188</v>
      </c>
      <c r="C61" s="67" t="s">
        <v>86</v>
      </c>
      <c r="D61" s="73" t="s">
        <v>189</v>
      </c>
      <c r="E61" s="68"/>
    </row>
    <row r="62" customFormat="false" ht="23.85" hidden="false" customHeight="false" outlineLevel="0" collapsed="false">
      <c r="A62" s="70" t="s">
        <v>190</v>
      </c>
      <c r="B62" s="71" t="s">
        <v>191</v>
      </c>
      <c r="C62" s="67" t="s">
        <v>86</v>
      </c>
      <c r="D62" s="73" t="s">
        <v>192</v>
      </c>
      <c r="E62" s="68"/>
    </row>
    <row r="63" customFormat="false" ht="15" hidden="false" customHeight="false" outlineLevel="0" collapsed="false">
      <c r="A63" s="70" t="s">
        <v>193</v>
      </c>
      <c r="B63" s="71" t="s">
        <v>194</v>
      </c>
      <c r="C63" s="67" t="s">
        <v>86</v>
      </c>
      <c r="D63" s="73"/>
      <c r="E63" s="68"/>
    </row>
    <row r="64" customFormat="false" ht="15" hidden="false" customHeight="false" outlineLevel="0" collapsed="false">
      <c r="A64" s="70" t="s">
        <v>195</v>
      </c>
      <c r="B64" s="71" t="s">
        <v>196</v>
      </c>
      <c r="C64" s="67" t="s">
        <v>86</v>
      </c>
      <c r="D64" s="73"/>
      <c r="E64" s="68"/>
    </row>
    <row r="65" customFormat="false" ht="15" hidden="false" customHeight="false" outlineLevel="0" collapsed="false">
      <c r="A65" s="70" t="s">
        <v>197</v>
      </c>
      <c r="B65" s="71" t="s">
        <v>198</v>
      </c>
      <c r="C65" s="67" t="s">
        <v>86</v>
      </c>
      <c r="D65" s="73"/>
      <c r="E65" s="68"/>
    </row>
    <row r="66" customFormat="false" ht="15" hidden="false" customHeight="false" outlineLevel="0" collapsed="false">
      <c r="A66" s="70" t="s">
        <v>199</v>
      </c>
      <c r="B66" s="71" t="s">
        <v>200</v>
      </c>
      <c r="C66" s="67" t="s">
        <v>86</v>
      </c>
      <c r="D66" s="73"/>
      <c r="E66" s="68"/>
    </row>
    <row r="67" customFormat="false" ht="57.45" hidden="false" customHeight="false" outlineLevel="0" collapsed="false">
      <c r="A67" s="70" t="s">
        <v>201</v>
      </c>
      <c r="B67" s="71" t="s">
        <v>202</v>
      </c>
      <c r="C67" s="72" t="s">
        <v>93</v>
      </c>
      <c r="D67" s="73" t="s">
        <v>203</v>
      </c>
      <c r="E67" s="68"/>
    </row>
    <row r="68" customFormat="false" ht="15" hidden="false" customHeight="false" outlineLevel="0" collapsed="false">
      <c r="A68" s="70" t="s">
        <v>204</v>
      </c>
      <c r="B68" s="71" t="s">
        <v>205</v>
      </c>
      <c r="C68" s="67" t="s">
        <v>86</v>
      </c>
      <c r="D68" s="73"/>
      <c r="E68" s="68"/>
    </row>
    <row r="69" customFormat="false" ht="15" hidden="false" customHeight="false" outlineLevel="0" collapsed="false">
      <c r="A69" s="70" t="s">
        <v>206</v>
      </c>
      <c r="B69" s="71" t="s">
        <v>207</v>
      </c>
      <c r="C69" s="67" t="s">
        <v>86</v>
      </c>
      <c r="D69" s="73"/>
      <c r="E69" s="68"/>
    </row>
    <row r="70" customFormat="false" ht="15" hidden="false" customHeight="false" outlineLevel="0" collapsed="false">
      <c r="A70" s="70" t="s">
        <v>208</v>
      </c>
      <c r="B70" s="71" t="s">
        <v>209</v>
      </c>
      <c r="C70" s="72" t="s">
        <v>93</v>
      </c>
      <c r="D70" s="73" t="s">
        <v>210</v>
      </c>
      <c r="E70" s="68"/>
    </row>
    <row r="71" customFormat="false" ht="15" hidden="false" customHeight="false" outlineLevel="0" collapsed="false">
      <c r="A71" s="70" t="s">
        <v>211</v>
      </c>
      <c r="B71" s="71" t="s">
        <v>212</v>
      </c>
      <c r="C71" s="76" t="s">
        <v>119</v>
      </c>
      <c r="D71" s="73"/>
      <c r="E71" s="68"/>
    </row>
    <row r="72" customFormat="false" ht="20.85" hidden="false" customHeight="false" outlineLevel="0" collapsed="false">
      <c r="A72" s="70" t="s">
        <v>213</v>
      </c>
      <c r="B72" s="71" t="s">
        <v>214</v>
      </c>
      <c r="C72" s="76" t="s">
        <v>119</v>
      </c>
      <c r="D72" s="73"/>
      <c r="E72" s="68"/>
    </row>
    <row r="73" customFormat="false" ht="15" hidden="false" customHeight="false" outlineLevel="0" collapsed="false">
      <c r="A73" s="70" t="s">
        <v>215</v>
      </c>
      <c r="B73" s="71" t="s">
        <v>216</v>
      </c>
      <c r="C73" s="67" t="s">
        <v>86</v>
      </c>
      <c r="D73" s="73"/>
      <c r="E73" s="68"/>
    </row>
    <row r="74" customFormat="false" ht="15" hidden="false" customHeight="false" outlineLevel="0" collapsed="false">
      <c r="A74" s="62" t="s">
        <v>217</v>
      </c>
      <c r="B74" s="69" t="s">
        <v>218</v>
      </c>
      <c r="C74" s="77"/>
      <c r="D74" s="78"/>
      <c r="E74" s="78"/>
    </row>
    <row r="75" customFormat="false" ht="20.85" hidden="false" customHeight="false" outlineLevel="0" collapsed="false">
      <c r="A75" s="70" t="s">
        <v>219</v>
      </c>
      <c r="B75" s="71" t="s">
        <v>220</v>
      </c>
      <c r="C75" s="67" t="s">
        <v>86</v>
      </c>
      <c r="D75" s="73"/>
      <c r="E75" s="68"/>
    </row>
    <row r="76" customFormat="false" ht="15" hidden="false" customHeight="false" outlineLevel="0" collapsed="false">
      <c r="A76" s="70" t="s">
        <v>221</v>
      </c>
      <c r="B76" s="71" t="s">
        <v>222</v>
      </c>
      <c r="C76" s="67" t="s">
        <v>86</v>
      </c>
      <c r="D76" s="73"/>
      <c r="E76" s="68"/>
    </row>
    <row r="77" customFormat="false" ht="23.85" hidden="false" customHeight="false" outlineLevel="0" collapsed="false">
      <c r="A77" s="70" t="s">
        <v>223</v>
      </c>
      <c r="B77" s="71" t="s">
        <v>224</v>
      </c>
      <c r="C77" s="67" t="s">
        <v>86</v>
      </c>
      <c r="D77" s="73" t="s">
        <v>225</v>
      </c>
      <c r="E77" s="68"/>
    </row>
    <row r="78" customFormat="false" ht="15" hidden="false" customHeight="false" outlineLevel="0" collapsed="false">
      <c r="A78" s="70" t="s">
        <v>226</v>
      </c>
      <c r="B78" s="71" t="s">
        <v>227</v>
      </c>
      <c r="C78" s="67" t="s">
        <v>86</v>
      </c>
      <c r="D78" s="73" t="s">
        <v>228</v>
      </c>
      <c r="E78" s="68"/>
    </row>
    <row r="79" customFormat="false" ht="15" hidden="false" customHeight="false" outlineLevel="0" collapsed="false">
      <c r="A79" s="70" t="s">
        <v>229</v>
      </c>
      <c r="B79" s="71" t="s">
        <v>230</v>
      </c>
      <c r="C79" s="67" t="s">
        <v>86</v>
      </c>
      <c r="D79" s="73"/>
      <c r="E79" s="68"/>
    </row>
    <row r="80" customFormat="false" ht="15" hidden="false" customHeight="false" outlineLevel="0" collapsed="false">
      <c r="A80" s="70" t="s">
        <v>231</v>
      </c>
      <c r="B80" s="71" t="s">
        <v>232</v>
      </c>
      <c r="C80" s="67" t="s">
        <v>86</v>
      </c>
      <c r="D80" s="73"/>
      <c r="E80" s="68"/>
    </row>
    <row r="81" customFormat="false" ht="79.85" hidden="false" customHeight="false" outlineLevel="0" collapsed="false">
      <c r="A81" s="70" t="s">
        <v>233</v>
      </c>
      <c r="B81" s="79" t="s">
        <v>234</v>
      </c>
      <c r="C81" s="80" t="s">
        <v>86</v>
      </c>
      <c r="D81" s="73" t="s">
        <v>235</v>
      </c>
      <c r="E81" s="68"/>
    </row>
    <row r="82" customFormat="false" ht="113.4" hidden="false" customHeight="false" outlineLevel="0" collapsed="false">
      <c r="A82" s="70" t="s">
        <v>236</v>
      </c>
      <c r="B82" s="79" t="s">
        <v>237</v>
      </c>
      <c r="C82" s="80" t="s">
        <v>86</v>
      </c>
      <c r="D82" s="73" t="s">
        <v>238</v>
      </c>
      <c r="E82" s="68"/>
    </row>
    <row r="83" customFormat="false" ht="15" hidden="false" customHeight="false" outlineLevel="0" collapsed="false">
      <c r="A83" s="70" t="s">
        <v>239</v>
      </c>
      <c r="B83" s="81" t="s">
        <v>240</v>
      </c>
      <c r="C83" s="67" t="s">
        <v>86</v>
      </c>
      <c r="D83" s="73"/>
      <c r="E83" s="68"/>
    </row>
    <row r="84" customFormat="false" ht="20.85" hidden="false" customHeight="false" outlineLevel="0" collapsed="false">
      <c r="A84" s="70" t="s">
        <v>241</v>
      </c>
      <c r="B84" s="81" t="s">
        <v>242</v>
      </c>
      <c r="C84" s="76" t="s">
        <v>119</v>
      </c>
      <c r="D84" s="73" t="s">
        <v>243</v>
      </c>
      <c r="E84" s="68"/>
    </row>
    <row r="85" customFormat="false" ht="20.85" hidden="false" customHeight="false" outlineLevel="0" collapsed="false">
      <c r="A85" s="70" t="s">
        <v>244</v>
      </c>
      <c r="B85" s="71" t="s">
        <v>245</v>
      </c>
      <c r="C85" s="67" t="s">
        <v>86</v>
      </c>
      <c r="D85" s="73"/>
      <c r="E85" s="68"/>
    </row>
    <row r="86" customFormat="false" ht="15" hidden="false" customHeight="false" outlineLevel="0" collapsed="false">
      <c r="A86" s="62" t="n">
        <v>5</v>
      </c>
      <c r="B86" s="69" t="s">
        <v>246</v>
      </c>
      <c r="C86" s="77"/>
      <c r="D86" s="78"/>
      <c r="E86" s="78"/>
    </row>
    <row r="87" customFormat="false" ht="15" hidden="false" customHeight="false" outlineLevel="0" collapsed="false">
      <c r="A87" s="70" t="s">
        <v>247</v>
      </c>
      <c r="B87" s="66" t="s">
        <v>248</v>
      </c>
      <c r="C87" s="76" t="s">
        <v>119</v>
      </c>
      <c r="D87" s="73"/>
      <c r="E87" s="74"/>
    </row>
    <row r="88" customFormat="false" ht="20.85" hidden="false" customHeight="false" outlineLevel="0" collapsed="false">
      <c r="A88" s="70" t="s">
        <v>249</v>
      </c>
      <c r="B88" s="66" t="s">
        <v>250</v>
      </c>
      <c r="C88" s="67" t="s">
        <v>86</v>
      </c>
      <c r="D88" s="73"/>
      <c r="E88" s="74"/>
    </row>
    <row r="89" customFormat="false" ht="15" hidden="false" customHeight="false" outlineLevel="0" collapsed="false">
      <c r="A89" s="70" t="s">
        <v>251</v>
      </c>
      <c r="B89" s="66" t="s">
        <v>252</v>
      </c>
      <c r="C89" s="72" t="s">
        <v>93</v>
      </c>
      <c r="D89" s="73" t="s">
        <v>253</v>
      </c>
      <c r="E89" s="74"/>
    </row>
    <row r="90" customFormat="false" ht="15" hidden="false" customHeight="false" outlineLevel="0" collapsed="false">
      <c r="A90" s="70" t="s">
        <v>254</v>
      </c>
      <c r="B90" s="66" t="s">
        <v>255</v>
      </c>
      <c r="C90" s="67" t="s">
        <v>86</v>
      </c>
      <c r="D90" s="73"/>
      <c r="E90" s="74"/>
    </row>
    <row r="91" customFormat="false" ht="57.45" hidden="false" customHeight="false" outlineLevel="0" collapsed="false">
      <c r="A91" s="70" t="s">
        <v>256</v>
      </c>
      <c r="B91" s="66" t="s">
        <v>257</v>
      </c>
      <c r="C91" s="67" t="s">
        <v>86</v>
      </c>
      <c r="D91" s="73" t="s">
        <v>258</v>
      </c>
      <c r="E91" s="74"/>
    </row>
    <row r="92" customFormat="false" ht="20.85" hidden="false" customHeight="false" outlineLevel="0" collapsed="false">
      <c r="A92" s="70" t="s">
        <v>259</v>
      </c>
      <c r="B92" s="66" t="s">
        <v>260</v>
      </c>
      <c r="C92" s="67" t="s">
        <v>86</v>
      </c>
      <c r="D92" s="73" t="s">
        <v>261</v>
      </c>
      <c r="E92" s="74"/>
    </row>
    <row r="93" customFormat="false" ht="23.85" hidden="false" customHeight="false" outlineLevel="0" collapsed="false">
      <c r="A93" s="70" t="s">
        <v>262</v>
      </c>
      <c r="B93" s="71" t="s">
        <v>263</v>
      </c>
      <c r="C93" s="67" t="s">
        <v>86</v>
      </c>
      <c r="D93" s="73" t="s">
        <v>264</v>
      </c>
      <c r="E93" s="74"/>
    </row>
    <row r="94" customFormat="false" ht="35.05" hidden="false" customHeight="false" outlineLevel="0" collapsed="false">
      <c r="A94" s="70" t="s">
        <v>265</v>
      </c>
      <c r="B94" s="71" t="s">
        <v>266</v>
      </c>
      <c r="C94" s="67" t="s">
        <v>86</v>
      </c>
      <c r="D94" s="73" t="s">
        <v>267</v>
      </c>
      <c r="E94" s="74"/>
    </row>
    <row r="95" customFormat="false" ht="15" hidden="false" customHeight="false" outlineLevel="0" collapsed="false">
      <c r="A95" s="70" t="s">
        <v>268</v>
      </c>
      <c r="B95" s="71" t="s">
        <v>269</v>
      </c>
      <c r="C95" s="67" t="s">
        <v>86</v>
      </c>
      <c r="D95" s="73"/>
      <c r="E95" s="74"/>
    </row>
    <row r="96" customFormat="false" ht="20.85" hidden="false" customHeight="false" outlineLevel="0" collapsed="false">
      <c r="A96" s="70" t="s">
        <v>270</v>
      </c>
      <c r="B96" s="71" t="s">
        <v>271</v>
      </c>
      <c r="C96" s="67" t="s">
        <v>86</v>
      </c>
      <c r="D96" s="73"/>
      <c r="E96" s="74"/>
    </row>
    <row r="97" customFormat="false" ht="57.45" hidden="false" customHeight="false" outlineLevel="0" collapsed="false">
      <c r="A97" s="70" t="s">
        <v>272</v>
      </c>
      <c r="B97" s="71" t="s">
        <v>273</v>
      </c>
      <c r="C97" s="72" t="s">
        <v>93</v>
      </c>
      <c r="D97" s="73" t="s">
        <v>274</v>
      </c>
      <c r="E97" s="74"/>
    </row>
    <row r="98" customFormat="false" ht="23.85" hidden="false" customHeight="false" outlineLevel="0" collapsed="false">
      <c r="A98" s="70" t="s">
        <v>275</v>
      </c>
      <c r="B98" s="71" t="s">
        <v>276</v>
      </c>
      <c r="C98" s="76" t="s">
        <v>119</v>
      </c>
      <c r="D98" s="73" t="s">
        <v>277</v>
      </c>
      <c r="E98" s="74"/>
    </row>
    <row r="99" customFormat="false" ht="23.85" hidden="false" customHeight="false" outlineLevel="0" collapsed="false">
      <c r="A99" s="70" t="s">
        <v>278</v>
      </c>
      <c r="B99" s="81" t="s">
        <v>279</v>
      </c>
      <c r="C99" s="76" t="s">
        <v>119</v>
      </c>
      <c r="D99" s="73" t="s">
        <v>277</v>
      </c>
      <c r="E99" s="74"/>
    </row>
    <row r="100" customFormat="false" ht="46.25" hidden="false" customHeight="false" outlineLevel="0" collapsed="false">
      <c r="A100" s="70" t="s">
        <v>280</v>
      </c>
      <c r="B100" s="71" t="s">
        <v>281</v>
      </c>
      <c r="C100" s="72" t="s">
        <v>93</v>
      </c>
      <c r="D100" s="73" t="s">
        <v>282</v>
      </c>
      <c r="E100" s="74"/>
    </row>
    <row r="101" customFormat="false" ht="23.85" hidden="false" customHeight="false" outlineLevel="0" collapsed="false">
      <c r="A101" s="70" t="s">
        <v>283</v>
      </c>
      <c r="B101" s="71" t="s">
        <v>284</v>
      </c>
      <c r="C101" s="72" t="s">
        <v>93</v>
      </c>
      <c r="D101" s="73" t="s">
        <v>285</v>
      </c>
      <c r="E101" s="74"/>
    </row>
    <row r="102" customFormat="false" ht="23.85" hidden="false" customHeight="false" outlineLevel="0" collapsed="false">
      <c r="A102" s="70" t="s">
        <v>286</v>
      </c>
      <c r="B102" s="71" t="s">
        <v>287</v>
      </c>
      <c r="C102" s="67" t="s">
        <v>86</v>
      </c>
      <c r="D102" s="73" t="s">
        <v>288</v>
      </c>
      <c r="E102" s="74"/>
    </row>
    <row r="103" customFormat="false" ht="15" hidden="false" customHeight="false" outlineLevel="0" collapsed="false">
      <c r="A103" s="70" t="s">
        <v>289</v>
      </c>
      <c r="B103" s="71" t="s">
        <v>290</v>
      </c>
      <c r="C103" s="67" t="s">
        <v>86</v>
      </c>
      <c r="D103" s="73" t="s">
        <v>291</v>
      </c>
      <c r="E103" s="74"/>
    </row>
    <row r="104" customFormat="false" ht="30.55" hidden="false" customHeight="false" outlineLevel="0" collapsed="false">
      <c r="A104" s="70" t="s">
        <v>292</v>
      </c>
      <c r="B104" s="71" t="s">
        <v>293</v>
      </c>
      <c r="C104" s="76" t="s">
        <v>119</v>
      </c>
      <c r="D104" s="73" t="s">
        <v>294</v>
      </c>
      <c r="E104" s="74"/>
    </row>
    <row r="105" customFormat="false" ht="15" hidden="false" customHeight="false" outlineLevel="0" collapsed="false">
      <c r="A105" s="62" t="n">
        <v>6</v>
      </c>
      <c r="B105" s="69" t="s">
        <v>295</v>
      </c>
      <c r="C105" s="77"/>
      <c r="D105" s="78"/>
      <c r="E105" s="78"/>
    </row>
    <row r="106" customFormat="false" ht="46.25" hidden="false" customHeight="false" outlineLevel="0" collapsed="false">
      <c r="A106" s="70" t="s">
        <v>296</v>
      </c>
      <c r="B106" s="71" t="s">
        <v>297</v>
      </c>
      <c r="C106" s="76" t="s">
        <v>119</v>
      </c>
      <c r="D106" s="73" t="s">
        <v>298</v>
      </c>
      <c r="E106" s="68"/>
    </row>
    <row r="107" customFormat="false" ht="23.85" hidden="false" customHeight="false" outlineLevel="0" collapsed="false">
      <c r="A107" s="70" t="s">
        <v>299</v>
      </c>
      <c r="B107" s="71" t="s">
        <v>300</v>
      </c>
      <c r="C107" s="76" t="s">
        <v>119</v>
      </c>
      <c r="D107" s="73" t="s">
        <v>301</v>
      </c>
      <c r="E107" s="68"/>
    </row>
    <row r="108" customFormat="false" ht="15" hidden="false" customHeight="false" outlineLevel="0" collapsed="false">
      <c r="A108" s="70" t="s">
        <v>302</v>
      </c>
      <c r="B108" s="71" t="s">
        <v>303</v>
      </c>
      <c r="C108" s="67" t="s">
        <v>86</v>
      </c>
      <c r="D108" s="73"/>
      <c r="E108" s="68"/>
    </row>
    <row r="109" customFormat="false" ht="79.85" hidden="false" customHeight="false" outlineLevel="0" collapsed="false">
      <c r="A109" s="70" t="s">
        <v>304</v>
      </c>
      <c r="B109" s="71" t="s">
        <v>305</v>
      </c>
      <c r="C109" s="72" t="s">
        <v>93</v>
      </c>
      <c r="D109" s="73" t="s">
        <v>306</v>
      </c>
      <c r="E109" s="68"/>
    </row>
    <row r="110" customFormat="false" ht="20.85" hidden="false" customHeight="false" outlineLevel="0" collapsed="false">
      <c r="A110" s="70" t="s">
        <v>307</v>
      </c>
      <c r="B110" s="71" t="s">
        <v>308</v>
      </c>
      <c r="C110" s="67" t="s">
        <v>86</v>
      </c>
      <c r="D110" s="73"/>
      <c r="E110" s="68"/>
    </row>
    <row r="111" customFormat="false" ht="15" hidden="false" customHeight="false" outlineLevel="0" collapsed="false">
      <c r="A111" s="70" t="s">
        <v>309</v>
      </c>
      <c r="B111" s="71" t="s">
        <v>310</v>
      </c>
      <c r="C111" s="67" t="s">
        <v>86</v>
      </c>
      <c r="D111" s="73"/>
      <c r="E111" s="68"/>
    </row>
    <row r="112" customFormat="false" ht="15" hidden="false" customHeight="false" outlineLevel="0" collapsed="false">
      <c r="A112" s="70" t="s">
        <v>311</v>
      </c>
      <c r="B112" s="71" t="s">
        <v>312</v>
      </c>
      <c r="C112" s="67" t="s">
        <v>86</v>
      </c>
      <c r="D112" s="73"/>
      <c r="E112" s="68"/>
    </row>
    <row r="113" customFormat="false" ht="23.85" hidden="false" customHeight="false" outlineLevel="0" collapsed="false">
      <c r="A113" s="70" t="s">
        <v>313</v>
      </c>
      <c r="B113" s="71" t="s">
        <v>314</v>
      </c>
      <c r="C113" s="67" t="s">
        <v>86</v>
      </c>
      <c r="D113" s="73" t="s">
        <v>315</v>
      </c>
      <c r="E113" s="68"/>
    </row>
    <row r="114" customFormat="false" ht="15" hidden="false" customHeight="false" outlineLevel="0" collapsed="false">
      <c r="A114" s="70" t="s">
        <v>316</v>
      </c>
      <c r="B114" s="71" t="s">
        <v>317</v>
      </c>
      <c r="C114" s="67" t="s">
        <v>86</v>
      </c>
      <c r="D114" s="73"/>
      <c r="E114" s="68"/>
    </row>
    <row r="115" customFormat="false" ht="15" hidden="false" customHeight="false" outlineLevel="0" collapsed="false">
      <c r="A115" s="70" t="s">
        <v>318</v>
      </c>
      <c r="B115" s="71" t="s">
        <v>319</v>
      </c>
      <c r="C115" s="67" t="s">
        <v>86</v>
      </c>
      <c r="D115" s="73"/>
      <c r="E115" s="68"/>
    </row>
    <row r="116" customFormat="false" ht="15" hidden="false" customHeight="false" outlineLevel="0" collapsed="false">
      <c r="A116" s="70" t="s">
        <v>320</v>
      </c>
      <c r="B116" s="71" t="s">
        <v>321</v>
      </c>
      <c r="C116" s="67" t="s">
        <v>86</v>
      </c>
      <c r="D116" s="73"/>
      <c r="E116" s="68"/>
    </row>
    <row r="117" customFormat="false" ht="15" hidden="false" customHeight="false" outlineLevel="0" collapsed="false">
      <c r="A117" s="70" t="s">
        <v>322</v>
      </c>
      <c r="B117" s="71" t="s">
        <v>323</v>
      </c>
      <c r="C117" s="72" t="s">
        <v>93</v>
      </c>
      <c r="D117" s="73" t="s">
        <v>324</v>
      </c>
      <c r="E117" s="68"/>
    </row>
    <row r="118" customFormat="false" ht="15" hidden="false" customHeight="false" outlineLevel="0" collapsed="false">
      <c r="A118" s="70" t="s">
        <v>325</v>
      </c>
      <c r="B118" s="71" t="s">
        <v>326</v>
      </c>
      <c r="C118" s="67" t="s">
        <v>86</v>
      </c>
      <c r="D118" s="73"/>
      <c r="E118" s="68"/>
    </row>
    <row r="119" customFormat="false" ht="20.85" hidden="false" customHeight="false" outlineLevel="0" collapsed="false">
      <c r="A119" s="70" t="s">
        <v>327</v>
      </c>
      <c r="B119" s="71" t="s">
        <v>328</v>
      </c>
      <c r="C119" s="67" t="s">
        <v>86</v>
      </c>
      <c r="D119" s="73"/>
      <c r="E119" s="68"/>
    </row>
    <row r="120" customFormat="false" ht="15" hidden="false" customHeight="false" outlineLevel="0" collapsed="false">
      <c r="A120" s="70" t="s">
        <v>329</v>
      </c>
      <c r="B120" s="71" t="s">
        <v>330</v>
      </c>
      <c r="C120" s="67" t="s">
        <v>86</v>
      </c>
      <c r="D120" s="73"/>
      <c r="E120" s="68"/>
    </row>
    <row r="121" customFormat="false" ht="23.85" hidden="false" customHeight="false" outlineLevel="0" collapsed="false">
      <c r="A121" s="70" t="s">
        <v>331</v>
      </c>
      <c r="B121" s="71" t="s">
        <v>332</v>
      </c>
      <c r="C121" s="67" t="s">
        <v>86</v>
      </c>
      <c r="D121" s="73" t="s">
        <v>315</v>
      </c>
      <c r="E121" s="68"/>
    </row>
    <row r="122" customFormat="false" ht="23.85" hidden="false" customHeight="false" outlineLevel="0" collapsed="false">
      <c r="A122" s="70" t="s">
        <v>333</v>
      </c>
      <c r="B122" s="71" t="s">
        <v>334</v>
      </c>
      <c r="C122" s="67" t="s">
        <v>86</v>
      </c>
      <c r="D122" s="73" t="s">
        <v>315</v>
      </c>
      <c r="E122" s="68"/>
    </row>
    <row r="123" customFormat="false" ht="15" hidden="false" customHeight="false" outlineLevel="0" collapsed="false">
      <c r="A123" s="70" t="s">
        <v>335</v>
      </c>
      <c r="B123" s="71" t="s">
        <v>336</v>
      </c>
      <c r="C123" s="67" t="s">
        <v>86</v>
      </c>
      <c r="D123" s="73"/>
      <c r="E123" s="68"/>
    </row>
    <row r="124" customFormat="false" ht="46.25" hidden="false" customHeight="false" outlineLevel="0" collapsed="false">
      <c r="A124" s="70" t="s">
        <v>337</v>
      </c>
      <c r="B124" s="71" t="s">
        <v>338</v>
      </c>
      <c r="C124" s="76" t="s">
        <v>119</v>
      </c>
      <c r="D124" s="73" t="s">
        <v>339</v>
      </c>
      <c r="E124" s="68"/>
    </row>
    <row r="125" customFormat="false" ht="46.25" hidden="false" customHeight="false" outlineLevel="0" collapsed="false">
      <c r="A125" s="70" t="s">
        <v>340</v>
      </c>
      <c r="B125" s="71" t="s">
        <v>341</v>
      </c>
      <c r="C125" s="76" t="s">
        <v>119</v>
      </c>
      <c r="D125" s="73" t="s">
        <v>339</v>
      </c>
      <c r="E125" s="68"/>
    </row>
    <row r="126" customFormat="false" ht="23.85" hidden="false" customHeight="false" outlineLevel="0" collapsed="false">
      <c r="A126" s="70" t="s">
        <v>342</v>
      </c>
      <c r="B126" s="71" t="s">
        <v>343</v>
      </c>
      <c r="C126" s="76" t="s">
        <v>119</v>
      </c>
      <c r="D126" s="73" t="s">
        <v>344</v>
      </c>
      <c r="E126" s="68"/>
    </row>
    <row r="127" customFormat="false" ht="15" hidden="false" customHeight="false" outlineLevel="0" collapsed="false">
      <c r="A127" s="70" t="s">
        <v>345</v>
      </c>
      <c r="B127" s="71" t="s">
        <v>346</v>
      </c>
      <c r="C127" s="67" t="s">
        <v>86</v>
      </c>
      <c r="D127" s="73" t="s">
        <v>347</v>
      </c>
      <c r="E127" s="68"/>
    </row>
    <row r="128" customFormat="false" ht="15" hidden="false" customHeight="false" outlineLevel="0" collapsed="false">
      <c r="A128" s="70" t="s">
        <v>348</v>
      </c>
      <c r="B128" s="82" t="s">
        <v>349</v>
      </c>
      <c r="C128" s="76" t="s">
        <v>119</v>
      </c>
      <c r="D128" s="73"/>
      <c r="E128" s="68"/>
    </row>
    <row r="129" customFormat="false" ht="15" hidden="false" customHeight="false" outlineLevel="0" collapsed="false">
      <c r="A129" s="70" t="s">
        <v>350</v>
      </c>
      <c r="B129" s="82" t="s">
        <v>351</v>
      </c>
      <c r="C129" s="76" t="s">
        <v>119</v>
      </c>
      <c r="D129" s="73"/>
      <c r="E129" s="68"/>
    </row>
    <row r="130" customFormat="false" ht="15" hidden="false" customHeight="false" outlineLevel="0" collapsed="false">
      <c r="A130" s="70" t="s">
        <v>352</v>
      </c>
      <c r="B130" s="71" t="s">
        <v>353</v>
      </c>
      <c r="C130" s="72" t="s">
        <v>93</v>
      </c>
      <c r="D130" s="73" t="s">
        <v>354</v>
      </c>
      <c r="E130" s="68"/>
    </row>
    <row r="131" customFormat="false" ht="15" hidden="false" customHeight="false" outlineLevel="0" collapsed="false">
      <c r="A131" s="70" t="s">
        <v>355</v>
      </c>
      <c r="B131" s="71" t="s">
        <v>356</v>
      </c>
      <c r="C131" s="67" t="s">
        <v>86</v>
      </c>
      <c r="D131" s="73"/>
      <c r="E131" s="68"/>
    </row>
    <row r="132" customFormat="false" ht="20.85" hidden="false" customHeight="false" outlineLevel="0" collapsed="false">
      <c r="A132" s="70" t="s">
        <v>357</v>
      </c>
      <c r="B132" s="71" t="s">
        <v>358</v>
      </c>
      <c r="C132" s="67" t="s">
        <v>86</v>
      </c>
      <c r="D132" s="73"/>
      <c r="E132" s="68"/>
    </row>
    <row r="133" customFormat="false" ht="15" hidden="false" customHeight="false" outlineLevel="0" collapsed="false">
      <c r="A133" s="70" t="s">
        <v>359</v>
      </c>
      <c r="B133" s="71" t="s">
        <v>360</v>
      </c>
      <c r="C133" s="67" t="s">
        <v>86</v>
      </c>
      <c r="D133" s="73"/>
      <c r="E133" s="68"/>
    </row>
    <row r="134" customFormat="false" ht="23.85" hidden="false" customHeight="false" outlineLevel="0" collapsed="false">
      <c r="A134" s="70" t="s">
        <v>361</v>
      </c>
      <c r="B134" s="71" t="s">
        <v>362</v>
      </c>
      <c r="C134" s="67" t="s">
        <v>86</v>
      </c>
      <c r="D134" s="73" t="s">
        <v>363</v>
      </c>
      <c r="E134" s="68"/>
    </row>
    <row r="135" customFormat="false" ht="15" hidden="false" customHeight="false" outlineLevel="0" collapsed="false">
      <c r="A135" s="62" t="s">
        <v>364</v>
      </c>
      <c r="B135" s="69" t="s">
        <v>365</v>
      </c>
      <c r="C135" s="77"/>
      <c r="D135" s="78"/>
      <c r="E135" s="78"/>
    </row>
    <row r="136" customFormat="false" ht="15" hidden="false" customHeight="false" outlineLevel="0" collapsed="false">
      <c r="A136" s="70" t="s">
        <v>366</v>
      </c>
      <c r="B136" s="71" t="s">
        <v>367</v>
      </c>
      <c r="C136" s="67" t="s">
        <v>86</v>
      </c>
      <c r="D136" s="73"/>
      <c r="E136" s="74"/>
    </row>
    <row r="137" customFormat="false" ht="15" hidden="false" customHeight="false" outlineLevel="0" collapsed="false">
      <c r="A137" s="70" t="s">
        <v>368</v>
      </c>
      <c r="B137" s="71" t="s">
        <v>369</v>
      </c>
      <c r="C137" s="67" t="s">
        <v>86</v>
      </c>
      <c r="D137" s="73"/>
      <c r="E137" s="74"/>
    </row>
    <row r="138" customFormat="false" ht="20.85" hidden="false" customHeight="false" outlineLevel="0" collapsed="false">
      <c r="A138" s="70" t="s">
        <v>370</v>
      </c>
      <c r="B138" s="71" t="s">
        <v>371</v>
      </c>
      <c r="C138" s="76" t="s">
        <v>119</v>
      </c>
      <c r="D138" s="73" t="s">
        <v>372</v>
      </c>
      <c r="E138" s="74"/>
    </row>
    <row r="139" customFormat="false" ht="15" hidden="false" customHeight="false" outlineLevel="0" collapsed="false">
      <c r="A139" s="70" t="s">
        <v>373</v>
      </c>
      <c r="B139" s="71" t="s">
        <v>374</v>
      </c>
      <c r="C139" s="76" t="s">
        <v>119</v>
      </c>
      <c r="D139" s="73"/>
      <c r="E139" s="74"/>
    </row>
    <row r="140" customFormat="false" ht="20.85" hidden="false" customHeight="false" outlineLevel="0" collapsed="false">
      <c r="A140" s="70" t="s">
        <v>375</v>
      </c>
      <c r="B140" s="71" t="s">
        <v>376</v>
      </c>
      <c r="C140" s="67" t="s">
        <v>86</v>
      </c>
      <c r="D140" s="73"/>
      <c r="E140" s="74"/>
    </row>
    <row r="141" customFormat="false" ht="20.85" hidden="false" customHeight="false" outlineLevel="0" collapsed="false">
      <c r="A141" s="70" t="s">
        <v>377</v>
      </c>
      <c r="B141" s="71" t="s">
        <v>378</v>
      </c>
      <c r="C141" s="67" t="s">
        <v>86</v>
      </c>
      <c r="D141" s="73" t="s">
        <v>379</v>
      </c>
      <c r="E141" s="74"/>
    </row>
    <row r="142" customFormat="false" ht="15" hidden="false" customHeight="false" outlineLevel="0" collapsed="false">
      <c r="A142" s="70" t="s">
        <v>380</v>
      </c>
      <c r="B142" s="71" t="s">
        <v>381</v>
      </c>
      <c r="C142" s="67" t="s">
        <v>86</v>
      </c>
      <c r="D142" s="73"/>
      <c r="E142" s="74"/>
    </row>
    <row r="143" customFormat="false" ht="15" hidden="false" customHeight="false" outlineLevel="0" collapsed="false">
      <c r="A143" s="70" t="s">
        <v>382</v>
      </c>
      <c r="B143" s="71" t="s">
        <v>383</v>
      </c>
      <c r="C143" s="67" t="s">
        <v>86</v>
      </c>
      <c r="D143" s="73"/>
      <c r="E143" s="74"/>
    </row>
    <row r="144" customFormat="false" ht="20.85" hidden="false" customHeight="false" outlineLevel="0" collapsed="false">
      <c r="A144" s="70" t="s">
        <v>384</v>
      </c>
      <c r="B144" s="71" t="s">
        <v>385</v>
      </c>
      <c r="C144" s="67" t="s">
        <v>86</v>
      </c>
      <c r="D144" s="73"/>
      <c r="E144" s="74"/>
    </row>
    <row r="145" customFormat="false" ht="20.85" hidden="false" customHeight="false" outlineLevel="0" collapsed="false">
      <c r="A145" s="70" t="s">
        <v>386</v>
      </c>
      <c r="B145" s="71" t="s">
        <v>387</v>
      </c>
      <c r="C145" s="67" t="s">
        <v>86</v>
      </c>
      <c r="D145" s="73"/>
      <c r="E145" s="74"/>
    </row>
    <row r="146" customFormat="false" ht="15" hidden="false" customHeight="false" outlineLevel="0" collapsed="false">
      <c r="A146" s="70" t="s">
        <v>388</v>
      </c>
      <c r="B146" s="71" t="s">
        <v>389</v>
      </c>
      <c r="C146" s="67" t="s">
        <v>86</v>
      </c>
      <c r="D146" s="73"/>
      <c r="E146" s="74"/>
    </row>
    <row r="147" customFormat="false" ht="20.85" hidden="false" customHeight="false" outlineLevel="0" collapsed="false">
      <c r="A147" s="70" t="s">
        <v>390</v>
      </c>
      <c r="B147" s="71" t="s">
        <v>391</v>
      </c>
      <c r="C147" s="67" t="s">
        <v>86</v>
      </c>
      <c r="D147" s="73"/>
      <c r="E147" s="74"/>
    </row>
    <row r="148" customFormat="false" ht="23.85" hidden="false" customHeight="false" outlineLevel="0" collapsed="false">
      <c r="A148" s="70" t="s">
        <v>392</v>
      </c>
      <c r="B148" s="71" t="s">
        <v>393</v>
      </c>
      <c r="C148" s="72" t="s">
        <v>93</v>
      </c>
      <c r="D148" s="73" t="s">
        <v>394</v>
      </c>
      <c r="E148" s="75" t="s">
        <v>395</v>
      </c>
    </row>
    <row r="149" customFormat="false" ht="15" hidden="false" customHeight="false" outlineLevel="0" collapsed="false">
      <c r="A149" s="62" t="s">
        <v>396</v>
      </c>
      <c r="B149" s="69" t="s">
        <v>397</v>
      </c>
      <c r="C149" s="77"/>
      <c r="D149" s="78"/>
      <c r="E149" s="78"/>
    </row>
    <row r="150" customFormat="false" ht="57.45" hidden="false" customHeight="false" outlineLevel="0" collapsed="false">
      <c r="A150" s="70" t="s">
        <v>398</v>
      </c>
      <c r="B150" s="71" t="s">
        <v>399</v>
      </c>
      <c r="C150" s="67" t="s">
        <v>86</v>
      </c>
      <c r="D150" s="73" t="s">
        <v>400</v>
      </c>
      <c r="E150" s="68"/>
    </row>
    <row r="151" customFormat="false" ht="15" hidden="false" customHeight="false" outlineLevel="0" collapsed="false">
      <c r="A151" s="70" t="s">
        <v>401</v>
      </c>
      <c r="B151" s="71" t="s">
        <v>402</v>
      </c>
      <c r="C151" s="67" t="s">
        <v>86</v>
      </c>
      <c r="D151" s="73" t="s">
        <v>403</v>
      </c>
      <c r="E151" s="68"/>
    </row>
    <row r="152" customFormat="false" ht="15" hidden="false" customHeight="false" outlineLevel="0" collapsed="false">
      <c r="A152" s="70" t="s">
        <v>404</v>
      </c>
      <c r="B152" s="71" t="s">
        <v>405</v>
      </c>
      <c r="C152" s="67" t="s">
        <v>86</v>
      </c>
      <c r="D152" s="73"/>
      <c r="E152" s="68"/>
    </row>
    <row r="153" customFormat="false" ht="20.85" hidden="false" customHeight="false" outlineLevel="0" collapsed="false">
      <c r="A153" s="70" t="s">
        <v>406</v>
      </c>
      <c r="B153" s="71" t="s">
        <v>407</v>
      </c>
      <c r="C153" s="67" t="s">
        <v>86</v>
      </c>
      <c r="D153" s="73" t="s">
        <v>408</v>
      </c>
      <c r="E153" s="68"/>
    </row>
    <row r="154" customFormat="false" ht="15" hidden="false" customHeight="false" outlineLevel="0" collapsed="false">
      <c r="A154" s="70" t="s">
        <v>409</v>
      </c>
      <c r="B154" s="71" t="s">
        <v>410</v>
      </c>
      <c r="C154" s="67" t="s">
        <v>86</v>
      </c>
      <c r="D154" s="73"/>
      <c r="E154" s="68"/>
    </row>
    <row r="155" customFormat="false" ht="15" hidden="false" customHeight="false" outlineLevel="0" collapsed="false">
      <c r="A155" s="70" t="s">
        <v>411</v>
      </c>
      <c r="B155" s="71" t="s">
        <v>412</v>
      </c>
      <c r="C155" s="76" t="s">
        <v>119</v>
      </c>
      <c r="D155" s="73"/>
      <c r="E155" s="68"/>
    </row>
    <row r="156" customFormat="false" ht="20.85" hidden="false" customHeight="false" outlineLevel="0" collapsed="false">
      <c r="A156" s="70" t="s">
        <v>413</v>
      </c>
      <c r="B156" s="71" t="s">
        <v>414</v>
      </c>
      <c r="C156" s="67" t="s">
        <v>86</v>
      </c>
      <c r="D156" s="73"/>
      <c r="E156" s="68"/>
    </row>
    <row r="157" customFormat="false" ht="15" hidden="false" customHeight="false" outlineLevel="0" collapsed="false">
      <c r="A157" s="62" t="n">
        <v>9</v>
      </c>
      <c r="B157" s="69" t="s">
        <v>415</v>
      </c>
      <c r="C157" s="77"/>
      <c r="D157" s="78"/>
      <c r="E157" s="78"/>
    </row>
    <row r="158" customFormat="false" ht="20.85" hidden="false" customHeight="false" outlineLevel="0" collapsed="false">
      <c r="A158" s="70" t="s">
        <v>416</v>
      </c>
      <c r="B158" s="71" t="s">
        <v>417</v>
      </c>
      <c r="C158" s="67" t="s">
        <v>86</v>
      </c>
      <c r="D158" s="73"/>
      <c r="E158" s="74"/>
    </row>
    <row r="159" customFormat="false" ht="15" hidden="false" customHeight="false" outlineLevel="0" collapsed="false">
      <c r="A159" s="70" t="s">
        <v>418</v>
      </c>
      <c r="B159" s="71" t="s">
        <v>419</v>
      </c>
      <c r="C159" s="67" t="s">
        <v>86</v>
      </c>
      <c r="D159" s="73" t="s">
        <v>420</v>
      </c>
      <c r="E159" s="74"/>
    </row>
    <row r="160" customFormat="false" ht="69.4" hidden="false" customHeight="false" outlineLevel="0" collapsed="false">
      <c r="A160" s="70" t="s">
        <v>421</v>
      </c>
      <c r="B160" s="71" t="s">
        <v>422</v>
      </c>
      <c r="C160" s="67" t="s">
        <v>86</v>
      </c>
      <c r="D160" s="73"/>
      <c r="E160" s="74"/>
    </row>
    <row r="161" customFormat="false" ht="15" hidden="false" customHeight="false" outlineLevel="0" collapsed="false">
      <c r="A161" s="70" t="s">
        <v>423</v>
      </c>
      <c r="B161" s="71" t="s">
        <v>424</v>
      </c>
      <c r="C161" s="67" t="s">
        <v>86</v>
      </c>
      <c r="D161" s="73"/>
      <c r="E161" s="74"/>
    </row>
    <row r="162" customFormat="false" ht="23.85" hidden="false" customHeight="false" outlineLevel="0" collapsed="false">
      <c r="A162" s="70" t="s">
        <v>425</v>
      </c>
      <c r="B162" s="71" t="s">
        <v>426</v>
      </c>
      <c r="C162" s="72" t="s">
        <v>93</v>
      </c>
      <c r="D162" s="73" t="s">
        <v>427</v>
      </c>
      <c r="E162" s="74"/>
    </row>
    <row r="163" customFormat="false" ht="15" hidden="false" customHeight="false" outlineLevel="0" collapsed="false">
      <c r="A163" s="70" t="s">
        <v>428</v>
      </c>
      <c r="B163" s="71" t="s">
        <v>429</v>
      </c>
      <c r="C163" s="67" t="s">
        <v>86</v>
      </c>
      <c r="D163" s="73"/>
      <c r="E163" s="74"/>
    </row>
    <row r="164" customFormat="false" ht="15" hidden="false" customHeight="false" outlineLevel="0" collapsed="false">
      <c r="A164" s="70" t="s">
        <v>430</v>
      </c>
      <c r="B164" s="71" t="s">
        <v>431</v>
      </c>
      <c r="C164" s="67" t="s">
        <v>86</v>
      </c>
      <c r="D164" s="73"/>
      <c r="E164" s="74"/>
    </row>
    <row r="165" customFormat="false" ht="15" hidden="false" customHeight="false" outlineLevel="0" collapsed="false">
      <c r="A165" s="70" t="s">
        <v>432</v>
      </c>
      <c r="B165" s="71" t="s">
        <v>433</v>
      </c>
      <c r="C165" s="67" t="s">
        <v>86</v>
      </c>
      <c r="D165" s="73"/>
      <c r="E165" s="74"/>
    </row>
    <row r="166" customFormat="false" ht="15" hidden="false" customHeight="false" outlineLevel="0" collapsed="false">
      <c r="A166" s="70" t="s">
        <v>434</v>
      </c>
      <c r="B166" s="71" t="s">
        <v>435</v>
      </c>
      <c r="C166" s="67" t="s">
        <v>86</v>
      </c>
      <c r="D166" s="73"/>
      <c r="E166" s="74"/>
    </row>
    <row r="167" customFormat="false" ht="15" hidden="false" customHeight="false" outlineLevel="0" collapsed="false">
      <c r="A167" s="70" t="s">
        <v>436</v>
      </c>
      <c r="B167" s="71" t="s">
        <v>437</v>
      </c>
      <c r="C167" s="67" t="s">
        <v>86</v>
      </c>
      <c r="D167" s="73"/>
      <c r="E167" s="74"/>
    </row>
    <row r="168" customFormat="false" ht="15" hidden="false" customHeight="false" outlineLevel="0" collapsed="false">
      <c r="A168" s="70" t="s">
        <v>438</v>
      </c>
      <c r="B168" s="71" t="s">
        <v>439</v>
      </c>
      <c r="C168" s="67" t="s">
        <v>86</v>
      </c>
      <c r="D168" s="73"/>
      <c r="E168" s="74"/>
    </row>
    <row r="169" customFormat="false" ht="15" hidden="false" customHeight="false" outlineLevel="0" collapsed="false">
      <c r="A169" s="70" t="s">
        <v>440</v>
      </c>
      <c r="B169" s="71" t="s">
        <v>441</v>
      </c>
      <c r="C169" s="67" t="s">
        <v>86</v>
      </c>
      <c r="D169" s="73"/>
      <c r="E169" s="74"/>
    </row>
    <row r="170" customFormat="false" ht="15" hidden="false" customHeight="false" outlineLevel="0" collapsed="false">
      <c r="A170" s="70" t="s">
        <v>442</v>
      </c>
      <c r="B170" s="71" t="s">
        <v>443</v>
      </c>
      <c r="C170" s="67" t="s">
        <v>86</v>
      </c>
      <c r="D170" s="73"/>
      <c r="E170" s="74"/>
    </row>
    <row r="171" customFormat="false" ht="15" hidden="false" customHeight="false" outlineLevel="0" collapsed="false">
      <c r="A171" s="70" t="s">
        <v>444</v>
      </c>
      <c r="B171" s="71" t="s">
        <v>445</v>
      </c>
      <c r="C171" s="67" t="s">
        <v>86</v>
      </c>
      <c r="D171" s="73"/>
      <c r="E171" s="74"/>
    </row>
    <row r="172" customFormat="false" ht="15" hidden="false" customHeight="false" outlineLevel="0" collapsed="false">
      <c r="A172" s="70" t="s">
        <v>446</v>
      </c>
      <c r="B172" s="71" t="s">
        <v>447</v>
      </c>
      <c r="C172" s="67" t="s">
        <v>86</v>
      </c>
      <c r="D172" s="73"/>
      <c r="E172" s="74"/>
    </row>
    <row r="173" customFormat="false" ht="127.6" hidden="false" customHeight="false" outlineLevel="0" collapsed="false">
      <c r="A173" s="70" t="s">
        <v>448</v>
      </c>
      <c r="B173" s="71" t="s">
        <v>449</v>
      </c>
      <c r="C173" s="67" t="s">
        <v>86</v>
      </c>
      <c r="D173" s="73"/>
      <c r="E173" s="74"/>
    </row>
    <row r="174" customFormat="false" ht="15" hidden="false" customHeight="false" outlineLevel="0" collapsed="false">
      <c r="A174" s="70" t="s">
        <v>450</v>
      </c>
      <c r="B174" s="71" t="s">
        <v>451</v>
      </c>
      <c r="C174" s="67" t="s">
        <v>86</v>
      </c>
      <c r="D174" s="73"/>
      <c r="E174" s="74"/>
    </row>
    <row r="175" customFormat="false" ht="20.85" hidden="false" customHeight="false" outlineLevel="0" collapsed="false">
      <c r="A175" s="70" t="s">
        <v>452</v>
      </c>
      <c r="B175" s="71" t="s">
        <v>453</v>
      </c>
      <c r="C175" s="67" t="s">
        <v>86</v>
      </c>
      <c r="D175" s="73"/>
      <c r="E175" s="74"/>
    </row>
    <row r="176" customFormat="false" ht="35.05" hidden="false" customHeight="false" outlineLevel="0" collapsed="false">
      <c r="A176" s="70" t="s">
        <v>454</v>
      </c>
      <c r="B176" s="71" t="s">
        <v>455</v>
      </c>
      <c r="C176" s="67" t="s">
        <v>86</v>
      </c>
      <c r="D176" s="83" t="s">
        <v>456</v>
      </c>
      <c r="E176" s="75" t="s">
        <v>457</v>
      </c>
    </row>
    <row r="177" customFormat="false" ht="15" hidden="false" customHeight="false" outlineLevel="0" collapsed="false">
      <c r="A177" s="62" t="n">
        <v>10</v>
      </c>
      <c r="B177" s="69" t="s">
        <v>458</v>
      </c>
      <c r="C177" s="77"/>
      <c r="D177" s="78"/>
      <c r="E177" s="78"/>
    </row>
    <row r="178" customFormat="false" ht="15" hidden="false" customHeight="false" outlineLevel="0" collapsed="false">
      <c r="A178" s="70" t="s">
        <v>459</v>
      </c>
      <c r="B178" s="66" t="s">
        <v>460</v>
      </c>
      <c r="C178" s="67" t="s">
        <v>86</v>
      </c>
      <c r="D178" s="73"/>
      <c r="E178" s="68"/>
    </row>
    <row r="179" customFormat="false" ht="15" hidden="false" customHeight="false" outlineLevel="0" collapsed="false">
      <c r="A179" s="70" t="s">
        <v>461</v>
      </c>
      <c r="B179" s="66" t="s">
        <v>462</v>
      </c>
      <c r="C179" s="67" t="s">
        <v>86</v>
      </c>
      <c r="D179" s="73"/>
      <c r="E179" s="68"/>
    </row>
    <row r="180" customFormat="false" ht="15" hidden="false" customHeight="false" outlineLevel="0" collapsed="false">
      <c r="A180" s="70" t="s">
        <v>463</v>
      </c>
      <c r="B180" s="66" t="s">
        <v>464</v>
      </c>
      <c r="C180" s="67" t="s">
        <v>86</v>
      </c>
      <c r="D180" s="73"/>
      <c r="E180" s="68"/>
    </row>
    <row r="181" customFormat="false" ht="15" hidden="false" customHeight="false" outlineLevel="0" collapsed="false">
      <c r="A181" s="70" t="s">
        <v>465</v>
      </c>
      <c r="B181" s="66" t="s">
        <v>466</v>
      </c>
      <c r="C181" s="67" t="s">
        <v>86</v>
      </c>
      <c r="D181" s="73"/>
      <c r="E181" s="68"/>
    </row>
    <row r="182" customFormat="false" ht="23.85" hidden="false" customHeight="false" outlineLevel="0" collapsed="false">
      <c r="A182" s="70" t="s">
        <v>467</v>
      </c>
      <c r="B182" s="66" t="s">
        <v>468</v>
      </c>
      <c r="C182" s="67" t="s">
        <v>86</v>
      </c>
      <c r="D182" s="73" t="s">
        <v>469</v>
      </c>
      <c r="E182" s="68"/>
    </row>
    <row r="183" customFormat="false" ht="15" hidden="false" customHeight="false" outlineLevel="0" collapsed="false">
      <c r="A183" s="70" t="s">
        <v>470</v>
      </c>
      <c r="B183" s="71" t="s">
        <v>471</v>
      </c>
      <c r="C183" s="67" t="s">
        <v>86</v>
      </c>
      <c r="D183" s="73" t="s">
        <v>472</v>
      </c>
      <c r="E183" s="68"/>
    </row>
    <row r="184" customFormat="false" ht="15" hidden="false" customHeight="false" outlineLevel="0" collapsed="false">
      <c r="A184" s="70" t="s">
        <v>473</v>
      </c>
      <c r="B184" s="66" t="s">
        <v>474</v>
      </c>
      <c r="C184" s="67" t="s">
        <v>86</v>
      </c>
      <c r="D184" s="73"/>
      <c r="E184" s="68"/>
    </row>
    <row r="185" customFormat="false" ht="15" hidden="false" customHeight="false" outlineLevel="0" collapsed="false">
      <c r="A185" s="70" t="s">
        <v>475</v>
      </c>
      <c r="B185" s="66" t="s">
        <v>476</v>
      </c>
      <c r="C185" s="67" t="s">
        <v>86</v>
      </c>
      <c r="D185" s="73"/>
      <c r="E185" s="68"/>
    </row>
    <row r="186" customFormat="false" ht="15" hidden="false" customHeight="false" outlineLevel="0" collapsed="false">
      <c r="A186" s="70" t="s">
        <v>477</v>
      </c>
      <c r="B186" s="66" t="s">
        <v>478</v>
      </c>
      <c r="C186" s="67" t="s">
        <v>86</v>
      </c>
      <c r="D186" s="73"/>
      <c r="E186" s="68"/>
    </row>
    <row r="187" customFormat="false" ht="15" hidden="false" customHeight="false" outlineLevel="0" collapsed="false">
      <c r="A187" s="70" t="s">
        <v>479</v>
      </c>
      <c r="B187" s="71" t="s">
        <v>480</v>
      </c>
      <c r="C187" s="67" t="s">
        <v>86</v>
      </c>
      <c r="D187" s="73"/>
      <c r="E187" s="68"/>
    </row>
    <row r="188" customFormat="false" ht="15" hidden="false" customHeight="false" outlineLevel="0" collapsed="false">
      <c r="A188" s="62" t="n">
        <v>11</v>
      </c>
      <c r="B188" s="69" t="s">
        <v>481</v>
      </c>
      <c r="C188" s="77"/>
      <c r="D188" s="78"/>
      <c r="E188" s="78"/>
    </row>
    <row r="189" customFormat="false" ht="15" hidden="false" customHeight="false" outlineLevel="0" collapsed="false">
      <c r="A189" s="70" t="s">
        <v>482</v>
      </c>
      <c r="B189" s="71" t="s">
        <v>483</v>
      </c>
      <c r="C189" s="67" t="s">
        <v>86</v>
      </c>
      <c r="D189" s="73"/>
      <c r="E189" s="68"/>
    </row>
    <row r="190" customFormat="false" ht="15" hidden="false" customHeight="false" outlineLevel="0" collapsed="false">
      <c r="A190" s="70" t="s">
        <v>484</v>
      </c>
      <c r="B190" s="71" t="s">
        <v>485</v>
      </c>
      <c r="C190" s="67" t="s">
        <v>86</v>
      </c>
      <c r="D190" s="73"/>
      <c r="E190" s="68"/>
    </row>
    <row r="191" customFormat="false" ht="20.85" hidden="false" customHeight="false" outlineLevel="0" collapsed="false">
      <c r="A191" s="70" t="s">
        <v>486</v>
      </c>
      <c r="B191" s="71" t="s">
        <v>487</v>
      </c>
      <c r="C191" s="67" t="s">
        <v>86</v>
      </c>
      <c r="D191" s="73"/>
      <c r="E191" s="68"/>
    </row>
    <row r="192" customFormat="false" ht="15" hidden="false" customHeight="false" outlineLevel="0" collapsed="false">
      <c r="A192" s="70" t="s">
        <v>488</v>
      </c>
      <c r="B192" s="71" t="s">
        <v>489</v>
      </c>
      <c r="C192" s="67" t="s">
        <v>86</v>
      </c>
      <c r="D192" s="73"/>
      <c r="E192" s="68"/>
    </row>
    <row r="193" customFormat="false" ht="15" hidden="false" customHeight="false" outlineLevel="0" collapsed="false">
      <c r="A193" s="70" t="s">
        <v>490</v>
      </c>
      <c r="B193" s="71" t="s">
        <v>491</v>
      </c>
      <c r="C193" s="76" t="s">
        <v>119</v>
      </c>
      <c r="D193" s="73"/>
      <c r="E193" s="68"/>
    </row>
    <row r="194" customFormat="false" ht="15" hidden="false" customHeight="false" outlineLevel="0" collapsed="false">
      <c r="A194" s="70" t="s">
        <v>492</v>
      </c>
      <c r="B194" s="71" t="s">
        <v>493</v>
      </c>
      <c r="C194" s="67" t="s">
        <v>86</v>
      </c>
      <c r="D194" s="73"/>
      <c r="E194" s="68"/>
    </row>
    <row r="195" customFormat="false" ht="68.65" hidden="false" customHeight="false" outlineLevel="0" collapsed="false">
      <c r="A195" s="70" t="s">
        <v>494</v>
      </c>
      <c r="B195" s="71" t="s">
        <v>495</v>
      </c>
      <c r="C195" s="76" t="s">
        <v>119</v>
      </c>
      <c r="D195" s="73" t="s">
        <v>496</v>
      </c>
      <c r="E195" s="68"/>
    </row>
    <row r="196" customFormat="false" ht="15" hidden="false" customHeight="false" outlineLevel="0" collapsed="false">
      <c r="A196" s="70" t="s">
        <v>497</v>
      </c>
      <c r="B196" s="71" t="s">
        <v>498</v>
      </c>
      <c r="C196" s="67" t="s">
        <v>86</v>
      </c>
      <c r="D196" s="73"/>
      <c r="E196" s="68"/>
    </row>
    <row r="197" customFormat="false" ht="15" hidden="false" customHeight="false" outlineLevel="0" collapsed="false">
      <c r="A197" s="70" t="s">
        <v>499</v>
      </c>
      <c r="B197" s="71" t="s">
        <v>500</v>
      </c>
      <c r="C197" s="67" t="s">
        <v>86</v>
      </c>
      <c r="D197" s="73"/>
      <c r="E197" s="68"/>
    </row>
    <row r="198" customFormat="false" ht="15" hidden="false" customHeight="false" outlineLevel="0" collapsed="false">
      <c r="A198" s="70" t="s">
        <v>501</v>
      </c>
      <c r="B198" s="71" t="s">
        <v>502</v>
      </c>
      <c r="C198" s="67" t="s">
        <v>86</v>
      </c>
      <c r="D198" s="73"/>
      <c r="E198" s="68"/>
    </row>
    <row r="199" customFormat="false" ht="15" hidden="false" customHeight="false" outlineLevel="0" collapsed="false">
      <c r="A199" s="62" t="n">
        <v>12</v>
      </c>
      <c r="B199" s="69" t="s">
        <v>503</v>
      </c>
      <c r="C199" s="77"/>
      <c r="D199" s="78"/>
      <c r="E199" s="78"/>
    </row>
    <row r="200" customFormat="false" ht="15" hidden="false" customHeight="false" outlineLevel="0" collapsed="false">
      <c r="A200" s="70" t="s">
        <v>504</v>
      </c>
      <c r="B200" s="71" t="s">
        <v>505</v>
      </c>
      <c r="C200" s="67" t="s">
        <v>86</v>
      </c>
      <c r="D200" s="73"/>
      <c r="E200" s="68"/>
    </row>
    <row r="201" customFormat="false" ht="20.85" hidden="false" customHeight="false" outlineLevel="0" collapsed="false">
      <c r="A201" s="70" t="s">
        <v>506</v>
      </c>
      <c r="B201" s="71" t="s">
        <v>507</v>
      </c>
      <c r="C201" s="67" t="s">
        <v>86</v>
      </c>
      <c r="D201" s="73"/>
      <c r="E201" s="68"/>
    </row>
    <row r="202" customFormat="false" ht="15" hidden="false" customHeight="false" outlineLevel="0" collapsed="false">
      <c r="A202" s="70" t="s">
        <v>508</v>
      </c>
      <c r="B202" s="71" t="s">
        <v>509</v>
      </c>
      <c r="C202" s="67" t="s">
        <v>86</v>
      </c>
      <c r="D202" s="73"/>
      <c r="E202" s="68"/>
    </row>
    <row r="203" customFormat="false" ht="20.85" hidden="false" customHeight="false" outlineLevel="0" collapsed="false">
      <c r="A203" s="70" t="s">
        <v>510</v>
      </c>
      <c r="B203" s="71" t="s">
        <v>511</v>
      </c>
      <c r="C203" s="76" t="s">
        <v>119</v>
      </c>
      <c r="D203" s="73"/>
      <c r="E203" s="68"/>
    </row>
    <row r="204" customFormat="false" ht="15" hidden="false" customHeight="false" outlineLevel="0" collapsed="false">
      <c r="A204" s="70" t="s">
        <v>512</v>
      </c>
      <c r="B204" s="71" t="s">
        <v>513</v>
      </c>
      <c r="C204" s="76" t="s">
        <v>119</v>
      </c>
      <c r="D204" s="73"/>
      <c r="E204" s="68"/>
    </row>
    <row r="205" customFormat="false" ht="15" hidden="false" customHeight="false" outlineLevel="0" collapsed="false">
      <c r="A205" s="70" t="s">
        <v>514</v>
      </c>
      <c r="B205" s="71" t="s">
        <v>515</v>
      </c>
      <c r="C205" s="67" t="s">
        <v>86</v>
      </c>
      <c r="D205" s="73"/>
      <c r="E205" s="68"/>
    </row>
    <row r="206" customFormat="false" ht="15" hidden="false" customHeight="false" outlineLevel="0" collapsed="false">
      <c r="A206" s="70" t="s">
        <v>516</v>
      </c>
      <c r="B206" s="71" t="s">
        <v>517</v>
      </c>
      <c r="C206" s="67" t="s">
        <v>86</v>
      </c>
      <c r="D206" s="73"/>
      <c r="E206" s="68"/>
    </row>
    <row r="207" customFormat="false" ht="15" hidden="false" customHeight="false" outlineLevel="0" collapsed="false">
      <c r="A207" s="70" t="s">
        <v>518</v>
      </c>
      <c r="B207" s="71" t="s">
        <v>519</v>
      </c>
      <c r="C207" s="67" t="s">
        <v>86</v>
      </c>
      <c r="D207" s="73"/>
      <c r="E207" s="68"/>
    </row>
    <row r="208" customFormat="false" ht="15" hidden="false" customHeight="false" outlineLevel="0" collapsed="false">
      <c r="A208" s="70" t="s">
        <v>520</v>
      </c>
      <c r="B208" s="71" t="s">
        <v>521</v>
      </c>
      <c r="C208" s="67" t="s">
        <v>86</v>
      </c>
      <c r="D208" s="73"/>
      <c r="E208" s="68"/>
    </row>
    <row r="209" customFormat="false" ht="15" hidden="false" customHeight="false" outlineLevel="0" collapsed="false">
      <c r="A209" s="70" t="s">
        <v>522</v>
      </c>
      <c r="B209" s="71" t="s">
        <v>523</v>
      </c>
      <c r="C209" s="67" t="s">
        <v>86</v>
      </c>
      <c r="D209" s="73"/>
      <c r="E209" s="68"/>
    </row>
    <row r="210" customFormat="false" ht="15" hidden="false" customHeight="false" outlineLevel="0" collapsed="false">
      <c r="A210" s="70" t="s">
        <v>524</v>
      </c>
      <c r="B210" s="71" t="s">
        <v>525</v>
      </c>
      <c r="C210" s="67" t="s">
        <v>86</v>
      </c>
      <c r="D210" s="73"/>
      <c r="E210" s="68"/>
    </row>
    <row r="211" customFormat="false" ht="15" hidden="false" customHeight="false" outlineLevel="0" collapsed="false">
      <c r="A211" s="70" t="s">
        <v>526</v>
      </c>
      <c r="B211" s="71" t="s">
        <v>527</v>
      </c>
      <c r="C211" s="67" t="s">
        <v>86</v>
      </c>
      <c r="D211" s="73"/>
      <c r="E211" s="68"/>
    </row>
    <row r="212" customFormat="false" ht="15" hidden="false" customHeight="false" outlineLevel="0" collapsed="false">
      <c r="A212" s="70" t="s">
        <v>528</v>
      </c>
      <c r="B212" s="71" t="s">
        <v>529</v>
      </c>
      <c r="C212" s="67" t="s">
        <v>86</v>
      </c>
      <c r="D212" s="73"/>
      <c r="E212" s="68"/>
    </row>
    <row r="213" customFormat="false" ht="15" hidden="false" customHeight="false" outlineLevel="0" collapsed="false">
      <c r="A213" s="70" t="s">
        <v>530</v>
      </c>
      <c r="B213" s="71" t="s">
        <v>531</v>
      </c>
      <c r="C213" s="67" t="s">
        <v>86</v>
      </c>
      <c r="D213" s="73"/>
      <c r="E213" s="68"/>
    </row>
    <row r="214" customFormat="false" ht="15" hidden="false" customHeight="false" outlineLevel="0" collapsed="false">
      <c r="A214" s="70" t="s">
        <v>532</v>
      </c>
      <c r="B214" s="71" t="s">
        <v>533</v>
      </c>
      <c r="C214" s="67" t="s">
        <v>86</v>
      </c>
      <c r="D214" s="73"/>
      <c r="E214" s="68"/>
    </row>
    <row r="215" customFormat="false" ht="79.85" hidden="false" customHeight="false" outlineLevel="0" collapsed="false">
      <c r="A215" s="70" t="s">
        <v>534</v>
      </c>
      <c r="B215" s="71" t="s">
        <v>535</v>
      </c>
      <c r="C215" s="67" t="s">
        <v>86</v>
      </c>
      <c r="D215" s="83" t="s">
        <v>536</v>
      </c>
      <c r="E215" s="68"/>
    </row>
    <row r="216" customFormat="false" ht="15" hidden="false" customHeight="false" outlineLevel="0" collapsed="false">
      <c r="A216" s="70" t="s">
        <v>537</v>
      </c>
      <c r="B216" s="71" t="s">
        <v>538</v>
      </c>
      <c r="C216" s="67" t="s">
        <v>86</v>
      </c>
      <c r="D216" s="73"/>
      <c r="E216" s="68"/>
    </row>
    <row r="217" customFormat="false" ht="15" hidden="false" customHeight="false" outlineLevel="0" collapsed="false">
      <c r="A217" s="70" t="s">
        <v>539</v>
      </c>
      <c r="B217" s="71" t="s">
        <v>540</v>
      </c>
      <c r="C217" s="67" t="s">
        <v>86</v>
      </c>
      <c r="D217" s="73"/>
      <c r="E217" s="68"/>
    </row>
    <row r="218" customFormat="false" ht="23.85" hidden="false" customHeight="false" outlineLevel="0" collapsed="false">
      <c r="A218" s="70" t="s">
        <v>541</v>
      </c>
      <c r="B218" s="71" t="s">
        <v>542</v>
      </c>
      <c r="C218" s="67" t="s">
        <v>86</v>
      </c>
      <c r="D218" s="73" t="s">
        <v>543</v>
      </c>
      <c r="E218" s="68"/>
    </row>
    <row r="219" customFormat="false" ht="15" hidden="false" customHeight="false" outlineLevel="0" collapsed="false">
      <c r="A219" s="70" t="s">
        <v>544</v>
      </c>
      <c r="B219" s="71" t="s">
        <v>545</v>
      </c>
      <c r="C219" s="67" t="s">
        <v>86</v>
      </c>
      <c r="D219" s="73" t="s">
        <v>546</v>
      </c>
      <c r="E219" s="68"/>
    </row>
    <row r="220" customFormat="false" ht="15" hidden="false" customHeight="false" outlineLevel="0" collapsed="false">
      <c r="A220" s="70" t="s">
        <v>547</v>
      </c>
      <c r="B220" s="71" t="s">
        <v>548</v>
      </c>
      <c r="C220" s="67" t="s">
        <v>86</v>
      </c>
      <c r="D220" s="73"/>
      <c r="E220" s="68"/>
    </row>
    <row r="221" customFormat="false" ht="15" hidden="false" customHeight="false" outlineLevel="0" collapsed="false">
      <c r="A221" s="70" t="s">
        <v>549</v>
      </c>
      <c r="B221" s="71" t="s">
        <v>550</v>
      </c>
      <c r="C221" s="76" t="s">
        <v>119</v>
      </c>
      <c r="D221" s="73" t="s">
        <v>551</v>
      </c>
      <c r="E221" s="68"/>
    </row>
    <row r="222" customFormat="false" ht="15" hidden="false" customHeight="false" outlineLevel="0" collapsed="false">
      <c r="A222" s="70" t="s">
        <v>552</v>
      </c>
      <c r="B222" s="71" t="s">
        <v>553</v>
      </c>
      <c r="C222" s="76" t="s">
        <v>119</v>
      </c>
      <c r="D222" s="73"/>
      <c r="E222" s="68"/>
    </row>
    <row r="223" customFormat="false" ht="15" hidden="false" customHeight="false" outlineLevel="0" collapsed="false">
      <c r="A223" s="70" t="s">
        <v>554</v>
      </c>
      <c r="B223" s="71" t="s">
        <v>555</v>
      </c>
      <c r="C223" s="67" t="s">
        <v>86</v>
      </c>
      <c r="D223" s="73"/>
      <c r="E223" s="68"/>
    </row>
    <row r="224" customFormat="false" ht="15" hidden="false" customHeight="false" outlineLevel="0" collapsed="false">
      <c r="A224" s="70" t="s">
        <v>556</v>
      </c>
      <c r="B224" s="71" t="s">
        <v>557</v>
      </c>
      <c r="C224" s="76" t="s">
        <v>119</v>
      </c>
      <c r="D224" s="73"/>
      <c r="E224" s="68"/>
    </row>
    <row r="225" customFormat="false" ht="20.85" hidden="false" customHeight="false" outlineLevel="0" collapsed="false">
      <c r="A225" s="70" t="s">
        <v>558</v>
      </c>
      <c r="B225" s="71" t="s">
        <v>559</v>
      </c>
      <c r="C225" s="67" t="s">
        <v>86</v>
      </c>
      <c r="D225" s="73"/>
      <c r="E225" s="68"/>
    </row>
    <row r="226" customFormat="false" ht="15" hidden="false" customHeight="false" outlineLevel="0" collapsed="false">
      <c r="A226" s="70" t="s">
        <v>560</v>
      </c>
      <c r="B226" s="71" t="s">
        <v>561</v>
      </c>
      <c r="C226" s="67" t="s">
        <v>86</v>
      </c>
      <c r="D226" s="73"/>
      <c r="E226" s="68"/>
    </row>
    <row r="227" customFormat="false" ht="15" hidden="false" customHeight="false" outlineLevel="0" collapsed="false">
      <c r="A227" s="62" t="s">
        <v>562</v>
      </c>
      <c r="B227" s="69" t="s">
        <v>563</v>
      </c>
      <c r="C227" s="77"/>
      <c r="D227" s="78"/>
      <c r="E227" s="78"/>
    </row>
    <row r="228" customFormat="false" ht="15" hidden="false" customHeight="false" outlineLevel="0" collapsed="false">
      <c r="A228" s="70" t="s">
        <v>564</v>
      </c>
      <c r="B228" s="71" t="s">
        <v>565</v>
      </c>
      <c r="C228" s="67" t="s">
        <v>86</v>
      </c>
      <c r="D228" s="73"/>
      <c r="E228" s="68"/>
    </row>
    <row r="229" customFormat="false" ht="57.45" hidden="false" customHeight="false" outlineLevel="0" collapsed="false">
      <c r="A229" s="70" t="s">
        <v>566</v>
      </c>
      <c r="B229" s="71" t="s">
        <v>567</v>
      </c>
      <c r="C229" s="67" t="s">
        <v>86</v>
      </c>
      <c r="D229" s="83" t="s">
        <v>568</v>
      </c>
      <c r="E229" s="68"/>
    </row>
    <row r="230" customFormat="false" ht="15" hidden="false" customHeight="false" outlineLevel="0" collapsed="false">
      <c r="A230" s="70" t="s">
        <v>569</v>
      </c>
      <c r="B230" s="71" t="s">
        <v>570</v>
      </c>
      <c r="C230" s="67" t="s">
        <v>86</v>
      </c>
      <c r="D230" s="73"/>
      <c r="E230" s="68"/>
    </row>
    <row r="231" customFormat="false" ht="15" hidden="false" customHeight="false" outlineLevel="0" collapsed="false">
      <c r="A231" s="70" t="s">
        <v>571</v>
      </c>
      <c r="B231" s="71" t="s">
        <v>572</v>
      </c>
      <c r="C231" s="67" t="s">
        <v>86</v>
      </c>
      <c r="D231" s="73"/>
      <c r="E231" s="68"/>
    </row>
    <row r="232" customFormat="false" ht="15" hidden="false" customHeight="false" outlineLevel="0" collapsed="false">
      <c r="A232" s="70" t="s">
        <v>573</v>
      </c>
      <c r="B232" s="71" t="s">
        <v>574</v>
      </c>
      <c r="C232" s="67" t="s">
        <v>86</v>
      </c>
      <c r="D232" s="73"/>
      <c r="E232" s="68"/>
    </row>
    <row r="233" customFormat="false" ht="15" hidden="false" customHeight="false" outlineLevel="0" collapsed="false">
      <c r="A233" s="70" t="s">
        <v>575</v>
      </c>
      <c r="B233" s="71" t="s">
        <v>576</v>
      </c>
      <c r="C233" s="67" t="s">
        <v>86</v>
      </c>
      <c r="D233" s="73"/>
      <c r="E233" s="68"/>
    </row>
    <row r="234" customFormat="false" ht="15" hidden="false" customHeight="false" outlineLevel="0" collapsed="false">
      <c r="A234" s="62" t="s">
        <v>577</v>
      </c>
      <c r="B234" s="69" t="s">
        <v>578</v>
      </c>
      <c r="C234" s="77"/>
      <c r="D234" s="78"/>
      <c r="E234" s="78"/>
    </row>
    <row r="235" customFormat="false" ht="15" hidden="false" customHeight="false" outlineLevel="0" collapsed="false">
      <c r="A235" s="70" t="s">
        <v>579</v>
      </c>
      <c r="B235" s="84" t="s">
        <v>580</v>
      </c>
      <c r="C235" s="67" t="s">
        <v>86</v>
      </c>
      <c r="D235" s="73"/>
      <c r="E235" s="74"/>
    </row>
    <row r="236" customFormat="false" ht="20.85" hidden="false" customHeight="false" outlineLevel="0" collapsed="false">
      <c r="A236" s="70" t="s">
        <v>581</v>
      </c>
      <c r="B236" s="85" t="s">
        <v>582</v>
      </c>
      <c r="C236" s="67" t="s">
        <v>86</v>
      </c>
      <c r="D236" s="73"/>
      <c r="E236" s="74"/>
    </row>
    <row r="237" customFormat="false" ht="15" hidden="false" customHeight="false" outlineLevel="0" collapsed="false">
      <c r="A237" s="70" t="s">
        <v>583</v>
      </c>
      <c r="B237" s="85" t="s">
        <v>584</v>
      </c>
      <c r="C237" s="67" t="s">
        <v>86</v>
      </c>
      <c r="D237" s="73"/>
      <c r="E237" s="74"/>
    </row>
    <row r="238" customFormat="false" ht="15" hidden="false" customHeight="false" outlineLevel="0" collapsed="false">
      <c r="A238" s="70" t="s">
        <v>585</v>
      </c>
      <c r="B238" s="85" t="s">
        <v>586</v>
      </c>
      <c r="C238" s="67" t="s">
        <v>86</v>
      </c>
      <c r="D238" s="73"/>
      <c r="E238" s="75"/>
    </row>
    <row r="239" customFormat="false" ht="15" hidden="false" customHeight="false" outlineLevel="0" collapsed="false">
      <c r="A239" s="70" t="s">
        <v>587</v>
      </c>
      <c r="B239" s="85" t="s">
        <v>588</v>
      </c>
      <c r="C239" s="67" t="s">
        <v>86</v>
      </c>
      <c r="D239" s="73" t="n">
        <v>256</v>
      </c>
      <c r="E239" s="75" t="s">
        <v>589</v>
      </c>
    </row>
    <row r="240" customFormat="false" ht="15" hidden="false" customHeight="false" outlineLevel="0" collapsed="false">
      <c r="A240" s="70" t="s">
        <v>590</v>
      </c>
      <c r="B240" s="85" t="s">
        <v>591</v>
      </c>
      <c r="C240" s="67" t="s">
        <v>86</v>
      </c>
      <c r="D240" s="73" t="n">
        <v>6</v>
      </c>
      <c r="E240" s="75" t="s">
        <v>589</v>
      </c>
    </row>
    <row r="241" customFormat="false" ht="15" hidden="false" customHeight="false" outlineLevel="0" collapsed="false">
      <c r="A241" s="70" t="s">
        <v>592</v>
      </c>
      <c r="B241" s="85" t="s">
        <v>593</v>
      </c>
      <c r="C241" s="67" t="s">
        <v>86</v>
      </c>
      <c r="D241" s="73" t="s">
        <v>594</v>
      </c>
      <c r="E241" s="75" t="s">
        <v>589</v>
      </c>
    </row>
    <row r="242" customFormat="false" ht="15" hidden="false" customHeight="false" outlineLevel="0" collapsed="false">
      <c r="A242" s="70" t="s">
        <v>595</v>
      </c>
      <c r="B242" s="85" t="s">
        <v>596</v>
      </c>
      <c r="C242" s="67" t="s">
        <v>86</v>
      </c>
      <c r="D242" s="73" t="s">
        <v>597</v>
      </c>
      <c r="E242" s="75" t="s">
        <v>589</v>
      </c>
    </row>
    <row r="243" customFormat="false" ht="15" hidden="false" customHeight="false" outlineLevel="0" collapsed="false">
      <c r="A243" s="70" t="s">
        <v>598</v>
      </c>
      <c r="B243" s="85" t="s">
        <v>599</v>
      </c>
      <c r="C243" s="67" t="s">
        <v>86</v>
      </c>
      <c r="D243" s="73" t="s">
        <v>594</v>
      </c>
      <c r="E243" s="75" t="s">
        <v>589</v>
      </c>
    </row>
    <row r="244" customFormat="false" ht="15" hidden="false" customHeight="false" outlineLevel="0" collapsed="false">
      <c r="A244" s="70" t="s">
        <v>600</v>
      </c>
      <c r="B244" s="85" t="s">
        <v>601</v>
      </c>
      <c r="C244" s="67" t="s">
        <v>86</v>
      </c>
      <c r="D244" s="73" t="n">
        <v>26</v>
      </c>
      <c r="E244" s="75" t="s">
        <v>589</v>
      </c>
    </row>
    <row r="245" customFormat="false" ht="20.85" hidden="false" customHeight="false" outlineLevel="0" collapsed="false">
      <c r="A245" s="70" t="s">
        <v>602</v>
      </c>
      <c r="B245" s="85" t="s">
        <v>603</v>
      </c>
      <c r="C245" s="67" t="s">
        <v>86</v>
      </c>
      <c r="D245" s="73"/>
      <c r="E245" s="75" t="s">
        <v>589</v>
      </c>
    </row>
    <row r="246" customFormat="false" ht="20.85" hidden="false" customHeight="false" outlineLevel="0" collapsed="false">
      <c r="A246" s="70" t="s">
        <v>604</v>
      </c>
      <c r="B246" s="85" t="s">
        <v>605</v>
      </c>
      <c r="C246" s="76" t="s">
        <v>119</v>
      </c>
      <c r="D246" s="73" t="s">
        <v>606</v>
      </c>
      <c r="E246" s="74"/>
    </row>
    <row r="247" customFormat="false" ht="15" hidden="false" customHeight="false" outlineLevel="0" collapsed="false">
      <c r="A247" s="70" t="s">
        <v>607</v>
      </c>
      <c r="B247" s="85" t="s">
        <v>608</v>
      </c>
      <c r="C247" s="67" t="s">
        <v>86</v>
      </c>
      <c r="D247" s="73"/>
      <c r="E247" s="74"/>
    </row>
    <row r="248" customFormat="false" ht="15" hidden="false" customHeight="false" outlineLevel="0" collapsed="false">
      <c r="A248" s="70" t="s">
        <v>609</v>
      </c>
      <c r="B248" s="85" t="s">
        <v>610</v>
      </c>
      <c r="C248" s="67" t="s">
        <v>86</v>
      </c>
      <c r="D248" s="73"/>
      <c r="E248" s="74"/>
    </row>
    <row r="249" customFormat="false" ht="15" hidden="false" customHeight="false" outlineLevel="0" collapsed="false">
      <c r="A249" s="70" t="s">
        <v>611</v>
      </c>
      <c r="B249" s="86" t="s">
        <v>612</v>
      </c>
      <c r="C249" s="67" t="s">
        <v>86</v>
      </c>
      <c r="D249" s="73"/>
      <c r="E249" s="74"/>
    </row>
    <row r="250" customFormat="false" ht="15" hidden="false" customHeight="false" outlineLevel="0" collapsed="false">
      <c r="A250" s="70" t="s">
        <v>613</v>
      </c>
      <c r="B250" s="86" t="s">
        <v>614</v>
      </c>
      <c r="C250" s="67" t="s">
        <v>86</v>
      </c>
      <c r="D250" s="73"/>
      <c r="E250" s="74"/>
    </row>
    <row r="251" customFormat="false" ht="15" hidden="false" customHeight="false" outlineLevel="0" collapsed="false">
      <c r="A251" s="70" t="s">
        <v>615</v>
      </c>
      <c r="B251" s="86" t="s">
        <v>616</v>
      </c>
      <c r="C251" s="67" t="s">
        <v>86</v>
      </c>
      <c r="D251" s="73"/>
      <c r="E251" s="74"/>
    </row>
    <row r="252" customFormat="false" ht="15" hidden="false" customHeight="false" outlineLevel="0" collapsed="false">
      <c r="A252" s="70" t="s">
        <v>617</v>
      </c>
      <c r="B252" s="86" t="s">
        <v>618</v>
      </c>
      <c r="C252" s="67" t="s">
        <v>86</v>
      </c>
      <c r="D252" s="73"/>
      <c r="E252" s="74"/>
    </row>
    <row r="253" customFormat="false" ht="15" hidden="false" customHeight="false" outlineLevel="0" collapsed="false">
      <c r="A253" s="70" t="s">
        <v>619</v>
      </c>
      <c r="B253" s="84" t="s">
        <v>620</v>
      </c>
      <c r="C253" s="67" t="s">
        <v>86</v>
      </c>
      <c r="D253" s="73"/>
      <c r="E253" s="74"/>
    </row>
    <row r="254" customFormat="false" ht="15" hidden="false" customHeight="false" outlineLevel="0" collapsed="false">
      <c r="A254" s="70" t="s">
        <v>621</v>
      </c>
      <c r="B254" s="84" t="s">
        <v>622</v>
      </c>
      <c r="C254" s="67" t="s">
        <v>86</v>
      </c>
      <c r="D254" s="73"/>
      <c r="E254" s="74"/>
    </row>
  </sheetData>
  <mergeCells count="4">
    <mergeCell ref="C5:E5"/>
    <mergeCell ref="C6:E6"/>
    <mergeCell ref="C7:E7"/>
    <mergeCell ref="C8:E8"/>
  </mergeCells>
  <conditionalFormatting sqref="B5 A6:B8">
    <cfRule type="cellIs" priority="2" operator="equal" aboveAverage="0" equalAverage="0" bottom="0" percent="0" rank="0" text="" dxfId="7">
      <formula>"Есть в базе"</formula>
    </cfRule>
  </conditionalFormatting>
  <hyperlinks>
    <hyperlink ref="E24" r:id="rId1" display="https://astra.ru/ready-for-astra/compatible-hardware/"/>
    <hyperlink ref="E42" r:id="rId2" display="https://www.ispsystem.ru/docs/dcimanager-admin/oborudovanie/servery/otchty"/>
    <hyperlink ref="E148" r:id="rId3" display="https://wiki.astralinux.ru/brest/4.0.1/vozmoyonosti-hranilishch-v-pk-sv-brest-348178368.html"/>
    <hyperlink ref="E176" r:id="rId4" display="https://astra.ru/ready-for-astra/compatible-software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1.43"/>
    <col collapsed="false" customWidth="true" hidden="false" outlineLevel="0" max="3" min="3" style="0" width="18.71"/>
    <col collapsed="false" customWidth="true" hidden="false" outlineLevel="0" max="4" min="4" style="0" width="22.86"/>
    <col collapsed="false" customWidth="true" hidden="false" outlineLevel="0" max="5" min="5" style="0" width="40"/>
    <col collapsed="false" customWidth="true" hidden="false" outlineLevel="0" max="6" min="6" style="0" width="10.85"/>
    <col collapsed="false" customWidth="true" hidden="false" outlineLevel="0" max="7" min="7" style="0" width="7.71"/>
    <col collapsed="false" customWidth="true" hidden="false" outlineLevel="0" max="8" min="8" style="0" width="17.42"/>
    <col collapsed="false" customWidth="true" hidden="false" outlineLevel="0" max="9" min="9" style="0" width="7.42"/>
    <col collapsed="false" customWidth="true" hidden="false" outlineLevel="0" max="10" min="10" style="0" width="10.85"/>
    <col collapsed="false" customWidth="true" hidden="false" outlineLevel="0" max="11" min="11" style="0" width="11.57"/>
    <col collapsed="false" customWidth="true" hidden="false" outlineLevel="0" max="12" min="12" style="0" width="12.29"/>
    <col collapsed="false" customWidth="true" hidden="false" outlineLevel="0" max="13" min="13" style="0" width="23.71"/>
    <col collapsed="false" customWidth="true" hidden="false" outlineLevel="0" max="14" min="14" style="0" width="26.86"/>
    <col collapsed="false" customWidth="true" hidden="false" outlineLevel="0" max="15" min="15" style="0" width="30.85"/>
  </cols>
  <sheetData>
    <row r="1" customFormat="false" ht="17.35" hidden="false" customHeight="false" outlineLevel="0" collapsed="false">
      <c r="L1" s="87"/>
      <c r="M1" s="54" t="s">
        <v>623</v>
      </c>
    </row>
    <row r="2" customFormat="false" ht="17.35" hidden="false" customHeight="false" outlineLevel="0" collapsed="false">
      <c r="L2" s="88"/>
      <c r="M2" s="1" t="s">
        <v>1</v>
      </c>
    </row>
    <row r="5" customFormat="false" ht="18" hidden="false" customHeight="true" outlineLevel="0" collapsed="false">
      <c r="B5" s="89" t="s">
        <v>624</v>
      </c>
      <c r="C5" s="89"/>
      <c r="D5" s="89"/>
      <c r="E5" s="89"/>
      <c r="F5" s="89"/>
      <c r="G5" s="89"/>
      <c r="H5" s="89"/>
      <c r="I5" s="90"/>
      <c r="J5" s="90"/>
    </row>
    <row r="8" customFormat="false" ht="31.3" hidden="false" customHeight="false" outlineLevel="0" collapsed="false">
      <c r="A8" s="91" t="s">
        <v>625</v>
      </c>
      <c r="B8" s="91" t="s">
        <v>626</v>
      </c>
      <c r="C8" s="91" t="s">
        <v>627</v>
      </c>
      <c r="D8" s="91" t="s">
        <v>628</v>
      </c>
      <c r="E8" s="92" t="s">
        <v>629</v>
      </c>
      <c r="F8" s="91" t="s">
        <v>630</v>
      </c>
      <c r="G8" s="93" t="s">
        <v>631</v>
      </c>
      <c r="H8" s="91" t="s">
        <v>632</v>
      </c>
      <c r="I8" s="93" t="s">
        <v>633</v>
      </c>
      <c r="J8" s="91" t="s">
        <v>634</v>
      </c>
      <c r="K8" s="91" t="s">
        <v>635</v>
      </c>
      <c r="L8" s="93" t="s">
        <v>397</v>
      </c>
      <c r="M8" s="93" t="s">
        <v>636</v>
      </c>
      <c r="N8" s="93" t="s">
        <v>83</v>
      </c>
    </row>
    <row r="9" customFormat="false" ht="15" hidden="false" customHeight="false" outlineLevel="0" collapsed="false">
      <c r="A9" s="94" t="s">
        <v>637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</row>
    <row r="10" customFormat="false" ht="15" hidden="false" customHeight="false" outlineLevel="0" collapsed="false">
      <c r="A10" s="95" t="s">
        <v>638</v>
      </c>
      <c r="B10" s="96" t="s">
        <v>639</v>
      </c>
      <c r="C10" s="96" t="s">
        <v>640</v>
      </c>
      <c r="D10" s="97" t="s">
        <v>641</v>
      </c>
      <c r="E10" s="96" t="s">
        <v>642</v>
      </c>
      <c r="F10" s="98" t="n">
        <v>1</v>
      </c>
      <c r="G10" s="98" t="n">
        <v>12</v>
      </c>
      <c r="H10" s="98" t="n">
        <v>64</v>
      </c>
      <c r="I10" s="99" t="n">
        <v>1000</v>
      </c>
      <c r="J10" s="99" t="s">
        <v>643</v>
      </c>
      <c r="K10" s="99" t="s">
        <v>86</v>
      </c>
      <c r="L10" s="99" t="s">
        <v>86</v>
      </c>
      <c r="M10" s="68"/>
      <c r="N10" s="68"/>
    </row>
    <row r="11" customFormat="false" ht="15" hidden="false" customHeight="false" outlineLevel="0" collapsed="false">
      <c r="A11" s="95" t="s">
        <v>644</v>
      </c>
      <c r="B11" s="96" t="s">
        <v>639</v>
      </c>
      <c r="C11" s="96" t="s">
        <v>640</v>
      </c>
      <c r="D11" s="97" t="s">
        <v>641</v>
      </c>
      <c r="E11" s="96" t="s">
        <v>642</v>
      </c>
      <c r="F11" s="98" t="n">
        <v>1</v>
      </c>
      <c r="G11" s="98" t="n">
        <v>12</v>
      </c>
      <c r="H11" s="98" t="n">
        <v>64</v>
      </c>
      <c r="I11" s="99" t="n">
        <v>1000</v>
      </c>
      <c r="J11" s="99" t="s">
        <v>645</v>
      </c>
      <c r="K11" s="99" t="s">
        <v>642</v>
      </c>
      <c r="L11" s="99" t="s">
        <v>642</v>
      </c>
      <c r="M11" s="68"/>
      <c r="N11" s="68"/>
    </row>
    <row r="12" customFormat="false" ht="15" hidden="false" customHeight="false" outlineLevel="0" collapsed="false">
      <c r="A12" s="95" t="s">
        <v>638</v>
      </c>
      <c r="B12" s="96" t="s">
        <v>639</v>
      </c>
      <c r="C12" s="96" t="s">
        <v>640</v>
      </c>
      <c r="D12" s="97" t="s">
        <v>641</v>
      </c>
      <c r="E12" s="96" t="s">
        <v>642</v>
      </c>
      <c r="F12" s="98" t="n">
        <v>1</v>
      </c>
      <c r="G12" s="98" t="n">
        <v>8</v>
      </c>
      <c r="H12" s="98" t="n">
        <v>32</v>
      </c>
      <c r="I12" s="99" t="n">
        <v>500</v>
      </c>
      <c r="J12" s="99" t="s">
        <v>646</v>
      </c>
      <c r="K12" s="99" t="s">
        <v>86</v>
      </c>
      <c r="L12" s="99" t="s">
        <v>86</v>
      </c>
      <c r="M12" s="68"/>
      <c r="N12" s="68"/>
    </row>
    <row r="13" customFormat="false" ht="15" hidden="false" customHeight="false" outlineLevel="0" collapsed="false">
      <c r="A13" s="95" t="s">
        <v>644</v>
      </c>
      <c r="B13" s="96" t="s">
        <v>639</v>
      </c>
      <c r="C13" s="96" t="s">
        <v>640</v>
      </c>
      <c r="D13" s="97" t="s">
        <v>641</v>
      </c>
      <c r="E13" s="96" t="s">
        <v>642</v>
      </c>
      <c r="F13" s="98" t="n">
        <v>1</v>
      </c>
      <c r="G13" s="98" t="n">
        <v>8</v>
      </c>
      <c r="H13" s="98" t="n">
        <v>32</v>
      </c>
      <c r="I13" s="99" t="n">
        <v>500</v>
      </c>
      <c r="J13" s="99" t="s">
        <v>645</v>
      </c>
      <c r="K13" s="99" t="s">
        <v>642</v>
      </c>
      <c r="L13" s="99" t="s">
        <v>642</v>
      </c>
      <c r="M13" s="68"/>
      <c r="N13" s="68"/>
    </row>
    <row r="14" customFormat="false" ht="15" hidden="false" customHeight="false" outlineLevel="0" collapsed="false">
      <c r="A14" s="95" t="s">
        <v>638</v>
      </c>
      <c r="B14" s="96" t="s">
        <v>639</v>
      </c>
      <c r="C14" s="96" t="s">
        <v>640</v>
      </c>
      <c r="D14" s="97" t="s">
        <v>641</v>
      </c>
      <c r="E14" s="96" t="s">
        <v>642</v>
      </c>
      <c r="F14" s="98" t="n">
        <v>1</v>
      </c>
      <c r="G14" s="98" t="n">
        <v>4</v>
      </c>
      <c r="H14" s="98" t="n">
        <v>16</v>
      </c>
      <c r="I14" s="99" t="n">
        <v>200</v>
      </c>
      <c r="J14" s="99" t="s">
        <v>645</v>
      </c>
      <c r="K14" s="99" t="s">
        <v>86</v>
      </c>
      <c r="L14" s="99" t="s">
        <v>86</v>
      </c>
      <c r="M14" s="68"/>
      <c r="N14" s="68"/>
    </row>
    <row r="15" customFormat="false" ht="15" hidden="false" customHeight="false" outlineLevel="0" collapsed="false">
      <c r="A15" s="95" t="s">
        <v>644</v>
      </c>
      <c r="B15" s="96" t="s">
        <v>639</v>
      </c>
      <c r="C15" s="96" t="s">
        <v>640</v>
      </c>
      <c r="D15" s="97" t="s">
        <v>641</v>
      </c>
      <c r="E15" s="96" t="s">
        <v>642</v>
      </c>
      <c r="F15" s="98" t="n">
        <v>1</v>
      </c>
      <c r="G15" s="98" t="n">
        <v>4</v>
      </c>
      <c r="H15" s="98" t="n">
        <v>16</v>
      </c>
      <c r="I15" s="99" t="n">
        <v>200</v>
      </c>
      <c r="J15" s="99" t="s">
        <v>645</v>
      </c>
      <c r="K15" s="99" t="s">
        <v>642</v>
      </c>
      <c r="L15" s="99" t="s">
        <v>642</v>
      </c>
      <c r="M15" s="68"/>
      <c r="N15" s="68"/>
    </row>
    <row r="16" customFormat="false" ht="15" hidden="false" customHeight="false" outlineLevel="0" collapsed="false">
      <c r="A16" s="94" t="s">
        <v>647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</row>
    <row r="17" customFormat="false" ht="15" hidden="false" customHeight="false" outlineLevel="0" collapsed="false">
      <c r="A17" s="95" t="s">
        <v>638</v>
      </c>
      <c r="B17" s="96" t="s">
        <v>639</v>
      </c>
      <c r="C17" s="96" t="s">
        <v>648</v>
      </c>
      <c r="D17" s="96" t="s">
        <v>641</v>
      </c>
      <c r="E17" s="96" t="s">
        <v>649</v>
      </c>
      <c r="F17" s="98" t="n">
        <v>1</v>
      </c>
      <c r="G17" s="98" t="n">
        <v>8</v>
      </c>
      <c r="H17" s="98" t="n">
        <v>64</v>
      </c>
      <c r="I17" s="99" t="n">
        <v>1000</v>
      </c>
      <c r="J17" s="99" t="s">
        <v>643</v>
      </c>
      <c r="K17" s="99" t="s">
        <v>86</v>
      </c>
      <c r="L17" s="99" t="s">
        <v>86</v>
      </c>
      <c r="M17" s="68"/>
      <c r="N17" s="68"/>
    </row>
    <row r="18" customFormat="false" ht="15" hidden="false" customHeight="false" outlineLevel="0" collapsed="false">
      <c r="A18" s="95" t="s">
        <v>644</v>
      </c>
      <c r="B18" s="96" t="s">
        <v>639</v>
      </c>
      <c r="C18" s="96" t="s">
        <v>648</v>
      </c>
      <c r="D18" s="96" t="s">
        <v>641</v>
      </c>
      <c r="E18" s="96" t="s">
        <v>649</v>
      </c>
      <c r="F18" s="98" t="n">
        <v>1</v>
      </c>
      <c r="G18" s="98" t="n">
        <v>8</v>
      </c>
      <c r="H18" s="98" t="n">
        <v>64</v>
      </c>
      <c r="I18" s="99" t="n">
        <v>1000</v>
      </c>
      <c r="J18" s="99" t="s">
        <v>645</v>
      </c>
      <c r="K18" s="99" t="s">
        <v>642</v>
      </c>
      <c r="L18" s="99" t="s">
        <v>642</v>
      </c>
      <c r="M18" s="68"/>
      <c r="N18" s="68"/>
    </row>
    <row r="19" customFormat="false" ht="15" hidden="false" customHeight="false" outlineLevel="0" collapsed="false">
      <c r="A19" s="95" t="s">
        <v>638</v>
      </c>
      <c r="B19" s="96" t="s">
        <v>639</v>
      </c>
      <c r="C19" s="96" t="s">
        <v>648</v>
      </c>
      <c r="D19" s="96" t="s">
        <v>641</v>
      </c>
      <c r="E19" s="96" t="s">
        <v>649</v>
      </c>
      <c r="F19" s="98" t="n">
        <v>1</v>
      </c>
      <c r="G19" s="98" t="n">
        <v>6</v>
      </c>
      <c r="H19" s="98" t="n">
        <v>32</v>
      </c>
      <c r="I19" s="99" t="n">
        <v>500</v>
      </c>
      <c r="J19" s="99" t="s">
        <v>646</v>
      </c>
      <c r="K19" s="99" t="s">
        <v>86</v>
      </c>
      <c r="L19" s="99" t="s">
        <v>86</v>
      </c>
      <c r="M19" s="68"/>
      <c r="N19" s="68"/>
    </row>
    <row r="20" customFormat="false" ht="15" hidden="false" customHeight="false" outlineLevel="0" collapsed="false">
      <c r="A20" s="95" t="s">
        <v>644</v>
      </c>
      <c r="B20" s="96" t="s">
        <v>639</v>
      </c>
      <c r="C20" s="96" t="s">
        <v>648</v>
      </c>
      <c r="D20" s="96" t="s">
        <v>641</v>
      </c>
      <c r="E20" s="96" t="s">
        <v>649</v>
      </c>
      <c r="F20" s="98" t="n">
        <v>1</v>
      </c>
      <c r="G20" s="98" t="n">
        <v>6</v>
      </c>
      <c r="H20" s="98" t="n">
        <v>32</v>
      </c>
      <c r="I20" s="99" t="n">
        <v>500</v>
      </c>
      <c r="J20" s="99" t="s">
        <v>645</v>
      </c>
      <c r="K20" s="99" t="s">
        <v>642</v>
      </c>
      <c r="L20" s="99" t="s">
        <v>642</v>
      </c>
      <c r="M20" s="68"/>
      <c r="N20" s="68"/>
    </row>
    <row r="21" customFormat="false" ht="15" hidden="false" customHeight="false" outlineLevel="0" collapsed="false">
      <c r="A21" s="95" t="s">
        <v>638</v>
      </c>
      <c r="B21" s="96" t="s">
        <v>639</v>
      </c>
      <c r="C21" s="96" t="s">
        <v>648</v>
      </c>
      <c r="D21" s="96" t="s">
        <v>641</v>
      </c>
      <c r="E21" s="96" t="s">
        <v>649</v>
      </c>
      <c r="F21" s="98" t="n">
        <v>1</v>
      </c>
      <c r="G21" s="98" t="n">
        <v>4</v>
      </c>
      <c r="H21" s="98" t="n">
        <v>16</v>
      </c>
      <c r="I21" s="99" t="n">
        <v>200</v>
      </c>
      <c r="J21" s="99" t="s">
        <v>645</v>
      </c>
      <c r="K21" s="99" t="s">
        <v>86</v>
      </c>
      <c r="L21" s="99" t="s">
        <v>86</v>
      </c>
      <c r="M21" s="68"/>
      <c r="N21" s="68"/>
    </row>
    <row r="22" customFormat="false" ht="15" hidden="false" customHeight="false" outlineLevel="0" collapsed="false">
      <c r="A22" s="95" t="s">
        <v>644</v>
      </c>
      <c r="B22" s="96" t="s">
        <v>639</v>
      </c>
      <c r="C22" s="96" t="s">
        <v>648</v>
      </c>
      <c r="D22" s="96" t="s">
        <v>641</v>
      </c>
      <c r="E22" s="96" t="s">
        <v>649</v>
      </c>
      <c r="F22" s="98" t="n">
        <v>1</v>
      </c>
      <c r="G22" s="98" t="n">
        <v>4</v>
      </c>
      <c r="H22" s="98" t="n">
        <v>16</v>
      </c>
      <c r="I22" s="99" t="n">
        <v>200</v>
      </c>
      <c r="J22" s="99" t="s">
        <v>645</v>
      </c>
      <c r="K22" s="99" t="s">
        <v>642</v>
      </c>
      <c r="L22" s="99" t="s">
        <v>642</v>
      </c>
      <c r="M22" s="68"/>
      <c r="N22" s="68"/>
    </row>
    <row r="23" customFormat="false" ht="15" hidden="false" customHeight="false" outlineLevel="0" collapsed="false">
      <c r="A23" s="100" t="s">
        <v>650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</row>
    <row r="24" customFormat="false" ht="15" hidden="false" customHeight="false" outlineLevel="0" collapsed="false">
      <c r="A24" s="95" t="s">
        <v>638</v>
      </c>
      <c r="B24" s="96" t="s">
        <v>651</v>
      </c>
      <c r="C24" s="96" t="s">
        <v>640</v>
      </c>
      <c r="D24" s="96" t="s">
        <v>641</v>
      </c>
      <c r="E24" s="96" t="s">
        <v>642</v>
      </c>
      <c r="F24" s="98" t="n">
        <v>2</v>
      </c>
      <c r="G24" s="98" t="n">
        <v>20</v>
      </c>
      <c r="H24" s="98" t="n">
        <v>768</v>
      </c>
      <c r="I24" s="99" t="n">
        <f aca="false">480+1920+7680</f>
        <v>10080</v>
      </c>
      <c r="J24" s="99" t="s">
        <v>652</v>
      </c>
      <c r="K24" s="99" t="s">
        <v>86</v>
      </c>
      <c r="L24" s="99" t="s">
        <v>86</v>
      </c>
      <c r="M24" s="68"/>
      <c r="N24" s="68"/>
    </row>
    <row r="25" customFormat="false" ht="15" hidden="false" customHeight="false" outlineLevel="0" collapsed="false">
      <c r="A25" s="95" t="s">
        <v>644</v>
      </c>
      <c r="B25" s="96" t="s">
        <v>651</v>
      </c>
      <c r="C25" s="96" t="s">
        <v>640</v>
      </c>
      <c r="D25" s="96" t="s">
        <v>641</v>
      </c>
      <c r="E25" s="96" t="s">
        <v>642</v>
      </c>
      <c r="F25" s="98" t="n">
        <v>2</v>
      </c>
      <c r="G25" s="98" t="n">
        <v>20</v>
      </c>
      <c r="H25" s="98" t="n">
        <v>768</v>
      </c>
      <c r="I25" s="99" t="n">
        <f aca="false">480+1920+7680</f>
        <v>10080</v>
      </c>
      <c r="J25" s="99" t="s">
        <v>652</v>
      </c>
      <c r="K25" s="99" t="s">
        <v>642</v>
      </c>
      <c r="L25" s="99" t="s">
        <v>642</v>
      </c>
      <c r="M25" s="68"/>
      <c r="N25" s="68"/>
    </row>
    <row r="26" customFormat="false" ht="15" hidden="false" customHeight="false" outlineLevel="0" collapsed="false">
      <c r="A26" s="101" t="s">
        <v>653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</row>
    <row r="27" customFormat="false" ht="15" hidden="false" customHeight="false" outlineLevel="0" collapsed="false">
      <c r="A27" s="95" t="s">
        <v>638</v>
      </c>
      <c r="B27" s="96" t="s">
        <v>651</v>
      </c>
      <c r="C27" s="96" t="s">
        <v>648</v>
      </c>
      <c r="D27" s="96" t="s">
        <v>641</v>
      </c>
      <c r="E27" s="96" t="s">
        <v>654</v>
      </c>
      <c r="F27" s="98" t="n">
        <v>2</v>
      </c>
      <c r="G27" s="98" t="n">
        <v>12</v>
      </c>
      <c r="H27" s="98" t="n">
        <v>384</v>
      </c>
      <c r="I27" s="99" t="n">
        <f aca="false">600+960</f>
        <v>1560</v>
      </c>
      <c r="J27" s="99" t="s">
        <v>652</v>
      </c>
      <c r="K27" s="99" t="s">
        <v>86</v>
      </c>
      <c r="L27" s="99" t="s">
        <v>86</v>
      </c>
      <c r="M27" s="68"/>
      <c r="N27" s="68"/>
    </row>
    <row r="28" customFormat="false" ht="15" hidden="false" customHeight="false" outlineLevel="0" collapsed="false">
      <c r="A28" s="95" t="s">
        <v>644</v>
      </c>
      <c r="B28" s="96" t="s">
        <v>651</v>
      </c>
      <c r="C28" s="96" t="s">
        <v>648</v>
      </c>
      <c r="D28" s="96" t="s">
        <v>641</v>
      </c>
      <c r="E28" s="96" t="s">
        <v>654</v>
      </c>
      <c r="F28" s="98" t="n">
        <v>2</v>
      </c>
      <c r="G28" s="98" t="n">
        <v>12</v>
      </c>
      <c r="H28" s="98" t="n">
        <v>384</v>
      </c>
      <c r="I28" s="99" t="n">
        <f aca="false">600+960</f>
        <v>1560</v>
      </c>
      <c r="J28" s="99" t="s">
        <v>652</v>
      </c>
      <c r="K28" s="99" t="s">
        <v>642</v>
      </c>
      <c r="L28" s="99" t="s">
        <v>642</v>
      </c>
      <c r="M28" s="68"/>
      <c r="N28" s="68"/>
    </row>
    <row r="29" customFormat="false" ht="15" hidden="false" customHeight="false" outlineLevel="0" collapsed="false">
      <c r="A29" s="102" t="s">
        <v>655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</row>
    <row r="30" customFormat="false" ht="15" hidden="false" customHeight="false" outlineLevel="0" collapsed="false">
      <c r="A30" s="95" t="s">
        <v>638</v>
      </c>
      <c r="B30" s="96"/>
      <c r="C30" s="96" t="s">
        <v>655</v>
      </c>
      <c r="D30" s="96"/>
      <c r="E30" s="96"/>
      <c r="F30" s="98"/>
      <c r="G30" s="98"/>
      <c r="H30" s="98"/>
      <c r="I30" s="99" t="n">
        <v>1000</v>
      </c>
      <c r="J30" s="99" t="s">
        <v>643</v>
      </c>
      <c r="K30" s="99"/>
      <c r="L30" s="99" t="s">
        <v>642</v>
      </c>
      <c r="M30" s="68"/>
      <c r="N30" s="68"/>
    </row>
    <row r="31" customFormat="false" ht="15" hidden="false" customHeight="false" outlineLevel="0" collapsed="false">
      <c r="A31" s="95" t="s">
        <v>644</v>
      </c>
      <c r="B31" s="96"/>
      <c r="C31" s="96" t="s">
        <v>655</v>
      </c>
      <c r="D31" s="96"/>
      <c r="E31" s="96"/>
      <c r="F31" s="98"/>
      <c r="G31" s="98"/>
      <c r="H31" s="98"/>
      <c r="I31" s="99" t="n">
        <v>1000</v>
      </c>
      <c r="J31" s="99" t="s">
        <v>646</v>
      </c>
      <c r="K31" s="99"/>
      <c r="L31" s="99" t="s">
        <v>642</v>
      </c>
      <c r="M31" s="68"/>
      <c r="N31" s="68"/>
    </row>
    <row r="32" customFormat="false" ht="15" hidden="false" customHeight="false" outlineLevel="0" collapsed="false">
      <c r="A32" s="95" t="s">
        <v>638</v>
      </c>
      <c r="B32" s="96"/>
      <c r="C32" s="96" t="s">
        <v>655</v>
      </c>
      <c r="D32" s="96"/>
      <c r="E32" s="96"/>
      <c r="F32" s="98"/>
      <c r="G32" s="98"/>
      <c r="H32" s="98"/>
      <c r="I32" s="99" t="n">
        <v>1000</v>
      </c>
      <c r="J32" s="99" t="s">
        <v>645</v>
      </c>
      <c r="K32" s="99"/>
      <c r="L32" s="99" t="s">
        <v>642</v>
      </c>
      <c r="M32" s="68"/>
      <c r="N32" s="68"/>
    </row>
    <row r="33" customFormat="false" ht="15" hidden="false" customHeight="false" outlineLevel="0" collapsed="false">
      <c r="A33" s="95" t="s">
        <v>644</v>
      </c>
      <c r="B33" s="96"/>
      <c r="C33" s="96" t="s">
        <v>655</v>
      </c>
      <c r="D33" s="96"/>
      <c r="E33" s="96"/>
      <c r="F33" s="98"/>
      <c r="G33" s="98"/>
      <c r="H33" s="98"/>
      <c r="I33" s="99" t="n">
        <v>1000</v>
      </c>
      <c r="J33" s="99" t="s">
        <v>645</v>
      </c>
      <c r="K33" s="99"/>
      <c r="L33" s="99" t="s">
        <v>642</v>
      </c>
      <c r="M33" s="68"/>
      <c r="N33" s="68"/>
    </row>
    <row r="35" customFormat="false" ht="15" hidden="false" customHeight="false" outlineLevel="0" collapsed="false">
      <c r="A35" s="103" t="s">
        <v>656</v>
      </c>
    </row>
  </sheetData>
  <mergeCells count="5">
    <mergeCell ref="A9:N9"/>
    <mergeCell ref="A16:N16"/>
    <mergeCell ref="A23:N23"/>
    <mergeCell ref="A26:N26"/>
    <mergeCell ref="A29:N29"/>
  </mergeCells>
  <dataValidations count="12">
    <dataValidation allowBlank="true" errorStyle="stop" operator="between" showDropDown="false" showErrorMessage="true" showInputMessage="true" sqref="J10 J12 J14 J17 J19 J21 J30:J33" type="list">
      <formula1>#ref!</formula1>
      <formula2>0</formula2>
    </dataValidation>
    <dataValidation allowBlank="true" errorStyle="stop" operator="between" showDropDown="false" showErrorMessage="true" showInputMessage="true" sqref="E10:E15 E24:E25 E30:E33" type="list">
      <formula1>'2.3 Сайзинг'!СУБД</formula1>
      <formula2>0</formula2>
    </dataValidation>
    <dataValidation allowBlank="false" errorStyle="stop" operator="between" showDropDown="false" showErrorMessage="true" showInputMessage="false" sqref="B10:B15 B17:B22 B24:B25 B27:B28 B30:B33" type="list">
      <formula1>'2.3 Сайзинг'!Тип_сервера</formula1>
      <formula2>0</formula2>
    </dataValidation>
    <dataValidation allowBlank="false" errorStyle="stop" operator="between" showDropDown="false" showErrorMessage="true" showInputMessage="false" sqref="C10:C15 C17:C22 C24:C25 C27:C28 C30:C33" type="list">
      <formula1>'2.3 Сайзинг'!Назначение</formula1>
      <formula2>0</formula2>
    </dataValidation>
    <dataValidation allowBlank="true" errorStyle="stop" operator="between" showDropDown="false" showErrorMessage="true" showInputMessage="true" sqref="A10:A15 A17:A22 A24:A25 A27:A28 A30:A33" type="list">
      <formula1>'2.3 Сайзинг'!Площадка</formula1>
      <formula2>0</formula2>
    </dataValidation>
    <dataValidation allowBlank="true" errorStyle="stop" operator="between" showDropDown="false" showErrorMessage="true" showInputMessage="true" sqref="E17:E22 E27:E28 D30:D33" type="list">
      <formula1>'2.3 Сайзинг'!Операционная_система</formula1>
      <formula2>0</formula2>
    </dataValidation>
    <dataValidation allowBlank="true" error="Укажите тип сервера" errorStyle="stop" errorTitle="Внимание!" operator="between" showDropDown="false" showErrorMessage="false" showInputMessage="false" sqref="G24:G25 G27:G28 G30:G33" type="list">
      <formula1>'2.3 Сайзинг'!Кол_во_ядер_на_1_CPU</formula1>
      <formula2>0</formula2>
    </dataValidation>
    <dataValidation allowBlank="true" errorStyle="stop" operator="between" showDropDown="false" showErrorMessage="true" showInputMessage="true" sqref="J11 J13 J15 J18 J20 J22 J24:J25 J27:J28" type="list">
      <formula1>'2.3 Сайзинг'!Тип_дисков</formula1>
      <formula2>0</formula2>
    </dataValidation>
    <dataValidation allowBlank="true" error="Укажите тип сервера" errorStyle="stop" errorTitle="Внимание!" operator="between" showDropDown="false" showErrorMessage="false" showInputMessage="false" sqref="F10:F15 F17:F22 F24:F25 F27:F28 F30:F33" type="list">
      <formula1>INDIRECT(B17)</formula1>
      <formula2>0</formula2>
    </dataValidation>
    <dataValidation allowBlank="true" errorStyle="stop" operator="between" showDropDown="false" showErrorMessage="true" showInputMessage="true" sqref="K10:K15 K17:K22 K24:K25 K27:K28 K30:K33" type="list">
      <formula1>'2.3 Сайзинг'!Мониторинг</formula1>
      <formula2>0</formula2>
    </dataValidation>
    <dataValidation allowBlank="true" errorStyle="stop" operator="between" showDropDown="false" showErrorMessage="true" showInputMessage="true" sqref="L10:L15 L17:L22 L24:L25 L27:L28 L30:L33" type="list">
      <formula1>'2.3 Сайзинг'!Резервное_копирование</formula1>
      <formula2>0</formula2>
    </dataValidation>
    <dataValidation allowBlank="true" error="Укажите тип сервера" errorStyle="stop" errorTitle="Внимание!" operator="between" showDropDown="false" showErrorMessage="false" showInputMessage="false" sqref="G10:G15 G17:G22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B80" activeCellId="0" sqref="B80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04" width="5.86"/>
    <col collapsed="false" customWidth="true" hidden="false" outlineLevel="0" max="2" min="2" style="104" width="121.42"/>
    <col collapsed="false" customWidth="true" hidden="false" outlineLevel="0" max="3" min="3" style="104" width="16.57"/>
    <col collapsed="false" customWidth="true" hidden="false" outlineLevel="0" max="4" min="4" style="104" width="16.71"/>
    <col collapsed="false" customWidth="true" hidden="false" outlineLevel="0" max="5" min="5" style="104" width="18.29"/>
    <col collapsed="false" customWidth="true" hidden="false" outlineLevel="0" max="6" min="6" style="104" width="15.71"/>
    <col collapsed="false" customWidth="true" hidden="false" outlineLevel="0" max="7" min="7" style="104" width="13.86"/>
    <col collapsed="false" customWidth="false" hidden="false" outlineLevel="0" max="8" min="8" style="104" width="9.14"/>
    <col collapsed="false" customWidth="true" hidden="false" outlineLevel="0" max="9" min="9" style="104" width="17.86"/>
    <col collapsed="false" customWidth="false" hidden="false" outlineLevel="0" max="16384" min="10" style="104" width="9.14"/>
  </cols>
  <sheetData>
    <row r="1" customFormat="false" ht="15" hidden="false" customHeight="false" outlineLevel="0" collapsed="false">
      <c r="E1" s="54" t="s">
        <v>657</v>
      </c>
    </row>
    <row r="2" customFormat="false" ht="15" hidden="false" customHeight="false" outlineLevel="0" collapsed="false">
      <c r="E2" s="1" t="s">
        <v>1</v>
      </c>
    </row>
    <row r="3" customFormat="false" ht="17.35" hidden="false" customHeight="false" outlineLevel="0" collapsed="false">
      <c r="B3" s="105" t="s">
        <v>658</v>
      </c>
      <c r="C3" s="106"/>
      <c r="D3" s="106"/>
      <c r="E3" s="106"/>
      <c r="F3" s="106"/>
      <c r="G3" s="106"/>
      <c r="H3" s="106"/>
    </row>
    <row r="5" customFormat="false" ht="12.75" hidden="false" customHeight="false" outlineLevel="0" collapsed="false">
      <c r="B5" s="107"/>
    </row>
    <row r="6" customFormat="false" ht="12.75" hidden="false" customHeight="false" outlineLevel="0" collapsed="false">
      <c r="B6" s="108" t="s">
        <v>659</v>
      </c>
    </row>
    <row r="7" customFormat="false" ht="12.75" hidden="false" customHeight="false" outlineLevel="0" collapsed="false">
      <c r="B7" s="108" t="s">
        <v>660</v>
      </c>
      <c r="C7" s="109"/>
      <c r="D7" s="109"/>
    </row>
    <row r="8" customFormat="false" ht="12.75" hidden="false" customHeight="false" outlineLevel="0" collapsed="false">
      <c r="B8" s="108" t="s">
        <v>661</v>
      </c>
      <c r="C8" s="109"/>
      <c r="D8" s="109"/>
    </row>
    <row r="9" customFormat="false" ht="12.75" hidden="false" customHeight="false" outlineLevel="0" collapsed="false">
      <c r="B9" s="108" t="s">
        <v>662</v>
      </c>
      <c r="D9" s="109"/>
      <c r="E9" s="109"/>
    </row>
    <row r="10" customFormat="false" ht="12.75" hidden="false" customHeight="false" outlineLevel="0" collapsed="false">
      <c r="B10" s="108" t="s">
        <v>663</v>
      </c>
      <c r="C10" s="109"/>
      <c r="D10" s="109"/>
    </row>
    <row r="11" customFormat="false" ht="12.75" hidden="false" customHeight="false" outlineLevel="0" collapsed="false">
      <c r="B11" s="108" t="s">
        <v>664</v>
      </c>
      <c r="C11" s="109"/>
      <c r="D11" s="109"/>
    </row>
    <row r="12" customFormat="false" ht="12.75" hidden="false" customHeight="false" outlineLevel="0" collapsed="false">
      <c r="B12" s="108" t="s">
        <v>665</v>
      </c>
      <c r="C12" s="109"/>
      <c r="D12" s="109"/>
    </row>
    <row r="13" customFormat="false" ht="12.75" hidden="false" customHeight="false" outlineLevel="0" collapsed="false">
      <c r="B13" s="109"/>
    </row>
    <row r="14" customFormat="false" ht="12.75" hidden="false" customHeight="false" outlineLevel="0" collapsed="false">
      <c r="B14" s="110" t="s">
        <v>666</v>
      </c>
    </row>
    <row r="15" customFormat="false" ht="20.85" hidden="false" customHeight="false" outlineLevel="0" collapsed="false">
      <c r="B15" s="109" t="s">
        <v>667</v>
      </c>
    </row>
    <row r="16" customFormat="false" ht="12.75" hidden="false" customHeight="false" outlineLevel="0" collapsed="false">
      <c r="B16" s="109"/>
    </row>
    <row r="17" customFormat="false" ht="12.75" hidden="false" customHeight="false" outlineLevel="0" collapsed="false">
      <c r="B17" s="107"/>
    </row>
    <row r="19" customFormat="false" ht="13.8" hidden="false" customHeight="false" outlineLevel="0" collapsed="false">
      <c r="B19" s="111" t="s">
        <v>668</v>
      </c>
    </row>
    <row r="20" customFormat="false" ht="30.55" hidden="false" customHeight="false" outlineLevel="0" collapsed="false">
      <c r="B20" s="112" t="s">
        <v>669</v>
      </c>
      <c r="C20" s="112" t="s">
        <v>670</v>
      </c>
      <c r="D20" s="113" t="s">
        <v>671</v>
      </c>
    </row>
    <row r="21" customFormat="false" ht="40.25" hidden="false" customHeight="false" outlineLevel="0" collapsed="false">
      <c r="B21" s="114" t="s">
        <v>672</v>
      </c>
      <c r="C21" s="115" t="s">
        <v>673</v>
      </c>
      <c r="D21" s="116"/>
    </row>
    <row r="22" customFormat="false" ht="12.75" hidden="false" customHeight="false" outlineLevel="0" collapsed="false">
      <c r="B22" s="117"/>
      <c r="C22" s="118"/>
      <c r="D22" s="119"/>
    </row>
    <row r="23" customFormat="false" ht="12.75" hidden="false" customHeight="true" outlineLevel="0" collapsed="false">
      <c r="B23" s="117"/>
      <c r="C23" s="118"/>
    </row>
    <row r="24" s="122" customFormat="true" ht="15" hidden="false" customHeight="false" outlineLevel="0" collapsed="false">
      <c r="A24" s="120"/>
      <c r="B24" s="111" t="s">
        <v>674</v>
      </c>
      <c r="C24" s="121"/>
      <c r="D24" s="121"/>
    </row>
    <row r="25" s="122" customFormat="true" ht="15" hidden="false" customHeight="false" outlineLevel="0" collapsed="false">
      <c r="A25" s="120"/>
      <c r="B25" s="123" t="s">
        <v>675</v>
      </c>
      <c r="C25" s="121"/>
      <c r="D25" s="121"/>
    </row>
    <row r="26" s="122" customFormat="true" ht="40.25" hidden="false" customHeight="false" outlineLevel="0" collapsed="false">
      <c r="A26" s="120"/>
      <c r="B26" s="124" t="s">
        <v>676</v>
      </c>
      <c r="C26" s="113" t="s">
        <v>670</v>
      </c>
      <c r="D26" s="113" t="s">
        <v>677</v>
      </c>
      <c r="E26" s="113" t="s">
        <v>671</v>
      </c>
    </row>
    <row r="27" s="122" customFormat="true" ht="40.25" hidden="false" customHeight="false" outlineLevel="0" collapsed="false">
      <c r="A27" s="120"/>
      <c r="B27" s="114" t="s">
        <v>678</v>
      </c>
      <c r="C27" s="123" t="s">
        <v>673</v>
      </c>
      <c r="D27" s="123" t="n">
        <v>30</v>
      </c>
      <c r="E27" s="125"/>
    </row>
    <row r="28" s="122" customFormat="true" ht="15" hidden="false" customHeight="false" outlineLevel="0" collapsed="false">
      <c r="A28" s="120"/>
      <c r="B28" s="114" t="s">
        <v>679</v>
      </c>
      <c r="C28" s="123" t="s">
        <v>680</v>
      </c>
      <c r="D28" s="123"/>
      <c r="E28" s="125"/>
    </row>
    <row r="29" s="122" customFormat="true" ht="15" hidden="false" customHeight="false" outlineLevel="0" collapsed="false">
      <c r="A29" s="120"/>
      <c r="B29" s="114" t="s">
        <v>681</v>
      </c>
      <c r="C29" s="123" t="s">
        <v>680</v>
      </c>
      <c r="D29" s="123"/>
      <c r="E29" s="125"/>
    </row>
    <row r="30" s="122" customFormat="true" ht="15" hidden="false" customHeight="false" outlineLevel="0" collapsed="false">
      <c r="A30" s="120"/>
      <c r="B30" s="114" t="s">
        <v>682</v>
      </c>
      <c r="C30" s="123" t="s">
        <v>673</v>
      </c>
      <c r="D30" s="123"/>
      <c r="E30" s="125"/>
    </row>
    <row r="31" s="122" customFormat="true" ht="15" hidden="false" customHeight="false" outlineLevel="0" collapsed="false">
      <c r="A31" s="120"/>
      <c r="B31" s="114" t="s">
        <v>683</v>
      </c>
      <c r="C31" s="123" t="s">
        <v>680</v>
      </c>
      <c r="D31" s="123"/>
      <c r="E31" s="125"/>
    </row>
    <row r="32" s="122" customFormat="true" ht="15" hidden="false" customHeight="false" outlineLevel="0" collapsed="false">
      <c r="A32" s="120"/>
      <c r="B32" s="114" t="s">
        <v>684</v>
      </c>
      <c r="C32" s="123" t="s">
        <v>673</v>
      </c>
      <c r="D32" s="123"/>
      <c r="E32" s="125"/>
    </row>
    <row r="33" s="122" customFormat="true" ht="15" hidden="false" customHeight="false" outlineLevel="0" collapsed="false">
      <c r="A33" s="120"/>
      <c r="B33" s="117"/>
      <c r="C33" s="126"/>
      <c r="D33" s="126"/>
      <c r="E33" s="127"/>
    </row>
    <row r="34" customFormat="false" ht="12.75" hidden="false" customHeight="false" outlineLevel="0" collapsed="false">
      <c r="B34" s="117"/>
      <c r="C34" s="118"/>
    </row>
    <row r="35" customFormat="false" ht="13.8" hidden="false" customHeight="false" outlineLevel="0" collapsed="false">
      <c r="B35" s="111" t="s">
        <v>685</v>
      </c>
      <c r="C35" s="128"/>
      <c r="D35" s="129"/>
      <c r="E35" s="129"/>
    </row>
    <row r="36" customFormat="false" ht="30.55" hidden="false" customHeight="false" outlineLevel="0" collapsed="false">
      <c r="B36" s="112" t="s">
        <v>676</v>
      </c>
      <c r="C36" s="112" t="s">
        <v>670</v>
      </c>
      <c r="D36" s="113" t="s">
        <v>686</v>
      </c>
      <c r="E36" s="113" t="s">
        <v>671</v>
      </c>
    </row>
    <row r="37" customFormat="false" ht="12.75" hidden="false" customHeight="false" outlineLevel="0" collapsed="false">
      <c r="B37" s="114" t="s">
        <v>687</v>
      </c>
      <c r="C37" s="115" t="s">
        <v>673</v>
      </c>
      <c r="D37" s="115"/>
      <c r="E37" s="130"/>
    </row>
    <row r="38" customFormat="false" ht="12.75" hidden="false" customHeight="false" outlineLevel="0" collapsed="false">
      <c r="B38" s="114" t="s">
        <v>688</v>
      </c>
      <c r="C38" s="115" t="s">
        <v>680</v>
      </c>
      <c r="D38" s="115"/>
      <c r="E38" s="130"/>
    </row>
    <row r="39" customFormat="false" ht="59.7" hidden="false" customHeight="false" outlineLevel="0" collapsed="false">
      <c r="B39" s="114" t="s">
        <v>689</v>
      </c>
      <c r="C39" s="115" t="s">
        <v>673</v>
      </c>
      <c r="D39" s="112" t="s">
        <v>690</v>
      </c>
      <c r="E39" s="130"/>
    </row>
    <row r="40" customFormat="false" ht="12.75" hidden="false" customHeight="false" outlineLevel="0" collapsed="false">
      <c r="B40" s="114" t="s">
        <v>691</v>
      </c>
      <c r="C40" s="115" t="s">
        <v>680</v>
      </c>
      <c r="D40" s="115"/>
      <c r="E40" s="130"/>
    </row>
    <row r="41" customFormat="false" ht="30.55" hidden="false" customHeight="false" outlineLevel="0" collapsed="false">
      <c r="B41" s="114" t="s">
        <v>692</v>
      </c>
      <c r="C41" s="115" t="s">
        <v>673</v>
      </c>
      <c r="D41" s="112" t="s">
        <v>690</v>
      </c>
      <c r="E41" s="130"/>
    </row>
    <row r="42" customFormat="false" ht="12.75" hidden="false" customHeight="false" outlineLevel="0" collapsed="false">
      <c r="B42" s="114" t="s">
        <v>693</v>
      </c>
      <c r="C42" s="115" t="s">
        <v>680</v>
      </c>
      <c r="D42" s="115"/>
      <c r="E42" s="130"/>
    </row>
    <row r="43" customFormat="false" ht="12.75" hidden="false" customHeight="false" outlineLevel="0" collapsed="false">
      <c r="B43" s="117"/>
      <c r="C43" s="118"/>
      <c r="D43" s="118"/>
      <c r="E43" s="129"/>
    </row>
    <row r="44" customFormat="false" ht="12.75" hidden="false" customHeight="false" outlineLevel="0" collapsed="false">
      <c r="B44" s="131"/>
      <c r="C44" s="118"/>
    </row>
    <row r="45" customFormat="false" ht="23.85" hidden="false" customHeight="false" outlineLevel="0" collapsed="false">
      <c r="B45" s="111" t="s">
        <v>694</v>
      </c>
    </row>
    <row r="46" customFormat="false" ht="20.85" hidden="false" customHeight="false" outlineLevel="0" collapsed="false">
      <c r="B46" s="132" t="s">
        <v>695</v>
      </c>
    </row>
    <row r="47" customFormat="false" ht="30.55" hidden="false" customHeight="false" outlineLevel="0" collapsed="false">
      <c r="B47" s="112" t="s">
        <v>696</v>
      </c>
      <c r="C47" s="112" t="s">
        <v>670</v>
      </c>
      <c r="D47" s="113" t="s">
        <v>686</v>
      </c>
      <c r="E47" s="113" t="s">
        <v>671</v>
      </c>
    </row>
    <row r="48" customFormat="false" ht="12.75" hidden="false" customHeight="false" outlineLevel="0" collapsed="false">
      <c r="B48" s="114" t="s">
        <v>697</v>
      </c>
      <c r="C48" s="115" t="s">
        <v>680</v>
      </c>
      <c r="D48" s="133"/>
      <c r="E48" s="134"/>
    </row>
    <row r="49" customFormat="false" ht="12.75" hidden="false" customHeight="false" outlineLevel="0" collapsed="false">
      <c r="B49" s="114" t="s">
        <v>698</v>
      </c>
      <c r="C49" s="115" t="s">
        <v>699</v>
      </c>
      <c r="D49" s="133"/>
      <c r="E49" s="134"/>
    </row>
    <row r="50" customFormat="false" ht="12.75" hidden="false" customHeight="false" outlineLevel="0" collapsed="false">
      <c r="B50" s="114" t="s">
        <v>700</v>
      </c>
      <c r="C50" s="115" t="s">
        <v>680</v>
      </c>
      <c r="D50" s="115"/>
      <c r="E50" s="134"/>
    </row>
    <row r="51" customFormat="false" ht="12.75" hidden="false" customHeight="false" outlineLevel="0" collapsed="false">
      <c r="B51" s="114" t="s">
        <v>701</v>
      </c>
      <c r="C51" s="115" t="s">
        <v>699</v>
      </c>
      <c r="D51" s="115"/>
      <c r="E51" s="134"/>
    </row>
    <row r="52" customFormat="false" ht="12.75" hidden="false" customHeight="false" outlineLevel="0" collapsed="false">
      <c r="B52" s="114" t="s">
        <v>702</v>
      </c>
      <c r="C52" s="115" t="s">
        <v>680</v>
      </c>
      <c r="D52" s="115"/>
      <c r="E52" s="134"/>
    </row>
    <row r="53" customFormat="false" ht="12.75" hidden="false" customHeight="false" outlineLevel="0" collapsed="false">
      <c r="B53" s="114" t="s">
        <v>703</v>
      </c>
      <c r="C53" s="115" t="s">
        <v>699</v>
      </c>
      <c r="D53" s="115"/>
      <c r="E53" s="134"/>
    </row>
    <row r="54" customFormat="false" ht="12.75" hidden="false" customHeight="false" outlineLevel="0" collapsed="false">
      <c r="B54" s="114" t="s">
        <v>704</v>
      </c>
      <c r="C54" s="115" t="s">
        <v>673</v>
      </c>
      <c r="D54" s="115"/>
      <c r="E54" s="134"/>
    </row>
    <row r="55" customFormat="false" ht="12.75" hidden="false" customHeight="true" outlineLevel="0" collapsed="false">
      <c r="B55" s="114" t="s">
        <v>705</v>
      </c>
      <c r="C55" s="115" t="s">
        <v>699</v>
      </c>
      <c r="D55" s="115"/>
      <c r="E55" s="134"/>
    </row>
    <row r="56" customFormat="false" ht="12.75" hidden="false" customHeight="true" outlineLevel="0" collapsed="false">
      <c r="B56" s="114" t="s">
        <v>706</v>
      </c>
      <c r="C56" s="115" t="s">
        <v>673</v>
      </c>
      <c r="D56" s="112" t="s">
        <v>707</v>
      </c>
      <c r="E56" s="134"/>
    </row>
    <row r="57" customFormat="false" ht="12.75" hidden="false" customHeight="false" outlineLevel="0" collapsed="false">
      <c r="B57" s="114" t="s">
        <v>708</v>
      </c>
      <c r="C57" s="115" t="s">
        <v>673</v>
      </c>
      <c r="D57" s="112"/>
      <c r="E57" s="134"/>
    </row>
    <row r="58" customFormat="false" ht="12.75" hidden="false" customHeight="false" outlineLevel="0" collapsed="false">
      <c r="B58" s="114" t="s">
        <v>709</v>
      </c>
      <c r="C58" s="115" t="s">
        <v>673</v>
      </c>
      <c r="D58" s="112"/>
      <c r="E58" s="134"/>
    </row>
    <row r="59" customFormat="false" ht="16.5" hidden="false" customHeight="true" outlineLevel="0" collapsed="false">
      <c r="B59" s="114" t="s">
        <v>710</v>
      </c>
      <c r="C59" s="115" t="s">
        <v>673</v>
      </c>
      <c r="D59" s="112"/>
      <c r="E59" s="134"/>
    </row>
    <row r="60" customFormat="false" ht="12.75" hidden="false" customHeight="false" outlineLevel="0" collapsed="false">
      <c r="B60" s="114" t="s">
        <v>711</v>
      </c>
      <c r="C60" s="115" t="s">
        <v>680</v>
      </c>
      <c r="D60" s="112"/>
      <c r="E60" s="134"/>
    </row>
    <row r="61" customFormat="false" ht="20.85" hidden="false" customHeight="false" outlineLevel="0" collapsed="false">
      <c r="B61" s="114" t="s">
        <v>712</v>
      </c>
      <c r="C61" s="115" t="s">
        <v>699</v>
      </c>
      <c r="D61" s="112"/>
      <c r="E61" s="134"/>
    </row>
    <row r="62" customFormat="false" ht="12.75" hidden="false" customHeight="false" outlineLevel="0" collapsed="false">
      <c r="B62" s="114" t="s">
        <v>713</v>
      </c>
      <c r="C62" s="115" t="s">
        <v>699</v>
      </c>
      <c r="D62" s="112"/>
      <c r="E62" s="134"/>
    </row>
    <row r="63" customFormat="false" ht="59.7" hidden="false" customHeight="false" outlineLevel="0" collapsed="false">
      <c r="B63" s="114" t="s">
        <v>714</v>
      </c>
      <c r="C63" s="115" t="s">
        <v>699</v>
      </c>
      <c r="D63" s="112"/>
      <c r="E63" s="134"/>
    </row>
    <row r="64" customFormat="false" ht="12.75" hidden="false" customHeight="false" outlineLevel="0" collapsed="false">
      <c r="B64" s="114" t="s">
        <v>715</v>
      </c>
      <c r="C64" s="115" t="s">
        <v>673</v>
      </c>
      <c r="D64" s="115"/>
      <c r="E64" s="134"/>
    </row>
    <row r="65" customFormat="false" ht="12.75" hidden="false" customHeight="false" outlineLevel="0" collapsed="false">
      <c r="B65" s="117"/>
      <c r="C65" s="118"/>
      <c r="D65" s="118"/>
      <c r="E65" s="118"/>
      <c r="F65" s="135"/>
    </row>
    <row r="66" customFormat="false" ht="12.75" hidden="false" customHeight="false" outlineLevel="0" collapsed="false">
      <c r="C66" s="129"/>
    </row>
    <row r="67" customFormat="false" ht="12.75" hidden="false" customHeight="false" outlineLevel="0" collapsed="false">
      <c r="B67" s="136"/>
      <c r="C67" s="129"/>
      <c r="D67" s="129"/>
      <c r="E67" s="129"/>
    </row>
    <row r="68" customFormat="false" ht="13.8" hidden="false" customHeight="false" outlineLevel="0" collapsed="false">
      <c r="B68" s="111" t="s">
        <v>716</v>
      </c>
      <c r="C68" s="137"/>
      <c r="D68" s="137"/>
      <c r="E68" s="137"/>
    </row>
    <row r="69" customFormat="false" ht="59.7" hidden="false" customHeight="false" outlineLevel="0" collapsed="false">
      <c r="B69" s="138" t="s">
        <v>717</v>
      </c>
      <c r="D69" s="129"/>
      <c r="E69" s="129"/>
    </row>
    <row r="70" customFormat="false" ht="12.75" hidden="false" customHeight="false" outlineLevel="0" collapsed="false">
      <c r="B70" s="112" t="s">
        <v>696</v>
      </c>
      <c r="C70" s="112" t="s">
        <v>670</v>
      </c>
      <c r="D70" s="129"/>
      <c r="E70" s="129"/>
    </row>
    <row r="71" customFormat="false" ht="40.25" hidden="false" customHeight="false" outlineLevel="0" collapsed="false">
      <c r="B71" s="139" t="s">
        <v>718</v>
      </c>
      <c r="C71" s="115" t="s">
        <v>699</v>
      </c>
      <c r="D71" s="129"/>
      <c r="E71" s="129"/>
    </row>
    <row r="72" customFormat="false" ht="12.75" hidden="false" customHeight="false" outlineLevel="0" collapsed="false">
      <c r="B72" s="139" t="s">
        <v>719</v>
      </c>
      <c r="C72" s="115" t="s">
        <v>673</v>
      </c>
      <c r="D72" s="129"/>
      <c r="E72" s="129"/>
    </row>
    <row r="73" customFormat="false" ht="12.75" hidden="false" customHeight="false" outlineLevel="0" collapsed="false">
      <c r="B73" s="139" t="s">
        <v>720</v>
      </c>
      <c r="C73" s="115" t="s">
        <v>680</v>
      </c>
      <c r="D73" s="129"/>
      <c r="E73" s="129"/>
    </row>
    <row r="74" customFormat="false" ht="12.75" hidden="false" customHeight="false" outlineLevel="0" collapsed="false">
      <c r="B74" s="139" t="s">
        <v>721</v>
      </c>
      <c r="C74" s="115" t="s">
        <v>699</v>
      </c>
      <c r="D74" s="129"/>
      <c r="E74" s="129"/>
    </row>
    <row r="75" customFormat="false" ht="12.75" hidden="false" customHeight="false" outlineLevel="0" collapsed="false">
      <c r="B75" s="139" t="s">
        <v>722</v>
      </c>
      <c r="C75" s="115" t="s">
        <v>673</v>
      </c>
      <c r="D75" s="129"/>
      <c r="E75" s="129"/>
    </row>
    <row r="76" customFormat="false" ht="12.75" hidden="false" customHeight="false" outlineLevel="0" collapsed="false">
      <c r="B76" s="139" t="s">
        <v>723</v>
      </c>
      <c r="C76" s="115" t="s">
        <v>673</v>
      </c>
      <c r="D76" s="129"/>
      <c r="E76" s="129"/>
    </row>
    <row r="77" customFormat="false" ht="12.75" hidden="false" customHeight="false" outlineLevel="0" collapsed="false">
      <c r="B77" s="139" t="s">
        <v>724</v>
      </c>
      <c r="C77" s="115" t="s">
        <v>673</v>
      </c>
    </row>
  </sheetData>
  <mergeCells count="5">
    <mergeCell ref="D27:D32"/>
    <mergeCell ref="E27:E32"/>
    <mergeCell ref="E37:E42"/>
    <mergeCell ref="E48:E64"/>
    <mergeCell ref="D56:D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39.0039062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76.42"/>
    <col collapsed="false" customWidth="true" hidden="false" outlineLevel="0" max="3" min="3" style="0" width="40.71"/>
    <col collapsed="false" customWidth="true" hidden="false" outlineLevel="0" max="5" min="5" style="0" width="61.42"/>
  </cols>
  <sheetData>
    <row r="1" s="140" customFormat="true" ht="15" hidden="false" customHeight="false" outlineLevel="0" collapsed="false">
      <c r="E1" s="141" t="s">
        <v>725</v>
      </c>
      <c r="F1" s="142"/>
    </row>
    <row r="2" s="140" customFormat="true" ht="15" hidden="false" customHeight="false" outlineLevel="0" collapsed="false">
      <c r="E2" s="1" t="s">
        <v>1</v>
      </c>
      <c r="F2" s="142"/>
    </row>
    <row r="3" s="140" customFormat="true" ht="15" hidden="false" customHeight="false" outlineLevel="0" collapsed="false">
      <c r="F3" s="142"/>
    </row>
    <row r="4" s="140" customFormat="true" ht="17.35" hidden="false" customHeight="false" outlineLevel="0" collapsed="false">
      <c r="B4" s="143" t="s">
        <v>726</v>
      </c>
      <c r="C4" s="143"/>
      <c r="D4" s="143"/>
      <c r="E4" s="143"/>
      <c r="F4" s="142"/>
    </row>
    <row r="8" customFormat="false" ht="15" hidden="false" customHeight="false" outlineLevel="0" collapsed="false">
      <c r="A8" s="144" t="s">
        <v>53</v>
      </c>
      <c r="B8" s="144" t="s">
        <v>727</v>
      </c>
      <c r="C8" s="144" t="s">
        <v>728</v>
      </c>
      <c r="D8" s="144" t="s">
        <v>729</v>
      </c>
      <c r="E8" s="144" t="s">
        <v>730</v>
      </c>
    </row>
    <row r="9" customFormat="false" ht="23.85" hidden="false" customHeight="true" outlineLevel="0" collapsed="false">
      <c r="A9" s="145" t="n">
        <v>1</v>
      </c>
      <c r="B9" s="146" t="s">
        <v>731</v>
      </c>
      <c r="C9" s="147" t="s">
        <v>732</v>
      </c>
      <c r="D9" s="147" t="s">
        <v>733</v>
      </c>
      <c r="E9" s="147" t="s">
        <v>734</v>
      </c>
    </row>
    <row r="10" customFormat="false" ht="15" hidden="false" customHeight="false" outlineLevel="0" collapsed="false">
      <c r="A10" s="145"/>
      <c r="B10" s="146"/>
      <c r="C10" s="147" t="s">
        <v>735</v>
      </c>
      <c r="D10" s="147" t="s">
        <v>736</v>
      </c>
      <c r="E10" s="147" t="s">
        <v>734</v>
      </c>
    </row>
    <row r="11" customFormat="false" ht="15" hidden="false" customHeight="false" outlineLevel="0" collapsed="false">
      <c r="A11" s="145" t="n">
        <v>2</v>
      </c>
      <c r="B11" s="146" t="s">
        <v>737</v>
      </c>
      <c r="C11" s="147" t="s">
        <v>738</v>
      </c>
      <c r="D11" s="147" t="s">
        <v>738</v>
      </c>
      <c r="E11" s="147" t="s">
        <v>738</v>
      </c>
    </row>
    <row r="12" customFormat="false" ht="15" hidden="false" customHeight="false" outlineLevel="0" collapsed="false">
      <c r="A12" s="145" t="n">
        <v>3</v>
      </c>
      <c r="B12" s="146" t="s">
        <v>739</v>
      </c>
      <c r="C12" s="147" t="s">
        <v>740</v>
      </c>
      <c r="D12" s="147" t="s">
        <v>741</v>
      </c>
      <c r="E12" s="147" t="s">
        <v>742</v>
      </c>
    </row>
    <row r="13" customFormat="false" ht="15" hidden="false" customHeight="false" outlineLevel="0" collapsed="false">
      <c r="A13" s="148" t="n">
        <v>4</v>
      </c>
      <c r="B13" s="146" t="s">
        <v>743</v>
      </c>
      <c r="C13" s="147" t="s">
        <v>744</v>
      </c>
      <c r="D13" s="149" t="s">
        <v>249</v>
      </c>
      <c r="E13" s="147" t="s">
        <v>745</v>
      </c>
    </row>
    <row r="14" customFormat="false" ht="23.85" hidden="false" customHeight="false" outlineLevel="0" collapsed="false">
      <c r="A14" s="148" t="n">
        <v>5</v>
      </c>
      <c r="B14" s="146" t="s">
        <v>746</v>
      </c>
      <c r="C14" s="147" t="s">
        <v>747</v>
      </c>
      <c r="D14" s="147" t="s">
        <v>748</v>
      </c>
      <c r="E14" s="147" t="s">
        <v>749</v>
      </c>
    </row>
    <row r="15" customFormat="false" ht="23.85" hidden="false" customHeight="false" outlineLevel="0" collapsed="false">
      <c r="A15" s="148" t="n">
        <v>6</v>
      </c>
      <c r="B15" s="146" t="s">
        <v>750</v>
      </c>
      <c r="C15" s="145" t="s">
        <v>751</v>
      </c>
      <c r="D15" s="145" t="s">
        <v>748</v>
      </c>
      <c r="E15" s="145" t="s">
        <v>752</v>
      </c>
    </row>
    <row r="16" customFormat="false" ht="23.85" hidden="false" customHeight="false" outlineLevel="0" collapsed="false">
      <c r="A16" s="148" t="n">
        <v>7</v>
      </c>
      <c r="B16" s="146" t="s">
        <v>753</v>
      </c>
      <c r="C16" s="147" t="s">
        <v>754</v>
      </c>
      <c r="D16" s="147" t="s">
        <v>754</v>
      </c>
      <c r="E16" s="147" t="s">
        <v>755</v>
      </c>
    </row>
  </sheetData>
  <mergeCells count="3">
    <mergeCell ref="B4:E4"/>
    <mergeCell ref="A9:A10"/>
    <mergeCell ref="B9:B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true"/>
  </sheetPr>
  <dimension ref="B1:G91"/>
  <sheetViews>
    <sheetView showFormulas="false" showGridLines="true" showRowColHeaders="true" showZeros="true" rightToLeft="false" tabSelected="false" showOutlineSymbols="true" defaultGridColor="true" view="normal" topLeftCell="A31" colorId="64" zoomScale="85" zoomScaleNormal="85" zoomScalePageLayoutView="80" workbookViewId="0">
      <selection pane="topLeft" activeCell="C45" activeCellId="0" sqref="C45"/>
    </sheetView>
  </sheetViews>
  <sheetFormatPr defaultColWidth="8.859375" defaultRowHeight="15" customHeight="true" zeroHeight="false" outlineLevelRow="0" outlineLevelCol="0"/>
  <cols>
    <col collapsed="false" customWidth="false" hidden="false" outlineLevel="0" max="1" min="1" style="150" width="8.86"/>
    <col collapsed="false" customWidth="true" hidden="false" outlineLevel="0" max="2" min="2" style="150" width="13.86"/>
    <col collapsed="false" customWidth="true" hidden="false" outlineLevel="0" max="3" min="3" style="150" width="116.85"/>
    <col collapsed="false" customWidth="true" hidden="false" outlineLevel="0" max="4" min="4" style="150" width="24.57"/>
    <col collapsed="false" customWidth="true" hidden="false" outlineLevel="0" max="5" min="5" style="150" width="27.71"/>
    <col collapsed="false" customWidth="true" hidden="false" outlineLevel="0" max="6" min="6" style="151" width="28.29"/>
    <col collapsed="false" customWidth="true" hidden="false" outlineLevel="0" max="7" min="7" style="150" width="17.86"/>
    <col collapsed="false" customWidth="true" hidden="false" outlineLevel="0" max="8" min="8" style="150" width="6.14"/>
    <col collapsed="false" customWidth="false" hidden="false" outlineLevel="0" max="10" min="9" style="150" width="8.86"/>
    <col collapsed="false" customWidth="true" hidden="false" outlineLevel="0" max="11" min="11" style="150" width="14.14"/>
    <col collapsed="false" customWidth="false" hidden="false" outlineLevel="0" max="16384" min="12" style="150" width="8.86"/>
  </cols>
  <sheetData>
    <row r="1" customFormat="false" ht="15" hidden="false" customHeight="false" outlineLevel="0" collapsed="false">
      <c r="E1" s="1" t="s">
        <v>756</v>
      </c>
    </row>
    <row r="2" customFormat="false" ht="15" hidden="false" customHeight="false" outlineLevel="0" collapsed="false">
      <c r="E2" s="1" t="s">
        <v>1</v>
      </c>
    </row>
    <row r="4" customFormat="false" ht="17.35" hidden="false" customHeight="false" outlineLevel="0" collapsed="false">
      <c r="C4" s="143" t="s">
        <v>757</v>
      </c>
      <c r="D4" s="143"/>
      <c r="E4" s="143"/>
    </row>
    <row r="5" customFormat="false" ht="17.35" hidden="false" customHeight="false" outlineLevel="0" collapsed="false">
      <c r="C5" s="152"/>
      <c r="D5" s="153"/>
      <c r="E5" s="153"/>
    </row>
    <row r="6" customFormat="false" ht="17.35" hidden="false" customHeight="false" outlineLevel="0" collapsed="false">
      <c r="C6" s="90"/>
      <c r="D6" s="90"/>
      <c r="E6" s="90"/>
    </row>
    <row r="7" customFormat="false" ht="41.75" hidden="false" customHeight="false" outlineLevel="0" collapsed="false">
      <c r="B7" s="154" t="s">
        <v>53</v>
      </c>
      <c r="C7" s="144" t="s">
        <v>758</v>
      </c>
      <c r="D7" s="155" t="s">
        <v>759</v>
      </c>
      <c r="E7" s="155" t="s">
        <v>83</v>
      </c>
      <c r="F7" s="156"/>
    </row>
    <row r="8" customFormat="false" ht="28.35" hidden="false" customHeight="false" outlineLevel="0" collapsed="false">
      <c r="B8" s="157" t="n">
        <v>1</v>
      </c>
      <c r="C8" s="158" t="s">
        <v>760</v>
      </c>
      <c r="D8" s="159"/>
      <c r="E8" s="160"/>
      <c r="F8" s="161"/>
    </row>
    <row r="9" customFormat="false" ht="41.75" hidden="false" customHeight="false" outlineLevel="0" collapsed="false">
      <c r="B9" s="157" t="n">
        <v>2</v>
      </c>
      <c r="C9" s="158" t="s">
        <v>761</v>
      </c>
      <c r="D9" s="159"/>
      <c r="E9" s="160"/>
      <c r="F9" s="161"/>
    </row>
    <row r="10" customFormat="false" ht="28.35" hidden="false" customHeight="false" outlineLevel="0" collapsed="false">
      <c r="B10" s="157" t="n">
        <v>3</v>
      </c>
      <c r="C10" s="158" t="s">
        <v>762</v>
      </c>
      <c r="D10" s="159"/>
      <c r="E10" s="160"/>
      <c r="F10" s="161"/>
    </row>
    <row r="11" customFormat="false" ht="28.35" hidden="false" customHeight="false" outlineLevel="0" collapsed="false">
      <c r="B11" s="157" t="n">
        <v>4</v>
      </c>
      <c r="C11" s="162" t="s">
        <v>763</v>
      </c>
      <c r="D11" s="159"/>
      <c r="E11" s="160"/>
      <c r="F11" s="163"/>
    </row>
    <row r="12" customFormat="false" ht="15" hidden="false" customHeight="false" outlineLevel="0" collapsed="false">
      <c r="B12" s="164" t="n">
        <v>5</v>
      </c>
      <c r="C12" s="158" t="s">
        <v>764</v>
      </c>
      <c r="D12" s="165"/>
      <c r="E12" s="165"/>
      <c r="F12" s="166"/>
    </row>
    <row r="13" customFormat="false" ht="28.35" hidden="false" customHeight="false" outlineLevel="0" collapsed="false">
      <c r="B13" s="164"/>
      <c r="C13" s="158" t="s">
        <v>765</v>
      </c>
      <c r="D13" s="165"/>
      <c r="E13" s="165"/>
      <c r="F13" s="166"/>
    </row>
    <row r="14" customFormat="false" ht="15" hidden="false" customHeight="false" outlineLevel="0" collapsed="false">
      <c r="B14" s="164"/>
      <c r="C14" s="158" t="s">
        <v>766</v>
      </c>
      <c r="D14" s="165"/>
      <c r="E14" s="165"/>
      <c r="F14" s="166"/>
    </row>
    <row r="15" customFormat="false" ht="15" hidden="false" customHeight="false" outlineLevel="0" collapsed="false">
      <c r="B15" s="164"/>
      <c r="C15" s="158" t="s">
        <v>767</v>
      </c>
      <c r="D15" s="165"/>
      <c r="E15" s="165"/>
      <c r="F15" s="166"/>
    </row>
    <row r="16" customFormat="false" ht="28.35" hidden="false" customHeight="false" outlineLevel="0" collapsed="false">
      <c r="B16" s="164"/>
      <c r="C16" s="158" t="s">
        <v>768</v>
      </c>
      <c r="D16" s="165"/>
      <c r="E16" s="165"/>
      <c r="F16" s="166"/>
    </row>
    <row r="17" customFormat="false" ht="28.35" hidden="false" customHeight="false" outlineLevel="0" collapsed="false">
      <c r="B17" s="164"/>
      <c r="C17" s="158" t="s">
        <v>769</v>
      </c>
      <c r="D17" s="165"/>
      <c r="E17" s="165"/>
      <c r="F17" s="166"/>
    </row>
    <row r="18" customFormat="false" ht="15" hidden="false" customHeight="false" outlineLevel="0" collapsed="false">
      <c r="B18" s="164"/>
      <c r="C18" s="158" t="s">
        <v>770</v>
      </c>
      <c r="D18" s="165"/>
      <c r="E18" s="165"/>
      <c r="F18" s="166"/>
    </row>
    <row r="19" customFormat="false" ht="108.95" hidden="false" customHeight="false" outlineLevel="0" collapsed="false">
      <c r="B19" s="164"/>
      <c r="C19" s="167" t="s">
        <v>771</v>
      </c>
      <c r="D19" s="165"/>
      <c r="E19" s="165"/>
      <c r="F19" s="166"/>
    </row>
    <row r="20" customFormat="false" ht="15" hidden="false" customHeight="false" outlineLevel="0" collapsed="false">
      <c r="B20" s="164"/>
      <c r="C20" s="158" t="s">
        <v>772</v>
      </c>
      <c r="D20" s="165"/>
      <c r="E20" s="165"/>
      <c r="F20" s="166"/>
    </row>
    <row r="21" customFormat="false" ht="15" hidden="false" customHeight="false" outlineLevel="0" collapsed="false">
      <c r="B21" s="164"/>
      <c r="C21" s="158" t="s">
        <v>773</v>
      </c>
      <c r="D21" s="165"/>
      <c r="E21" s="165"/>
      <c r="F21" s="166"/>
    </row>
    <row r="22" customFormat="false" ht="15" hidden="false" customHeight="false" outlineLevel="0" collapsed="false">
      <c r="B22" s="164"/>
      <c r="C22" s="158" t="s">
        <v>774</v>
      </c>
      <c r="D22" s="165"/>
      <c r="E22" s="165"/>
      <c r="F22" s="166"/>
    </row>
    <row r="23" customFormat="false" ht="15" hidden="false" customHeight="false" outlineLevel="0" collapsed="false">
      <c r="B23" s="164"/>
      <c r="C23" s="158" t="s">
        <v>775</v>
      </c>
      <c r="D23" s="165"/>
      <c r="E23" s="165"/>
      <c r="F23" s="166"/>
    </row>
    <row r="24" customFormat="false" ht="15" hidden="false" customHeight="false" outlineLevel="0" collapsed="false">
      <c r="B24" s="164"/>
      <c r="C24" s="158" t="s">
        <v>776</v>
      </c>
      <c r="D24" s="165"/>
      <c r="E24" s="165"/>
      <c r="F24" s="166"/>
    </row>
    <row r="25" customFormat="false" ht="15" hidden="false" customHeight="false" outlineLevel="0" collapsed="false">
      <c r="B25" s="164"/>
      <c r="C25" s="158" t="s">
        <v>777</v>
      </c>
      <c r="D25" s="165"/>
      <c r="E25" s="165"/>
      <c r="F25" s="166"/>
    </row>
    <row r="26" customFormat="false" ht="15" hidden="false" customHeight="false" outlineLevel="0" collapsed="false">
      <c r="B26" s="164"/>
      <c r="C26" s="158" t="s">
        <v>778</v>
      </c>
      <c r="D26" s="165"/>
      <c r="E26" s="165"/>
      <c r="F26" s="166"/>
    </row>
    <row r="27" customFormat="false" ht="28.35" hidden="false" customHeight="false" outlineLevel="0" collapsed="false">
      <c r="B27" s="164" t="n">
        <v>6</v>
      </c>
      <c r="C27" s="158" t="s">
        <v>779</v>
      </c>
      <c r="D27" s="165"/>
      <c r="E27" s="165"/>
      <c r="F27" s="166"/>
    </row>
    <row r="28" customFormat="false" ht="28.35" hidden="false" customHeight="false" outlineLevel="0" collapsed="false">
      <c r="B28" s="164" t="n">
        <v>7</v>
      </c>
      <c r="C28" s="168" t="s">
        <v>780</v>
      </c>
      <c r="D28" s="165"/>
      <c r="E28" s="165"/>
      <c r="F28" s="166"/>
    </row>
    <row r="29" customFormat="false" ht="15" hidden="false" customHeight="false" outlineLevel="0" collapsed="false">
      <c r="B29" s="164" t="n">
        <v>8</v>
      </c>
      <c r="C29" s="158" t="s">
        <v>781</v>
      </c>
      <c r="D29" s="165"/>
      <c r="E29" s="165"/>
      <c r="F29" s="166"/>
    </row>
    <row r="30" customFormat="false" ht="15" hidden="false" customHeight="false" outlineLevel="0" collapsed="false">
      <c r="B30" s="164"/>
      <c r="C30" s="158" t="s">
        <v>782</v>
      </c>
      <c r="D30" s="165"/>
      <c r="E30" s="165"/>
      <c r="F30" s="166"/>
    </row>
    <row r="31" customFormat="false" ht="15" hidden="false" customHeight="false" outlineLevel="0" collapsed="false">
      <c r="B31" s="164"/>
      <c r="C31" s="158" t="s">
        <v>783</v>
      </c>
      <c r="D31" s="165"/>
      <c r="E31" s="165"/>
      <c r="F31" s="166"/>
    </row>
    <row r="32" customFormat="false" ht="15" hidden="false" customHeight="false" outlineLevel="0" collapsed="false">
      <c r="B32" s="164"/>
      <c r="C32" s="158" t="s">
        <v>784</v>
      </c>
      <c r="D32" s="165"/>
      <c r="E32" s="165"/>
      <c r="F32" s="166"/>
    </row>
    <row r="33" customFormat="false" ht="15" hidden="false" customHeight="false" outlineLevel="0" collapsed="false">
      <c r="B33" s="164"/>
      <c r="C33" s="158" t="s">
        <v>785</v>
      </c>
      <c r="D33" s="165"/>
      <c r="E33" s="165"/>
      <c r="F33" s="166"/>
    </row>
    <row r="34" customFormat="false" ht="28.35" hidden="false" customHeight="false" outlineLevel="0" collapsed="false">
      <c r="B34" s="164" t="n">
        <v>9</v>
      </c>
      <c r="C34" s="158" t="s">
        <v>786</v>
      </c>
      <c r="D34" s="165"/>
      <c r="E34" s="165"/>
      <c r="F34" s="166"/>
    </row>
    <row r="35" customFormat="false" ht="41.75" hidden="false" customHeight="false" outlineLevel="0" collapsed="false">
      <c r="B35" s="164" t="n">
        <v>10</v>
      </c>
      <c r="C35" s="158" t="s">
        <v>787</v>
      </c>
      <c r="D35" s="165"/>
      <c r="E35" s="165"/>
      <c r="F35" s="166"/>
    </row>
    <row r="36" customFormat="false" ht="28.35" hidden="false" customHeight="false" outlineLevel="0" collapsed="false">
      <c r="B36" s="164" t="n">
        <v>11</v>
      </c>
      <c r="C36" s="158" t="s">
        <v>788</v>
      </c>
      <c r="D36" s="165"/>
      <c r="E36" s="165"/>
      <c r="F36" s="166"/>
    </row>
    <row r="37" customFormat="false" ht="41.75" hidden="false" customHeight="false" outlineLevel="0" collapsed="false">
      <c r="B37" s="164" t="n">
        <v>12</v>
      </c>
      <c r="C37" s="158" t="s">
        <v>789</v>
      </c>
      <c r="D37" s="165"/>
      <c r="E37" s="165"/>
      <c r="F37" s="166"/>
    </row>
    <row r="38" customFormat="false" ht="55.2" hidden="false" customHeight="false" outlineLevel="0" collapsed="false">
      <c r="B38" s="164" t="n">
        <v>13</v>
      </c>
      <c r="C38" s="158" t="s">
        <v>790</v>
      </c>
      <c r="D38" s="165"/>
      <c r="E38" s="165"/>
      <c r="F38" s="166"/>
    </row>
    <row r="39" customFormat="false" ht="28.35" hidden="false" customHeight="false" outlineLevel="0" collapsed="false">
      <c r="B39" s="164" t="n">
        <v>14</v>
      </c>
      <c r="C39" s="158" t="s">
        <v>791</v>
      </c>
      <c r="D39" s="165"/>
      <c r="E39" s="165"/>
      <c r="F39" s="166"/>
    </row>
    <row r="40" customFormat="false" ht="28.35" hidden="false" customHeight="false" outlineLevel="0" collapsed="false">
      <c r="B40" s="164" t="n">
        <v>15</v>
      </c>
      <c r="C40" s="158" t="s">
        <v>792</v>
      </c>
      <c r="D40" s="165"/>
      <c r="E40" s="165"/>
      <c r="F40" s="166"/>
    </row>
    <row r="41" customFormat="false" ht="15" hidden="false" customHeight="false" outlineLevel="0" collapsed="false">
      <c r="B41" s="164" t="n">
        <v>16</v>
      </c>
      <c r="C41" s="169" t="s">
        <v>793</v>
      </c>
      <c r="D41" s="165"/>
      <c r="E41" s="165"/>
      <c r="F41" s="166"/>
    </row>
    <row r="42" customFormat="false" ht="15" hidden="false" customHeight="false" outlineLevel="0" collapsed="false">
      <c r="B42" s="164"/>
      <c r="C42" s="158" t="s">
        <v>794</v>
      </c>
      <c r="D42" s="165"/>
      <c r="E42" s="165"/>
      <c r="F42" s="166"/>
    </row>
    <row r="43" customFormat="false" ht="15" hidden="false" customHeight="false" outlineLevel="0" collapsed="false">
      <c r="B43" s="164"/>
      <c r="C43" s="158" t="s">
        <v>795</v>
      </c>
      <c r="D43" s="165"/>
      <c r="E43" s="165"/>
      <c r="F43" s="166"/>
    </row>
    <row r="44" customFormat="false" ht="15" hidden="false" customHeight="false" outlineLevel="0" collapsed="false">
      <c r="B44" s="164"/>
      <c r="C44" s="158" t="s">
        <v>796</v>
      </c>
      <c r="D44" s="165"/>
      <c r="E44" s="165"/>
      <c r="F44" s="166"/>
    </row>
    <row r="45" customFormat="false" ht="55.2" hidden="false" customHeight="false" outlineLevel="0" collapsed="false">
      <c r="B45" s="164" t="n">
        <v>17</v>
      </c>
      <c r="C45" s="170" t="s">
        <v>797</v>
      </c>
      <c r="D45" s="165"/>
      <c r="E45" s="165"/>
      <c r="F45" s="10"/>
    </row>
    <row r="46" customFormat="false" ht="55.2" hidden="false" customHeight="false" outlineLevel="0" collapsed="false">
      <c r="B46" s="157" t="n">
        <v>18</v>
      </c>
      <c r="C46" s="167" t="s">
        <v>798</v>
      </c>
      <c r="D46" s="171"/>
      <c r="E46" s="172"/>
      <c r="F46" s="163"/>
    </row>
    <row r="47" customFormat="false" ht="15" hidden="false" customHeight="false" outlineLevel="0" collapsed="false">
      <c r="B47" s="157" t="n">
        <v>19</v>
      </c>
      <c r="C47" s="167" t="s">
        <v>799</v>
      </c>
      <c r="D47" s="173"/>
      <c r="E47" s="174"/>
      <c r="F47" s="161"/>
    </row>
    <row r="48" customFormat="false" ht="15" hidden="false" customHeight="false" outlineLevel="0" collapsed="false">
      <c r="B48" s="157" t="n">
        <v>20</v>
      </c>
      <c r="C48" s="167" t="s">
        <v>800</v>
      </c>
      <c r="D48" s="157"/>
      <c r="E48" s="157"/>
      <c r="F48" s="161"/>
    </row>
    <row r="49" customFormat="false" ht="15" hidden="false" customHeight="false" outlineLevel="0" collapsed="false">
      <c r="B49" s="175"/>
      <c r="C49" s="176"/>
      <c r="D49" s="175"/>
      <c r="E49" s="175"/>
      <c r="F49" s="161"/>
    </row>
    <row r="50" s="150" customFormat="true" ht="15" hidden="false" customHeight="false" outlineLevel="0" collapsed="false">
      <c r="B50" s="177" t="s">
        <v>801</v>
      </c>
      <c r="D50" s="178"/>
      <c r="E50" s="179"/>
    </row>
    <row r="51" customFormat="false" ht="23.85" hidden="false" customHeight="false" outlineLevel="0" collapsed="false">
      <c r="B51" s="180" t="s">
        <v>802</v>
      </c>
      <c r="C51" s="181" t="s">
        <v>803</v>
      </c>
      <c r="D51" s="182"/>
      <c r="F51" s="183"/>
    </row>
    <row r="52" s="150" customFormat="true" ht="51" hidden="false" customHeight="true" outlineLevel="0" collapsed="false">
      <c r="B52" s="184" t="s">
        <v>804</v>
      </c>
      <c r="C52" s="185" t="s">
        <v>805</v>
      </c>
    </row>
    <row r="53" s="150" customFormat="true" ht="132.75" hidden="false" customHeight="true" outlineLevel="0" collapsed="false">
      <c r="B53" s="184" t="s">
        <v>806</v>
      </c>
      <c r="C53" s="185" t="s">
        <v>807</v>
      </c>
      <c r="D53" s="178"/>
    </row>
    <row r="54" s="150" customFormat="true" ht="15" hidden="false" customHeight="false" outlineLevel="0" collapsed="false">
      <c r="B54" s="184" t="s">
        <v>808</v>
      </c>
      <c r="C54" s="185" t="s">
        <v>809</v>
      </c>
      <c r="D54" s="178"/>
    </row>
    <row r="55" customFormat="false" ht="15" hidden="false" customHeight="false" outlineLevel="0" collapsed="false">
      <c r="B55" s="184" t="s">
        <v>810</v>
      </c>
      <c r="C55" s="185" t="s">
        <v>811</v>
      </c>
      <c r="D55" s="178"/>
      <c r="F55" s="186"/>
    </row>
    <row r="56" customFormat="false" ht="15" hidden="false" customHeight="false" outlineLevel="0" collapsed="false">
      <c r="B56" s="186"/>
      <c r="C56" s="183"/>
      <c r="D56" s="178"/>
      <c r="F56" s="186"/>
    </row>
    <row r="57" customFormat="false" ht="15" hidden="false" customHeight="false" outlineLevel="0" collapsed="false">
      <c r="B57" s="177" t="s">
        <v>812</v>
      </c>
      <c r="D57" s="178"/>
      <c r="F57" s="186"/>
    </row>
    <row r="58" customFormat="false" ht="41.75" hidden="false" customHeight="false" outlineLevel="0" collapsed="false">
      <c r="B58" s="187" t="s">
        <v>53</v>
      </c>
      <c r="C58" s="188" t="s">
        <v>813</v>
      </c>
      <c r="D58" s="188" t="s">
        <v>814</v>
      </c>
      <c r="E58" s="188" t="s">
        <v>815</v>
      </c>
      <c r="F58" s="188" t="s">
        <v>816</v>
      </c>
      <c r="G58" s="188" t="s">
        <v>817</v>
      </c>
    </row>
    <row r="59" customFormat="false" ht="15" hidden="false" customHeight="false" outlineLevel="0" collapsed="false">
      <c r="B59" s="189" t="n">
        <v>1</v>
      </c>
      <c r="C59" s="190" t="s">
        <v>818</v>
      </c>
      <c r="D59" s="145" t="s">
        <v>819</v>
      </c>
      <c r="E59" s="145" t="s">
        <v>820</v>
      </c>
      <c r="F59" s="145" t="s">
        <v>821</v>
      </c>
      <c r="G59" s="191" t="s">
        <v>822</v>
      </c>
    </row>
    <row r="60" customFormat="false" ht="15" hidden="false" customHeight="false" outlineLevel="0" collapsed="false">
      <c r="B60" s="189" t="n">
        <v>2</v>
      </c>
      <c r="C60" s="190" t="s">
        <v>823</v>
      </c>
      <c r="D60" s="145" t="s">
        <v>824</v>
      </c>
      <c r="E60" s="145" t="s">
        <v>825</v>
      </c>
      <c r="F60" s="145" t="s">
        <v>826</v>
      </c>
      <c r="G60" s="192" t="s">
        <v>827</v>
      </c>
    </row>
    <row r="61" customFormat="false" ht="15" hidden="false" customHeight="false" outlineLevel="0" collapsed="false">
      <c r="B61" s="189" t="n">
        <v>3</v>
      </c>
      <c r="C61" s="190" t="s">
        <v>828</v>
      </c>
      <c r="D61" s="145" t="s">
        <v>825</v>
      </c>
      <c r="E61" s="145" t="s">
        <v>829</v>
      </c>
      <c r="F61" s="145" t="s">
        <v>830</v>
      </c>
      <c r="G61" s="192" t="s">
        <v>827</v>
      </c>
    </row>
    <row r="62" customFormat="false" ht="15" hidden="false" customHeight="false" outlineLevel="0" collapsed="false">
      <c r="B62" s="189" t="n">
        <v>4</v>
      </c>
      <c r="C62" s="190" t="s">
        <v>831</v>
      </c>
      <c r="D62" s="145" t="s">
        <v>832</v>
      </c>
      <c r="E62" s="145" t="s">
        <v>748</v>
      </c>
      <c r="F62" s="145" t="s">
        <v>821</v>
      </c>
      <c r="G62" s="192" t="s">
        <v>827</v>
      </c>
    </row>
    <row r="63" customFormat="false" ht="15" hidden="false" customHeight="false" outlineLevel="0" collapsed="false">
      <c r="D63" s="193"/>
      <c r="E63" s="194"/>
    </row>
    <row r="64" s="150" customFormat="true" ht="15" hidden="false" customHeight="false" outlineLevel="0" collapsed="false"/>
    <row r="65" s="150" customFormat="true" ht="15" hidden="false" customHeight="false" outlineLevel="0" collapsed="false">
      <c r="B65" s="177" t="s">
        <v>833</v>
      </c>
    </row>
    <row r="66" s="150" customFormat="true" ht="28.35" hidden="false" customHeight="false" outlineLevel="0" collapsed="false">
      <c r="B66" s="188" t="s">
        <v>802</v>
      </c>
      <c r="C66" s="188" t="s">
        <v>834</v>
      </c>
    </row>
    <row r="67" s="150" customFormat="true" ht="33.75" hidden="false" customHeight="true" outlineLevel="0" collapsed="false">
      <c r="B67" s="195" t="s">
        <v>804</v>
      </c>
      <c r="C67" s="195" t="s">
        <v>835</v>
      </c>
    </row>
    <row r="68" s="150" customFormat="true" ht="15" hidden="false" customHeight="false" outlineLevel="0" collapsed="false">
      <c r="B68" s="195"/>
      <c r="C68" s="195" t="s">
        <v>836</v>
      </c>
    </row>
    <row r="69" s="150" customFormat="true" ht="25.35" hidden="false" customHeight="false" outlineLevel="0" collapsed="false">
      <c r="B69" s="195"/>
      <c r="C69" s="195" t="s">
        <v>837</v>
      </c>
    </row>
    <row r="70" s="150" customFormat="true" ht="25.35" hidden="false" customHeight="true" outlineLevel="0" collapsed="false">
      <c r="B70" s="195" t="s">
        <v>806</v>
      </c>
      <c r="C70" s="195" t="s">
        <v>838</v>
      </c>
    </row>
    <row r="71" s="150" customFormat="true" ht="25.35" hidden="false" customHeight="false" outlineLevel="0" collapsed="false">
      <c r="B71" s="195"/>
      <c r="C71" s="195" t="s">
        <v>839</v>
      </c>
    </row>
    <row r="72" s="150" customFormat="true" ht="25.35" hidden="false" customHeight="false" outlineLevel="0" collapsed="false">
      <c r="B72" s="195" t="s">
        <v>808</v>
      </c>
      <c r="C72" s="195" t="s">
        <v>840</v>
      </c>
    </row>
    <row r="73" s="150" customFormat="true" ht="25.35" hidden="false" customHeight="false" outlineLevel="0" collapsed="false">
      <c r="B73" s="195" t="s">
        <v>841</v>
      </c>
      <c r="C73" s="195" t="s">
        <v>842</v>
      </c>
    </row>
    <row r="74" s="150" customFormat="true" ht="73.5" hidden="false" customHeight="true" outlineLevel="0" collapsed="false">
      <c r="B74" s="195" t="s">
        <v>843</v>
      </c>
      <c r="C74" s="195" t="s">
        <v>844</v>
      </c>
    </row>
    <row r="75" s="150" customFormat="true" ht="25.35" hidden="false" customHeight="false" outlineLevel="0" collapsed="false">
      <c r="B75" s="195" t="s">
        <v>845</v>
      </c>
      <c r="C75" s="195" t="s">
        <v>846</v>
      </c>
    </row>
    <row r="76" s="150" customFormat="true" ht="15" hidden="false" customHeight="false" outlineLevel="0" collapsed="false"/>
    <row r="77" s="150" customFormat="true" ht="26.85" hidden="false" customHeight="false" outlineLevel="0" collapsed="false">
      <c r="C77" s="196" t="s">
        <v>847</v>
      </c>
    </row>
    <row r="78" s="150" customFormat="true" ht="15" hidden="false" customHeight="false" outlineLevel="0" collapsed="false"/>
    <row r="79" s="150" customFormat="true" ht="15" hidden="false" customHeight="false" outlineLevel="0" collapsed="false"/>
    <row r="80" s="150" customFormat="true" ht="15" hidden="false" customHeight="false" outlineLevel="0" collapsed="false"/>
    <row r="81" s="150" customFormat="true" ht="15" hidden="false" customHeight="false" outlineLevel="0" collapsed="false"/>
    <row r="82" s="150" customFormat="true" ht="15" hidden="false" customHeight="false" outlineLevel="0" collapsed="false"/>
    <row r="83" s="150" customFormat="true" ht="15" hidden="false" customHeight="false" outlineLevel="0" collapsed="false"/>
    <row r="84" s="150" customFormat="true" ht="15" hidden="false" customHeight="false" outlineLevel="0" collapsed="false"/>
    <row r="85" s="150" customFormat="true" ht="15" hidden="false" customHeight="false" outlineLevel="0" collapsed="false"/>
    <row r="86" s="150" customFormat="true" ht="15" hidden="false" customHeight="false" outlineLevel="0" collapsed="false"/>
    <row r="87" s="150" customFormat="true" ht="15" hidden="false" customHeight="false" outlineLevel="0" collapsed="false"/>
    <row r="88" s="150" customFormat="true" ht="15" hidden="false" customHeight="false" outlineLevel="0" collapsed="false"/>
    <row r="89" s="150" customFormat="true" ht="15" hidden="false" customHeight="false" outlineLevel="0" collapsed="false"/>
    <row r="90" s="150" customFormat="true" ht="15" hidden="false" customHeight="false" outlineLevel="0" collapsed="false"/>
    <row r="91" s="150" customFormat="true" ht="15" hidden="false" customHeight="false" outlineLevel="0" collapsed="false"/>
  </sheetData>
  <mergeCells count="6">
    <mergeCell ref="C4:E4"/>
    <mergeCell ref="B12:B26"/>
    <mergeCell ref="B29:B33"/>
    <mergeCell ref="B41:B44"/>
    <mergeCell ref="B67:B69"/>
    <mergeCell ref="B70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57.42578125" defaultRowHeight="15" customHeight="tru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53" width="167.71"/>
    <col collapsed="false" customWidth="true" hidden="false" outlineLevel="0" max="3" min="3" style="0" width="23.71"/>
    <col collapsed="false" customWidth="true" hidden="false" outlineLevel="0" max="4" min="4" style="0" width="31.15"/>
  </cols>
  <sheetData>
    <row r="1" customFormat="false" ht="15" hidden="false" customHeight="false" outlineLevel="0" collapsed="false">
      <c r="D1" s="1" t="s">
        <v>848</v>
      </c>
    </row>
    <row r="2" customFormat="false" ht="15" hidden="false" customHeight="false" outlineLevel="0" collapsed="false">
      <c r="D2" s="1" t="s">
        <v>1</v>
      </c>
    </row>
    <row r="4" customFormat="false" ht="17.9" hidden="false" customHeight="false" outlineLevel="0" collapsed="false">
      <c r="B4" s="90" t="s">
        <v>849</v>
      </c>
      <c r="C4" s="197"/>
      <c r="D4" s="197"/>
      <c r="E4" s="197"/>
    </row>
    <row r="5" customFormat="false" ht="17.35" hidden="false" customHeight="false" outlineLevel="0" collapsed="false">
      <c r="B5" s="198"/>
      <c r="C5" s="197"/>
      <c r="D5" s="197"/>
      <c r="E5" s="197"/>
    </row>
    <row r="6" customFormat="false" ht="35.05" hidden="false" customHeight="false" outlineLevel="0" collapsed="false">
      <c r="A6" s="199" t="s">
        <v>80</v>
      </c>
      <c r="B6" s="200" t="s">
        <v>850</v>
      </c>
      <c r="C6" s="200" t="s">
        <v>851</v>
      </c>
      <c r="D6" s="200" t="s">
        <v>852</v>
      </c>
    </row>
    <row r="7" customFormat="false" ht="15" hidden="false" customHeight="false" outlineLevel="0" collapsed="false">
      <c r="A7" s="201" t="s">
        <v>853</v>
      </c>
      <c r="B7" s="202" t="s">
        <v>854</v>
      </c>
      <c r="C7" s="68"/>
      <c r="D7" s="68"/>
    </row>
    <row r="8" customFormat="false" ht="15" hidden="false" customHeight="false" outlineLevel="0" collapsed="false">
      <c r="A8" s="201" t="s">
        <v>855</v>
      </c>
      <c r="B8" s="202" t="s">
        <v>856</v>
      </c>
      <c r="C8" s="68"/>
      <c r="D8" s="68"/>
    </row>
    <row r="9" customFormat="false" ht="15" hidden="false" customHeight="false" outlineLevel="0" collapsed="false">
      <c r="A9" s="201" t="s">
        <v>152</v>
      </c>
      <c r="B9" s="202" t="s">
        <v>857</v>
      </c>
      <c r="C9" s="68"/>
      <c r="D9" s="68"/>
    </row>
    <row r="10" customFormat="false" ht="28.35" hidden="false" customHeight="false" outlineLevel="0" collapsed="false">
      <c r="A10" s="201" t="s">
        <v>217</v>
      </c>
      <c r="B10" s="202" t="s">
        <v>858</v>
      </c>
      <c r="C10" s="68"/>
      <c r="D10" s="68"/>
    </row>
    <row r="11" customFormat="false" ht="15" hidden="false" customHeight="false" outlineLevel="0" collapsed="false">
      <c r="A11" s="201" t="s">
        <v>859</v>
      </c>
      <c r="B11" s="202" t="s">
        <v>860</v>
      </c>
      <c r="C11" s="68"/>
      <c r="D11" s="68"/>
    </row>
    <row r="12" customFormat="false" ht="41.75" hidden="false" customHeight="false" outlineLevel="0" collapsed="false">
      <c r="A12" s="201" t="s">
        <v>861</v>
      </c>
      <c r="B12" s="158" t="s">
        <v>862</v>
      </c>
      <c r="C12" s="68"/>
      <c r="D12" s="68"/>
    </row>
    <row r="16" customFormat="false" ht="15.75" hidden="false" customHeight="false" outlineLevel="0" collapsed="false">
      <c r="B16" s="203"/>
      <c r="C16" s="203"/>
      <c r="D16" s="204"/>
      <c r="E16" s="205"/>
      <c r="F16" s="205"/>
      <c r="G16" s="205"/>
      <c r="H16" s="205"/>
      <c r="I16" s="205"/>
    </row>
  </sheetData>
  <dataValidations count="1">
    <dataValidation allowBlank="true" errorStyle="stop" operator="between" showDropDown="false" showErrorMessage="true" showInputMessage="true" sqref="C7:C11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B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1484375" defaultRowHeight="12.75" customHeight="true" zeroHeight="false" outlineLevelRow="0" outlineLevelCol="0"/>
  <cols>
    <col collapsed="false" customWidth="false" hidden="false" outlineLevel="0" max="1" min="1" style="206" width="9.14"/>
    <col collapsed="false" customWidth="true" hidden="false" outlineLevel="0" max="2" min="2" style="206" width="110"/>
    <col collapsed="false" customWidth="false" hidden="false" outlineLevel="0" max="4" min="3" style="206" width="9.14"/>
    <col collapsed="false" customWidth="true" hidden="false" outlineLevel="0" max="5" min="5" style="206" width="39"/>
    <col collapsed="false" customWidth="false" hidden="false" outlineLevel="0" max="7" min="6" style="206" width="9.14"/>
    <col collapsed="false" customWidth="true" hidden="false" outlineLevel="0" max="8" min="8" style="206" width="81.86"/>
    <col collapsed="false" customWidth="false" hidden="false" outlineLevel="0" max="16384" min="9" style="206" width="9.14"/>
  </cols>
  <sheetData>
    <row r="1" customFormat="false" ht="15" hidden="false" customHeight="false" outlineLevel="0" collapsed="false">
      <c r="E1" s="1" t="s">
        <v>863</v>
      </c>
    </row>
    <row r="2" customFormat="false" ht="17.35" hidden="false" customHeight="false" outlineLevel="0" collapsed="false">
      <c r="B2" s="207" t="s">
        <v>864</v>
      </c>
      <c r="E2" s="1" t="s">
        <v>1</v>
      </c>
    </row>
    <row r="4" customFormat="false" ht="12.75" hidden="false" customHeight="false" outlineLevel="0" collapsed="false">
      <c r="B4" s="208" t="s">
        <v>865</v>
      </c>
      <c r="H4" s="209"/>
      <c r="I4" s="209"/>
      <c r="J4" s="209"/>
      <c r="K4" s="209"/>
    </row>
    <row r="5" customFormat="false" ht="12.75" hidden="false" customHeight="false" outlineLevel="0" collapsed="false">
      <c r="B5" s="210" t="s">
        <v>866</v>
      </c>
      <c r="C5" s="210" t="n">
        <v>1</v>
      </c>
      <c r="H5" s="209"/>
      <c r="I5" s="209"/>
      <c r="J5" s="211"/>
      <c r="K5" s="209"/>
    </row>
    <row r="6" customFormat="false" ht="12.75" hidden="false" customHeight="false" outlineLevel="0" collapsed="false">
      <c r="B6" s="210" t="s">
        <v>867</v>
      </c>
      <c r="C6" s="210" t="n">
        <v>2</v>
      </c>
      <c r="H6" s="209"/>
      <c r="I6" s="209"/>
      <c r="J6" s="211"/>
      <c r="K6" s="209"/>
    </row>
    <row r="7" customFormat="false" ht="12.75" hidden="false" customHeight="false" outlineLevel="0" collapsed="false">
      <c r="B7" s="210" t="s">
        <v>868</v>
      </c>
      <c r="C7" s="210" t="n">
        <v>24</v>
      </c>
      <c r="H7" s="209"/>
      <c r="I7" s="209"/>
      <c r="J7" s="211"/>
      <c r="K7" s="209"/>
    </row>
    <row r="8" customFormat="false" ht="12.75" hidden="false" customHeight="false" outlineLevel="0" collapsed="false">
      <c r="B8" s="210" t="s">
        <v>869</v>
      </c>
      <c r="C8" s="210" t="n">
        <v>2</v>
      </c>
      <c r="H8" s="209"/>
      <c r="I8" s="209"/>
      <c r="J8" s="211"/>
      <c r="K8" s="209"/>
    </row>
    <row r="9" customFormat="false" ht="12.75" hidden="false" customHeight="false" outlineLevel="0" collapsed="false">
      <c r="B9" s="210" t="s">
        <v>870</v>
      </c>
      <c r="C9" s="210" t="n">
        <v>5</v>
      </c>
      <c r="H9" s="209"/>
      <c r="I9" s="209"/>
      <c r="J9" s="211"/>
      <c r="K9" s="209"/>
    </row>
    <row r="10" customFormat="false" ht="12.75" hidden="false" customHeight="false" outlineLevel="0" collapsed="false">
      <c r="B10" s="210" t="s">
        <v>871</v>
      </c>
      <c r="C10" s="210" t="n">
        <v>2</v>
      </c>
      <c r="H10" s="209"/>
      <c r="I10" s="209"/>
      <c r="J10" s="211"/>
      <c r="K10" s="209"/>
    </row>
    <row r="11" customFormat="false" ht="12.75" hidden="false" customHeight="false" outlineLevel="0" collapsed="false">
      <c r="B11" s="210" t="s">
        <v>872</v>
      </c>
      <c r="C11" s="210" t="n">
        <v>2</v>
      </c>
      <c r="F11" s="212"/>
      <c r="H11" s="209"/>
      <c r="I11" s="209"/>
      <c r="J11" s="211"/>
      <c r="K11" s="209"/>
    </row>
    <row r="12" customFormat="false" ht="12.75" hidden="false" customHeight="false" outlineLevel="0" collapsed="false">
      <c r="B12" s="210" t="s">
        <v>873</v>
      </c>
      <c r="C12" s="210" t="n">
        <v>1</v>
      </c>
      <c r="H12" s="209"/>
      <c r="I12" s="209"/>
      <c r="J12" s="211"/>
      <c r="K12" s="209"/>
    </row>
    <row r="13" customFormat="false" ht="12.75" hidden="false" customHeight="false" outlineLevel="0" collapsed="false">
      <c r="B13" s="210" t="s">
        <v>874</v>
      </c>
      <c r="C13" s="210" t="n">
        <v>1</v>
      </c>
      <c r="H13" s="209"/>
      <c r="I13" s="209"/>
      <c r="J13" s="211"/>
      <c r="K13" s="209"/>
    </row>
    <row r="14" customFormat="false" ht="12.75" hidden="false" customHeight="false" outlineLevel="0" collapsed="false">
      <c r="B14" s="210" t="s">
        <v>875</v>
      </c>
      <c r="C14" s="210" t="n">
        <v>2</v>
      </c>
      <c r="H14" s="209"/>
      <c r="I14" s="209"/>
      <c r="J14" s="211"/>
      <c r="K14" s="209"/>
    </row>
    <row r="15" customFormat="false" ht="12.75" hidden="false" customHeight="false" outlineLevel="0" collapsed="false">
      <c r="B15" s="210" t="s">
        <v>876</v>
      </c>
      <c r="C15" s="210" t="n">
        <v>1</v>
      </c>
      <c r="H15" s="209"/>
      <c r="I15" s="209"/>
      <c r="J15" s="211"/>
      <c r="K15" s="209"/>
    </row>
    <row r="16" customFormat="false" ht="12.75" hidden="false" customHeight="false" outlineLevel="0" collapsed="false">
      <c r="H16" s="209"/>
      <c r="I16" s="209"/>
      <c r="J16" s="211"/>
      <c r="K16" s="209"/>
    </row>
    <row r="17" customFormat="false" ht="12.75" hidden="false" customHeight="false" outlineLevel="0" collapsed="false">
      <c r="B17" s="208" t="s">
        <v>877</v>
      </c>
      <c r="H17" s="209"/>
      <c r="I17" s="209"/>
      <c r="J17" s="211"/>
      <c r="K17" s="209"/>
    </row>
    <row r="18" customFormat="false" ht="12.75" hidden="false" customHeight="false" outlineLevel="0" collapsed="false">
      <c r="B18" s="210" t="s">
        <v>878</v>
      </c>
      <c r="C18" s="210" t="n">
        <v>1</v>
      </c>
      <c r="H18" s="209"/>
      <c r="I18" s="209"/>
      <c r="J18" s="211"/>
      <c r="K18" s="209"/>
    </row>
    <row r="19" customFormat="false" ht="12.75" hidden="false" customHeight="false" outlineLevel="0" collapsed="false">
      <c r="B19" s="210" t="s">
        <v>879</v>
      </c>
      <c r="C19" s="210" t="n">
        <v>2</v>
      </c>
      <c r="H19" s="209"/>
      <c r="I19" s="209"/>
      <c r="J19" s="211"/>
      <c r="K19" s="209"/>
    </row>
    <row r="20" customFormat="false" ht="12.75" hidden="false" customHeight="false" outlineLevel="0" collapsed="false">
      <c r="B20" s="210" t="s">
        <v>880</v>
      </c>
      <c r="C20" s="210" t="n">
        <v>16</v>
      </c>
      <c r="H20" s="209"/>
      <c r="I20" s="209"/>
      <c r="J20" s="211"/>
      <c r="K20" s="209"/>
    </row>
    <row r="21" customFormat="false" ht="12.75" hidden="false" customHeight="false" outlineLevel="0" collapsed="false">
      <c r="B21" s="210" t="s">
        <v>881</v>
      </c>
      <c r="C21" s="210" t="n">
        <v>2</v>
      </c>
      <c r="H21" s="209"/>
      <c r="I21" s="209"/>
      <c r="J21" s="211"/>
      <c r="K21" s="209"/>
    </row>
    <row r="22" customFormat="false" ht="12.75" hidden="false" customHeight="false" outlineLevel="0" collapsed="false">
      <c r="B22" s="210" t="s">
        <v>882</v>
      </c>
      <c r="C22" s="210" t="n">
        <v>2</v>
      </c>
      <c r="H22" s="209"/>
      <c r="I22" s="209"/>
      <c r="J22" s="211"/>
      <c r="K22" s="209"/>
    </row>
    <row r="23" customFormat="false" ht="12.75" hidden="false" customHeight="false" outlineLevel="0" collapsed="false">
      <c r="B23" s="210" t="s">
        <v>883</v>
      </c>
      <c r="C23" s="210" t="n">
        <v>4</v>
      </c>
      <c r="H23" s="209"/>
      <c r="I23" s="209"/>
      <c r="J23" s="211"/>
      <c r="K23" s="209"/>
    </row>
    <row r="24" customFormat="false" ht="12.75" hidden="false" customHeight="false" outlineLevel="0" collapsed="false">
      <c r="B24" s="210" t="s">
        <v>884</v>
      </c>
      <c r="C24" s="210" t="n">
        <v>1</v>
      </c>
      <c r="H24" s="209"/>
      <c r="I24" s="209"/>
      <c r="J24" s="211"/>
      <c r="K24" s="209"/>
    </row>
    <row r="25" customFormat="false" ht="12.75" hidden="false" customHeight="false" outlineLevel="0" collapsed="false">
      <c r="B25" s="210" t="s">
        <v>885</v>
      </c>
      <c r="C25" s="210" t="n">
        <v>1</v>
      </c>
      <c r="H25" s="209"/>
      <c r="I25" s="209"/>
      <c r="J25" s="211"/>
      <c r="K25" s="209"/>
    </row>
    <row r="26" customFormat="false" ht="12.75" hidden="false" customHeight="false" outlineLevel="0" collapsed="false">
      <c r="B26" s="210" t="s">
        <v>886</v>
      </c>
      <c r="C26" s="210" t="n">
        <v>2</v>
      </c>
      <c r="H26" s="209"/>
      <c r="I26" s="209"/>
      <c r="J26" s="211"/>
      <c r="K26" s="209"/>
    </row>
    <row r="27" customFormat="false" ht="12.75" hidden="false" customHeight="false" outlineLevel="0" collapsed="false">
      <c r="B27" s="210" t="s">
        <v>887</v>
      </c>
      <c r="C27" s="210" t="n">
        <v>2</v>
      </c>
      <c r="H27" s="209"/>
      <c r="I27" s="209"/>
      <c r="J27" s="211"/>
      <c r="K27" s="209"/>
    </row>
    <row r="28" customFormat="false" ht="12.75" hidden="false" customHeight="false" outlineLevel="0" collapsed="false">
      <c r="B28" s="210" t="s">
        <v>888</v>
      </c>
      <c r="C28" s="210" t="n">
        <v>1</v>
      </c>
      <c r="H28" s="209"/>
      <c r="I28" s="209"/>
      <c r="J28" s="211"/>
      <c r="K28" s="209"/>
    </row>
    <row r="29" customFormat="false" ht="12.75" hidden="false" customHeight="false" outlineLevel="0" collapsed="false">
      <c r="B29" s="210" t="s">
        <v>889</v>
      </c>
      <c r="C29" s="210" t="n">
        <v>1</v>
      </c>
      <c r="E29" s="209"/>
      <c r="H29" s="209"/>
      <c r="I29" s="209"/>
      <c r="J29" s="211"/>
      <c r="K29" s="209"/>
    </row>
    <row r="30" customFormat="false" ht="12.75" hidden="false" customHeight="false" outlineLevel="0" collapsed="false">
      <c r="B30" s="210" t="s">
        <v>890</v>
      </c>
      <c r="C30" s="210" t="n">
        <v>2</v>
      </c>
      <c r="E30" s="209"/>
      <c r="H30" s="209"/>
      <c r="I30" s="209"/>
      <c r="J30" s="209"/>
      <c r="K30" s="209"/>
    </row>
    <row r="31" customFormat="false" ht="12.75" hidden="false" customHeight="false" outlineLevel="0" collapsed="false">
      <c r="B31" s="210" t="s">
        <v>891</v>
      </c>
      <c r="C31" s="210" t="n">
        <v>1</v>
      </c>
      <c r="E31" s="209"/>
    </row>
    <row r="32" customFormat="false" ht="12.75" hidden="false" customHeight="false" outlineLevel="0" collapsed="false">
      <c r="B32" s="210" t="s">
        <v>892</v>
      </c>
      <c r="C32" s="210" t="n">
        <v>1</v>
      </c>
      <c r="E32" s="209"/>
    </row>
    <row r="33" customFormat="false" ht="12.75" hidden="false" customHeight="false" outlineLevel="0" collapsed="false">
      <c r="E33" s="209"/>
    </row>
    <row r="34" customFormat="false" ht="12.75" hidden="false" customHeight="false" outlineLevel="0" collapsed="false">
      <c r="B34" s="208" t="s">
        <v>893</v>
      </c>
      <c r="C34" s="213"/>
    </row>
    <row r="35" customFormat="false" ht="12.75" hidden="false" customHeight="false" outlineLevel="0" collapsed="false">
      <c r="B35" s="210" t="s">
        <v>894</v>
      </c>
      <c r="C35" s="210" t="n">
        <v>1</v>
      </c>
    </row>
    <row r="36" customFormat="false" ht="12.75" hidden="false" customHeight="false" outlineLevel="0" collapsed="false">
      <c r="B36" s="210" t="s">
        <v>895</v>
      </c>
      <c r="C36" s="210" t="n">
        <v>2</v>
      </c>
    </row>
    <row r="37" customFormat="false" ht="12.75" hidden="false" customHeight="false" outlineLevel="0" collapsed="false">
      <c r="B37" s="210" t="s">
        <v>896</v>
      </c>
      <c r="C37" s="210" t="n">
        <v>24</v>
      </c>
    </row>
    <row r="38" customFormat="false" ht="12.75" hidden="false" customHeight="false" outlineLevel="0" collapsed="false">
      <c r="B38" s="210" t="s">
        <v>897</v>
      </c>
      <c r="C38" s="210" t="s">
        <v>898</v>
      </c>
    </row>
    <row r="39" customFormat="false" ht="12.75" hidden="false" customHeight="false" outlineLevel="0" collapsed="false">
      <c r="B39" s="210" t="s">
        <v>899</v>
      </c>
      <c r="C39" s="210" t="n">
        <v>2</v>
      </c>
    </row>
    <row r="40" customFormat="false" ht="12.75" hidden="false" customHeight="false" outlineLevel="0" collapsed="false">
      <c r="B40" s="210" t="s">
        <v>900</v>
      </c>
      <c r="C40" s="210" t="n">
        <v>2</v>
      </c>
      <c r="E40" s="213"/>
    </row>
    <row r="41" customFormat="false" ht="12.75" hidden="false" customHeight="false" outlineLevel="0" collapsed="false">
      <c r="B41" s="210" t="s">
        <v>901</v>
      </c>
      <c r="C41" s="210" t="s">
        <v>898</v>
      </c>
    </row>
    <row r="42" customFormat="false" ht="12.75" hidden="false" customHeight="false" outlineLevel="0" collapsed="false">
      <c r="B42" s="210" t="s">
        <v>902</v>
      </c>
      <c r="C42" s="210" t="n">
        <v>2</v>
      </c>
    </row>
    <row r="43" customFormat="false" ht="12.75" hidden="false" customHeight="false" outlineLevel="0" collapsed="false">
      <c r="B43" s="210" t="s">
        <v>903</v>
      </c>
      <c r="C43" s="210" t="s">
        <v>898</v>
      </c>
    </row>
    <row r="44" customFormat="false" ht="12.75" hidden="false" customHeight="false" outlineLevel="0" collapsed="false">
      <c r="B44" s="210" t="s">
        <v>904</v>
      </c>
      <c r="C44" s="210" t="n">
        <v>2</v>
      </c>
    </row>
    <row r="45" customFormat="false" ht="12.75" hidden="false" customHeight="false" outlineLevel="0" collapsed="false">
      <c r="B45" s="210" t="s">
        <v>905</v>
      </c>
      <c r="C45" s="210" t="n">
        <v>1</v>
      </c>
    </row>
    <row r="46" customFormat="false" ht="12.75" hidden="false" customHeight="false" outlineLevel="0" collapsed="false">
      <c r="B46" s="210" t="s">
        <v>906</v>
      </c>
      <c r="C46" s="210" t="s">
        <v>898</v>
      </c>
    </row>
    <row r="47" customFormat="false" ht="12.75" hidden="false" customHeight="false" outlineLevel="0" collapsed="false">
      <c r="B47" s="210" t="s">
        <v>907</v>
      </c>
      <c r="C47" s="210" t="n">
        <v>3</v>
      </c>
    </row>
    <row r="48" customFormat="false" ht="12.75" hidden="false" customHeight="false" outlineLevel="0" collapsed="false">
      <c r="B48" s="210" t="s">
        <v>908</v>
      </c>
      <c r="C48" s="210" t="s">
        <v>898</v>
      </c>
    </row>
    <row r="49" customFormat="false" ht="12.75" hidden="false" customHeight="false" outlineLevel="0" collapsed="false">
      <c r="B49" s="210" t="s">
        <v>909</v>
      </c>
      <c r="C49" s="210" t="n">
        <v>1</v>
      </c>
    </row>
    <row r="50" customFormat="false" ht="12.75" hidden="false" customHeight="false" outlineLevel="0" collapsed="false">
      <c r="B50" s="210" t="s">
        <v>910</v>
      </c>
      <c r="C50" s="210" t="n">
        <v>1</v>
      </c>
      <c r="H50" s="213"/>
      <c r="I50" s="209"/>
    </row>
    <row r="51" customFormat="false" ht="12.75" hidden="false" customHeight="false" outlineLevel="0" collapsed="false">
      <c r="B51" s="213"/>
      <c r="C51" s="213"/>
      <c r="H51" s="213"/>
      <c r="I51" s="209"/>
    </row>
    <row r="52" customFormat="false" ht="12.75" hidden="false" customHeight="false" outlineLevel="0" collapsed="false">
      <c r="B52" s="208" t="s">
        <v>911</v>
      </c>
      <c r="C52" s="214"/>
      <c r="H52" s="213"/>
      <c r="I52" s="209"/>
    </row>
    <row r="53" customFormat="false" ht="12.75" hidden="false" customHeight="false" outlineLevel="0" collapsed="false">
      <c r="B53" s="210" t="s">
        <v>912</v>
      </c>
      <c r="C53" s="210" t="n">
        <v>1</v>
      </c>
      <c r="D53" s="215"/>
      <c r="H53" s="213"/>
      <c r="I53" s="209"/>
    </row>
    <row r="54" customFormat="false" ht="12.75" hidden="false" customHeight="false" outlineLevel="0" collapsed="false">
      <c r="B54" s="210" t="s">
        <v>913</v>
      </c>
      <c r="C54" s="210" t="n">
        <v>2</v>
      </c>
      <c r="H54" s="213"/>
      <c r="I54" s="209"/>
    </row>
    <row r="55" customFormat="false" ht="12.75" hidden="false" customHeight="false" outlineLevel="0" collapsed="false">
      <c r="B55" s="210" t="s">
        <v>914</v>
      </c>
      <c r="C55" s="210" t="n">
        <v>12</v>
      </c>
      <c r="H55" s="213"/>
      <c r="I55" s="209"/>
    </row>
    <row r="56" customFormat="false" ht="12.75" hidden="false" customHeight="false" outlineLevel="0" collapsed="false">
      <c r="B56" s="210" t="s">
        <v>915</v>
      </c>
      <c r="C56" s="210" t="n">
        <v>1</v>
      </c>
      <c r="H56" s="213"/>
      <c r="I56" s="209"/>
    </row>
    <row r="57" customFormat="false" ht="12.75" hidden="false" customHeight="false" outlineLevel="0" collapsed="false">
      <c r="B57" s="210" t="s">
        <v>916</v>
      </c>
      <c r="C57" s="210" t="n">
        <v>1</v>
      </c>
      <c r="H57" s="213"/>
      <c r="I57" s="209"/>
    </row>
    <row r="58" customFormat="false" ht="12.75" hidden="false" customHeight="false" outlineLevel="0" collapsed="false">
      <c r="B58" s="210" t="s">
        <v>917</v>
      </c>
      <c r="C58" s="210" t="n">
        <v>1</v>
      </c>
    </row>
    <row r="59" customFormat="false" ht="12.75" hidden="false" customHeight="false" outlineLevel="0" collapsed="false">
      <c r="B59" s="210" t="s">
        <v>918</v>
      </c>
      <c r="C59" s="210" t="n">
        <v>2</v>
      </c>
    </row>
    <row r="60" customFormat="false" ht="12.75" hidden="false" customHeight="false" outlineLevel="0" collapsed="false">
      <c r="B60" s="210" t="s">
        <v>919</v>
      </c>
      <c r="C60" s="210" t="n">
        <v>1</v>
      </c>
    </row>
    <row r="62" customFormat="false" ht="12.75" hidden="false" customHeight="false" outlineLevel="0" collapsed="false">
      <c r="B62" s="208" t="s">
        <v>920</v>
      </c>
    </row>
    <row r="63" customFormat="false" ht="12.75" hidden="false" customHeight="false" outlineLevel="0" collapsed="false">
      <c r="B63" s="210" t="s">
        <v>921</v>
      </c>
      <c r="C63" s="210" t="n">
        <v>1</v>
      </c>
    </row>
    <row r="64" customFormat="false" ht="12.75" hidden="false" customHeight="false" outlineLevel="0" collapsed="false">
      <c r="B64" s="210" t="s">
        <v>922</v>
      </c>
      <c r="C64" s="210" t="n">
        <v>2</v>
      </c>
    </row>
    <row r="65" customFormat="false" ht="12.75" hidden="false" customHeight="false" outlineLevel="0" collapsed="false">
      <c r="B65" s="210" t="s">
        <v>923</v>
      </c>
      <c r="C65" s="210" t="n">
        <v>16</v>
      </c>
    </row>
    <row r="66" customFormat="false" ht="12.75" hidden="false" customHeight="false" outlineLevel="0" collapsed="false">
      <c r="B66" s="210" t="s">
        <v>924</v>
      </c>
      <c r="C66" s="210" t="n">
        <v>4</v>
      </c>
    </row>
    <row r="67" customFormat="false" ht="12.75" hidden="false" customHeight="false" outlineLevel="0" collapsed="false">
      <c r="B67" s="210" t="s">
        <v>925</v>
      </c>
      <c r="C67" s="210" t="n">
        <v>1</v>
      </c>
    </row>
    <row r="68" customFormat="false" ht="12.75" hidden="false" customHeight="false" outlineLevel="0" collapsed="false">
      <c r="B68" s="210" t="s">
        <v>926</v>
      </c>
      <c r="C68" s="210" t="n">
        <v>1</v>
      </c>
    </row>
    <row r="69" customFormat="false" ht="12.75" hidden="false" customHeight="false" outlineLevel="0" collapsed="false">
      <c r="B69" s="210" t="s">
        <v>927</v>
      </c>
      <c r="C69" s="210" t="n">
        <v>2</v>
      </c>
    </row>
    <row r="70" customFormat="false" ht="12.75" hidden="false" customHeight="false" outlineLevel="0" collapsed="false">
      <c r="B70" s="210" t="s">
        <v>928</v>
      </c>
      <c r="C70" s="210" t="n">
        <v>1</v>
      </c>
    </row>
    <row r="71" customFormat="false" ht="12.75" hidden="false" customHeight="false" outlineLevel="0" collapsed="false">
      <c r="B71" s="210" t="s">
        <v>929</v>
      </c>
      <c r="C71" s="210" t="n">
        <v>2</v>
      </c>
    </row>
    <row r="72" customFormat="false" ht="12.75" hidden="false" customHeight="false" outlineLevel="0" collapsed="false">
      <c r="B72" s="210" t="s">
        <v>930</v>
      </c>
      <c r="C72" s="21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E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7" activeCellId="0" sqref="B217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141.57"/>
    <col collapsed="false" customWidth="true" hidden="false" outlineLevel="0" max="3" min="3" style="0" width="23.14"/>
    <col collapsed="false" customWidth="true" hidden="false" outlineLevel="0" max="4" min="4" style="0" width="21.14"/>
    <col collapsed="false" customWidth="true" hidden="false" outlineLevel="0" max="5" min="5" style="0" width="23.86"/>
  </cols>
  <sheetData>
    <row r="1" customFormat="false" ht="15" hidden="false" customHeight="false" outlineLevel="0" collapsed="false">
      <c r="E1" s="1" t="s">
        <v>931</v>
      </c>
    </row>
    <row r="2" customFormat="false" ht="15" hidden="false" customHeight="false" outlineLevel="0" collapsed="false">
      <c r="E2" s="1" t="s">
        <v>1</v>
      </c>
    </row>
    <row r="6" customFormat="false" ht="17.35" hidden="false" customHeight="false" outlineLevel="0" collapsed="false">
      <c r="B6" s="216" t="s">
        <v>932</v>
      </c>
      <c r="E6" s="1"/>
    </row>
    <row r="7" customFormat="false" ht="15" hidden="false" customHeight="false" outlineLevel="0" collapsed="false">
      <c r="E7" s="1"/>
    </row>
    <row r="8" customFormat="false" ht="17.35" hidden="false" customHeight="false" outlineLevel="0" collapsed="false">
      <c r="E8" s="88"/>
    </row>
    <row r="10" customFormat="false" ht="35.05" hidden="false" customHeight="false" outlineLevel="0" collapsed="false">
      <c r="A10" s="217" t="s">
        <v>80</v>
      </c>
      <c r="B10" s="217" t="s">
        <v>933</v>
      </c>
      <c r="C10" s="111" t="s">
        <v>82</v>
      </c>
      <c r="D10" s="111" t="s">
        <v>934</v>
      </c>
      <c r="E10" s="111" t="s">
        <v>83</v>
      </c>
    </row>
    <row r="11" customFormat="false" ht="15" hidden="false" customHeight="false" outlineLevel="0" collapsed="false">
      <c r="A11" s="218" t="s">
        <v>935</v>
      </c>
      <c r="B11" s="219" t="s">
        <v>936</v>
      </c>
      <c r="C11" s="220"/>
      <c r="D11" s="220"/>
      <c r="E11" s="220"/>
    </row>
    <row r="12" customFormat="false" ht="15" hidden="false" customHeight="false" outlineLevel="0" collapsed="false">
      <c r="A12" s="218"/>
      <c r="B12" s="219" t="s">
        <v>937</v>
      </c>
      <c r="C12" s="220"/>
      <c r="D12" s="220"/>
      <c r="E12" s="220"/>
    </row>
    <row r="13" customFormat="false" ht="15" hidden="false" customHeight="false" outlineLevel="0" collapsed="false">
      <c r="A13" s="218" t="s">
        <v>938</v>
      </c>
      <c r="B13" s="221" t="s">
        <v>939</v>
      </c>
      <c r="C13" s="222" t="s">
        <v>86</v>
      </c>
      <c r="D13" s="223"/>
      <c r="E13" s="223"/>
    </row>
    <row r="14" customFormat="false" ht="15" hidden="false" customHeight="false" outlineLevel="0" collapsed="false">
      <c r="A14" s="218" t="s">
        <v>940</v>
      </c>
      <c r="B14" s="224" t="s">
        <v>941</v>
      </c>
      <c r="C14" s="222" t="s">
        <v>86</v>
      </c>
      <c r="D14" s="223"/>
      <c r="E14" s="223"/>
    </row>
    <row r="15" customFormat="false" ht="26.85" hidden="false" customHeight="false" outlineLevel="0" collapsed="false">
      <c r="A15" s="218" t="s">
        <v>942</v>
      </c>
      <c r="B15" s="224" t="s">
        <v>943</v>
      </c>
      <c r="C15" s="222" t="s">
        <v>86</v>
      </c>
      <c r="D15" s="223"/>
      <c r="E15" s="223"/>
    </row>
    <row r="16" customFormat="false" ht="15" hidden="false" customHeight="false" outlineLevel="0" collapsed="false">
      <c r="A16" s="218" t="s">
        <v>944</v>
      </c>
      <c r="B16" s="224" t="s">
        <v>945</v>
      </c>
      <c r="C16" s="222" t="s">
        <v>86</v>
      </c>
      <c r="D16" s="223"/>
      <c r="E16" s="223"/>
    </row>
    <row r="17" customFormat="false" ht="15" hidden="false" customHeight="false" outlineLevel="0" collapsed="false">
      <c r="A17" s="218" t="s">
        <v>946</v>
      </c>
      <c r="B17" s="224" t="s">
        <v>947</v>
      </c>
      <c r="C17" s="222" t="s">
        <v>86</v>
      </c>
      <c r="D17" s="223"/>
      <c r="E17" s="223"/>
    </row>
    <row r="18" customFormat="false" ht="15" hidden="false" customHeight="false" outlineLevel="0" collapsed="false">
      <c r="A18" s="218" t="s">
        <v>948</v>
      </c>
      <c r="B18" s="224" t="s">
        <v>949</v>
      </c>
      <c r="C18" s="222" t="s">
        <v>86</v>
      </c>
      <c r="D18" s="223"/>
      <c r="E18" s="223"/>
    </row>
    <row r="19" customFormat="false" ht="15" hidden="false" customHeight="false" outlineLevel="0" collapsed="false">
      <c r="A19" s="218" t="s">
        <v>950</v>
      </c>
      <c r="B19" s="224" t="s">
        <v>951</v>
      </c>
      <c r="C19" s="222" t="s">
        <v>86</v>
      </c>
      <c r="D19" s="223"/>
      <c r="E19" s="223"/>
    </row>
    <row r="20" customFormat="false" ht="15" hidden="false" customHeight="false" outlineLevel="0" collapsed="false">
      <c r="A20" s="218" t="s">
        <v>952</v>
      </c>
      <c r="B20" s="224" t="s">
        <v>953</v>
      </c>
      <c r="C20" s="222" t="s">
        <v>86</v>
      </c>
      <c r="D20" s="223"/>
      <c r="E20" s="223"/>
    </row>
    <row r="21" customFormat="false" ht="15" hidden="false" customHeight="false" outlineLevel="0" collapsed="false">
      <c r="A21" s="218" t="s">
        <v>954</v>
      </c>
      <c r="B21" s="224" t="s">
        <v>955</v>
      </c>
      <c r="C21" s="222" t="s">
        <v>86</v>
      </c>
      <c r="D21" s="223"/>
      <c r="E21" s="223"/>
    </row>
    <row r="22" customFormat="false" ht="15" hidden="false" customHeight="false" outlineLevel="0" collapsed="false">
      <c r="A22" s="218" t="s">
        <v>956</v>
      </c>
      <c r="B22" s="221" t="s">
        <v>957</v>
      </c>
      <c r="C22" s="225" t="s">
        <v>119</v>
      </c>
      <c r="D22" s="223"/>
      <c r="E22" s="223"/>
    </row>
    <row r="23" customFormat="false" ht="15" hidden="false" customHeight="false" outlineLevel="0" collapsed="false">
      <c r="A23" s="218" t="s">
        <v>958</v>
      </c>
      <c r="B23" s="221" t="s">
        <v>959</v>
      </c>
      <c r="C23" s="222" t="s">
        <v>86</v>
      </c>
      <c r="D23" s="223"/>
      <c r="E23" s="223"/>
    </row>
    <row r="24" customFormat="false" ht="15" hidden="false" customHeight="false" outlineLevel="0" collapsed="false">
      <c r="A24" s="218" t="s">
        <v>960</v>
      </c>
      <c r="B24" s="224" t="s">
        <v>961</v>
      </c>
      <c r="C24" s="222" t="s">
        <v>86</v>
      </c>
      <c r="D24" s="223"/>
      <c r="E24" s="223"/>
    </row>
    <row r="25" customFormat="false" ht="15" hidden="false" customHeight="false" outlineLevel="0" collapsed="false">
      <c r="A25" s="218" t="s">
        <v>962</v>
      </c>
      <c r="B25" s="224" t="s">
        <v>963</v>
      </c>
      <c r="C25" s="222" t="s">
        <v>86</v>
      </c>
      <c r="D25" s="223"/>
      <c r="E25" s="223"/>
    </row>
    <row r="26" customFormat="false" ht="15" hidden="false" customHeight="false" outlineLevel="0" collapsed="false">
      <c r="A26" s="218" t="s">
        <v>964</v>
      </c>
      <c r="B26" s="224" t="s">
        <v>965</v>
      </c>
      <c r="C26" s="222" t="s">
        <v>86</v>
      </c>
      <c r="D26" s="223"/>
      <c r="E26" s="223"/>
    </row>
    <row r="27" customFormat="false" ht="15" hidden="false" customHeight="false" outlineLevel="0" collapsed="false">
      <c r="A27" s="218" t="s">
        <v>966</v>
      </c>
      <c r="B27" s="224" t="s">
        <v>967</v>
      </c>
      <c r="C27" s="222" t="s">
        <v>86</v>
      </c>
      <c r="D27" s="223"/>
      <c r="E27" s="223"/>
    </row>
    <row r="28" customFormat="false" ht="26.85" hidden="false" customHeight="false" outlineLevel="0" collapsed="false">
      <c r="A28" s="218" t="s">
        <v>968</v>
      </c>
      <c r="B28" s="224" t="s">
        <v>969</v>
      </c>
      <c r="C28" s="222" t="s">
        <v>86</v>
      </c>
      <c r="D28" s="223"/>
      <c r="E28" s="223"/>
    </row>
    <row r="29" customFormat="false" ht="26.85" hidden="false" customHeight="false" outlineLevel="0" collapsed="false">
      <c r="A29" s="218" t="s">
        <v>970</v>
      </c>
      <c r="B29" s="224" t="s">
        <v>971</v>
      </c>
      <c r="C29" s="222" t="s">
        <v>86</v>
      </c>
      <c r="D29" s="223"/>
      <c r="E29" s="223"/>
    </row>
    <row r="30" customFormat="false" ht="79.85" hidden="false" customHeight="false" outlineLevel="0" collapsed="false">
      <c r="A30" s="218" t="s">
        <v>972</v>
      </c>
      <c r="B30" s="224" t="s">
        <v>973</v>
      </c>
      <c r="C30" s="222" t="s">
        <v>86</v>
      </c>
      <c r="D30" s="223"/>
      <c r="E30" s="226" t="s">
        <v>974</v>
      </c>
    </row>
    <row r="31" customFormat="false" ht="79.85" hidden="false" customHeight="false" outlineLevel="0" collapsed="false">
      <c r="A31" s="218" t="s">
        <v>975</v>
      </c>
      <c r="B31" s="224" t="s">
        <v>976</v>
      </c>
      <c r="C31" s="222" t="s">
        <v>86</v>
      </c>
      <c r="D31" s="223"/>
      <c r="E31" s="226" t="s">
        <v>974</v>
      </c>
    </row>
    <row r="32" customFormat="false" ht="15" hidden="false" customHeight="false" outlineLevel="0" collapsed="false">
      <c r="A32" s="218" t="s">
        <v>977</v>
      </c>
      <c r="B32" s="224" t="s">
        <v>978</v>
      </c>
      <c r="C32" s="222" t="s">
        <v>86</v>
      </c>
      <c r="D32" s="223"/>
      <c r="E32" s="223"/>
    </row>
    <row r="33" customFormat="false" ht="15" hidden="false" customHeight="false" outlineLevel="0" collapsed="false">
      <c r="A33" s="218" t="s">
        <v>979</v>
      </c>
      <c r="B33" s="224" t="s">
        <v>980</v>
      </c>
      <c r="C33" s="222" t="s">
        <v>86</v>
      </c>
      <c r="D33" s="223"/>
      <c r="E33" s="223"/>
    </row>
    <row r="34" customFormat="false" ht="15" hidden="false" customHeight="false" outlineLevel="0" collapsed="false">
      <c r="A34" s="218" t="s">
        <v>981</v>
      </c>
      <c r="B34" s="224" t="s">
        <v>982</v>
      </c>
      <c r="C34" s="222" t="s">
        <v>86</v>
      </c>
      <c r="D34" s="223"/>
      <c r="E34" s="223"/>
    </row>
    <row r="35" customFormat="false" ht="23.85" hidden="false" customHeight="false" outlineLevel="0" collapsed="false">
      <c r="A35" s="218" t="s">
        <v>983</v>
      </c>
      <c r="B35" s="224" t="s">
        <v>984</v>
      </c>
      <c r="C35" s="227" t="s">
        <v>985</v>
      </c>
      <c r="D35" s="223"/>
      <c r="E35" s="228" t="s">
        <v>986</v>
      </c>
    </row>
    <row r="36" customFormat="false" ht="15" hidden="false" customHeight="false" outlineLevel="0" collapsed="false">
      <c r="A36" s="218" t="s">
        <v>987</v>
      </c>
      <c r="B36" s="224" t="s">
        <v>988</v>
      </c>
      <c r="C36" s="222" t="s">
        <v>86</v>
      </c>
      <c r="D36" s="223"/>
      <c r="E36" s="223"/>
    </row>
    <row r="37" customFormat="false" ht="26.85" hidden="false" customHeight="false" outlineLevel="0" collapsed="false">
      <c r="A37" s="218" t="s">
        <v>989</v>
      </c>
      <c r="B37" s="224" t="s">
        <v>990</v>
      </c>
      <c r="C37" s="222" t="s">
        <v>86</v>
      </c>
      <c r="D37" s="223"/>
      <c r="E37" s="223"/>
    </row>
    <row r="38" customFormat="false" ht="15" hidden="false" customHeight="false" outlineLevel="0" collapsed="false">
      <c r="A38" s="218" t="s">
        <v>991</v>
      </c>
      <c r="B38" s="224" t="s">
        <v>992</v>
      </c>
      <c r="C38" s="222" t="s">
        <v>86</v>
      </c>
      <c r="D38" s="223"/>
      <c r="E38" s="223"/>
    </row>
    <row r="39" customFormat="false" ht="26.85" hidden="false" customHeight="false" outlineLevel="0" collapsed="false">
      <c r="A39" s="218" t="s">
        <v>993</v>
      </c>
      <c r="B39" s="224" t="s">
        <v>994</v>
      </c>
      <c r="C39" s="227" t="s">
        <v>93</v>
      </c>
      <c r="D39" s="223"/>
      <c r="E39" s="228" t="s">
        <v>995</v>
      </c>
    </row>
    <row r="40" customFormat="false" ht="15" hidden="false" customHeight="false" outlineLevel="0" collapsed="false">
      <c r="A40" s="218" t="s">
        <v>996</v>
      </c>
      <c r="B40" s="224" t="s">
        <v>997</v>
      </c>
      <c r="C40" s="222" t="s">
        <v>86</v>
      </c>
      <c r="D40" s="223"/>
      <c r="E40" s="223"/>
    </row>
    <row r="41" customFormat="false" ht="15" hidden="false" customHeight="false" outlineLevel="0" collapsed="false">
      <c r="A41" s="218" t="s">
        <v>998</v>
      </c>
      <c r="B41" s="224" t="s">
        <v>999</v>
      </c>
      <c r="C41" s="222" t="s">
        <v>86</v>
      </c>
      <c r="D41" s="223"/>
      <c r="E41" s="223"/>
    </row>
    <row r="42" customFormat="false" ht="15" hidden="false" customHeight="false" outlineLevel="0" collapsed="false">
      <c r="A42" s="218" t="s">
        <v>1000</v>
      </c>
      <c r="B42" s="224" t="s">
        <v>1001</v>
      </c>
      <c r="C42" s="222" t="s">
        <v>86</v>
      </c>
      <c r="D42" s="223"/>
      <c r="E42" s="223"/>
    </row>
    <row r="43" customFormat="false" ht="15" hidden="false" customHeight="false" outlineLevel="0" collapsed="false">
      <c r="A43" s="218" t="s">
        <v>1002</v>
      </c>
      <c r="B43" s="224" t="s">
        <v>1003</v>
      </c>
      <c r="C43" s="222" t="s">
        <v>86</v>
      </c>
      <c r="D43" s="223"/>
      <c r="E43" s="223"/>
    </row>
    <row r="44" customFormat="false" ht="23.85" hidden="false" customHeight="false" outlineLevel="0" collapsed="false">
      <c r="A44" s="218" t="s">
        <v>1004</v>
      </c>
      <c r="B44" s="224" t="s">
        <v>1005</v>
      </c>
      <c r="C44" s="227" t="s">
        <v>93</v>
      </c>
      <c r="D44" s="223"/>
      <c r="E44" s="228" t="s">
        <v>1006</v>
      </c>
    </row>
    <row r="45" customFormat="false" ht="23.85" hidden="false" customHeight="false" outlineLevel="0" collapsed="false">
      <c r="A45" s="218" t="s">
        <v>1007</v>
      </c>
      <c r="B45" s="224" t="s">
        <v>1008</v>
      </c>
      <c r="C45" s="227" t="s">
        <v>93</v>
      </c>
      <c r="D45" s="223"/>
      <c r="E45" s="228" t="s">
        <v>1006</v>
      </c>
    </row>
    <row r="46" customFormat="false" ht="23.85" hidden="false" customHeight="false" outlineLevel="0" collapsed="false">
      <c r="A46" s="218" t="s">
        <v>1009</v>
      </c>
      <c r="B46" s="224" t="s">
        <v>1010</v>
      </c>
      <c r="C46" s="227" t="s">
        <v>93</v>
      </c>
      <c r="D46" s="223"/>
      <c r="E46" s="228" t="s">
        <v>1006</v>
      </c>
    </row>
    <row r="47" customFormat="false" ht="23.85" hidden="false" customHeight="false" outlineLevel="0" collapsed="false">
      <c r="A47" s="218" t="s">
        <v>1011</v>
      </c>
      <c r="B47" s="224" t="s">
        <v>1012</v>
      </c>
      <c r="C47" s="227" t="s">
        <v>93</v>
      </c>
      <c r="D47" s="223"/>
      <c r="E47" s="228" t="s">
        <v>1006</v>
      </c>
    </row>
    <row r="48" customFormat="false" ht="26.85" hidden="false" customHeight="false" outlineLevel="0" collapsed="false">
      <c r="A48" s="218" t="s">
        <v>1013</v>
      </c>
      <c r="B48" s="224" t="s">
        <v>1014</v>
      </c>
      <c r="C48" s="227" t="s">
        <v>93</v>
      </c>
      <c r="D48" s="223"/>
      <c r="E48" s="228" t="s">
        <v>1006</v>
      </c>
    </row>
    <row r="49" customFormat="false" ht="23.85" hidden="false" customHeight="false" outlineLevel="0" collapsed="false">
      <c r="A49" s="218" t="s">
        <v>1015</v>
      </c>
      <c r="B49" s="224" t="s">
        <v>1016</v>
      </c>
      <c r="C49" s="227" t="s">
        <v>93</v>
      </c>
      <c r="D49" s="223"/>
      <c r="E49" s="228" t="s">
        <v>1006</v>
      </c>
    </row>
    <row r="50" customFormat="false" ht="23.85" hidden="false" customHeight="false" outlineLevel="0" collapsed="false">
      <c r="A50" s="218" t="s">
        <v>1017</v>
      </c>
      <c r="B50" s="224" t="s">
        <v>1018</v>
      </c>
      <c r="C50" s="227" t="s">
        <v>93</v>
      </c>
      <c r="D50" s="223"/>
      <c r="E50" s="228" t="s">
        <v>1006</v>
      </c>
    </row>
    <row r="51" customFormat="false" ht="23.85" hidden="false" customHeight="false" outlineLevel="0" collapsed="false">
      <c r="A51" s="218" t="s">
        <v>1019</v>
      </c>
      <c r="B51" s="224" t="s">
        <v>1020</v>
      </c>
      <c r="C51" s="227" t="s">
        <v>93</v>
      </c>
      <c r="D51" s="223"/>
      <c r="E51" s="228" t="s">
        <v>1021</v>
      </c>
    </row>
    <row r="52" customFormat="false" ht="23.85" hidden="false" customHeight="false" outlineLevel="0" collapsed="false">
      <c r="A52" s="218" t="s">
        <v>1022</v>
      </c>
      <c r="B52" s="224" t="s">
        <v>1023</v>
      </c>
      <c r="C52" s="227" t="s">
        <v>93</v>
      </c>
      <c r="D52" s="223"/>
      <c r="E52" s="228" t="s">
        <v>1021</v>
      </c>
    </row>
    <row r="53" customFormat="false" ht="23.85" hidden="false" customHeight="false" outlineLevel="0" collapsed="false">
      <c r="A53" s="218" t="s">
        <v>1024</v>
      </c>
      <c r="B53" s="224" t="s">
        <v>1025</v>
      </c>
      <c r="C53" s="227" t="s">
        <v>93</v>
      </c>
      <c r="D53" s="223"/>
      <c r="E53" s="228" t="s">
        <v>1021</v>
      </c>
    </row>
    <row r="54" customFormat="false" ht="15" hidden="false" customHeight="false" outlineLevel="0" collapsed="false">
      <c r="A54" s="218" t="s">
        <v>1026</v>
      </c>
      <c r="B54" s="224" t="s">
        <v>1027</v>
      </c>
      <c r="C54" s="222" t="s">
        <v>86</v>
      </c>
      <c r="D54" s="223"/>
      <c r="E54" s="223"/>
    </row>
    <row r="55" customFormat="false" ht="15" hidden="false" customHeight="false" outlineLevel="0" collapsed="false">
      <c r="A55" s="218" t="s">
        <v>1028</v>
      </c>
      <c r="B55" s="224" t="s">
        <v>1029</v>
      </c>
      <c r="C55" s="222" t="s">
        <v>86</v>
      </c>
      <c r="D55" s="223"/>
      <c r="E55" s="223"/>
    </row>
    <row r="56" customFormat="false" ht="15" hidden="false" customHeight="false" outlineLevel="0" collapsed="false">
      <c r="A56" s="218" t="s">
        <v>1030</v>
      </c>
      <c r="B56" s="224" t="s">
        <v>1031</v>
      </c>
      <c r="C56" s="222" t="s">
        <v>86</v>
      </c>
      <c r="D56" s="223"/>
      <c r="E56" s="223"/>
    </row>
    <row r="57" customFormat="false" ht="15" hidden="false" customHeight="false" outlineLevel="0" collapsed="false">
      <c r="A57" s="218" t="s">
        <v>1032</v>
      </c>
      <c r="B57" s="224" t="s">
        <v>1033</v>
      </c>
      <c r="C57" s="222" t="s">
        <v>86</v>
      </c>
      <c r="D57" s="223"/>
      <c r="E57" s="223"/>
    </row>
    <row r="58" customFormat="false" ht="15" hidden="false" customHeight="false" outlineLevel="0" collapsed="false">
      <c r="A58" s="218" t="s">
        <v>1034</v>
      </c>
      <c r="B58" s="224" t="s">
        <v>1035</v>
      </c>
      <c r="C58" s="222" t="s">
        <v>86</v>
      </c>
      <c r="D58" s="223"/>
      <c r="E58" s="223"/>
    </row>
    <row r="59" customFormat="false" ht="23.85" hidden="false" customHeight="false" outlineLevel="0" collapsed="false">
      <c r="A59" s="218" t="s">
        <v>1036</v>
      </c>
      <c r="B59" s="224" t="s">
        <v>1037</v>
      </c>
      <c r="C59" s="227" t="s">
        <v>93</v>
      </c>
      <c r="D59" s="223"/>
      <c r="E59" s="228" t="s">
        <v>1038</v>
      </c>
    </row>
    <row r="60" customFormat="false" ht="15" hidden="false" customHeight="false" outlineLevel="0" collapsed="false">
      <c r="A60" s="218" t="s">
        <v>1039</v>
      </c>
      <c r="B60" s="224" t="s">
        <v>1040</v>
      </c>
      <c r="C60" s="222" t="s">
        <v>86</v>
      </c>
      <c r="D60" s="223"/>
      <c r="E60" s="223"/>
    </row>
    <row r="61" customFormat="false" ht="15" hidden="false" customHeight="false" outlineLevel="0" collapsed="false">
      <c r="A61" s="218" t="s">
        <v>1041</v>
      </c>
      <c r="B61" s="224" t="s">
        <v>1042</v>
      </c>
      <c r="C61" s="222" t="s">
        <v>86</v>
      </c>
      <c r="D61" s="223"/>
      <c r="E61" s="223"/>
    </row>
    <row r="62" customFormat="false" ht="15" hidden="false" customHeight="false" outlineLevel="0" collapsed="false">
      <c r="A62" s="218" t="s">
        <v>1043</v>
      </c>
      <c r="B62" s="224" t="s">
        <v>1044</v>
      </c>
      <c r="C62" s="222" t="s">
        <v>86</v>
      </c>
      <c r="D62" s="223"/>
      <c r="E62" s="223"/>
    </row>
    <row r="63" customFormat="false" ht="15" hidden="false" customHeight="false" outlineLevel="0" collapsed="false">
      <c r="A63" s="218" t="s">
        <v>1045</v>
      </c>
      <c r="B63" s="224" t="s">
        <v>1046</v>
      </c>
      <c r="C63" s="222" t="s">
        <v>86</v>
      </c>
      <c r="D63" s="223"/>
      <c r="E63" s="223"/>
    </row>
    <row r="64" customFormat="false" ht="15" hidden="false" customHeight="false" outlineLevel="0" collapsed="false">
      <c r="A64" s="218" t="s">
        <v>1047</v>
      </c>
      <c r="B64" s="224" t="s">
        <v>1048</v>
      </c>
      <c r="C64" s="222" t="s">
        <v>86</v>
      </c>
      <c r="D64" s="223"/>
      <c r="E64" s="223"/>
    </row>
    <row r="65" customFormat="false" ht="15" hidden="false" customHeight="false" outlineLevel="0" collapsed="false">
      <c r="A65" s="218" t="s">
        <v>1049</v>
      </c>
      <c r="B65" s="224" t="s">
        <v>1050</v>
      </c>
      <c r="C65" s="222" t="s">
        <v>86</v>
      </c>
      <c r="D65" s="223"/>
      <c r="E65" s="223"/>
    </row>
    <row r="66" customFormat="false" ht="15" hidden="false" customHeight="false" outlineLevel="0" collapsed="false">
      <c r="A66" s="218" t="s">
        <v>1051</v>
      </c>
      <c r="B66" s="224" t="s">
        <v>1052</v>
      </c>
      <c r="C66" s="222" t="s">
        <v>86</v>
      </c>
      <c r="D66" s="223"/>
      <c r="E66" s="223"/>
    </row>
    <row r="67" customFormat="false" ht="26.85" hidden="false" customHeight="false" outlineLevel="0" collapsed="false">
      <c r="A67" s="218" t="s">
        <v>1053</v>
      </c>
      <c r="B67" s="224" t="s">
        <v>1054</v>
      </c>
      <c r="C67" s="222" t="s">
        <v>86</v>
      </c>
      <c r="D67" s="223"/>
      <c r="E67" s="223"/>
    </row>
    <row r="68" customFormat="false" ht="15" hidden="false" customHeight="false" outlineLevel="0" collapsed="false">
      <c r="A68" s="218" t="s">
        <v>1055</v>
      </c>
      <c r="B68" s="224" t="s">
        <v>1056</v>
      </c>
      <c r="C68" s="222" t="s">
        <v>86</v>
      </c>
      <c r="D68" s="223"/>
      <c r="E68" s="223"/>
    </row>
    <row r="69" customFormat="false" ht="15" hidden="false" customHeight="false" outlineLevel="0" collapsed="false">
      <c r="A69" s="218" t="s">
        <v>1057</v>
      </c>
      <c r="B69" s="221" t="s">
        <v>1058</v>
      </c>
      <c r="C69" s="222" t="s">
        <v>86</v>
      </c>
      <c r="D69" s="223"/>
      <c r="E69" s="223"/>
    </row>
    <row r="70" customFormat="false" ht="15" hidden="false" customHeight="false" outlineLevel="0" collapsed="false">
      <c r="A70" s="218" t="s">
        <v>1059</v>
      </c>
      <c r="B70" s="221" t="s">
        <v>1060</v>
      </c>
      <c r="C70" s="222" t="s">
        <v>86</v>
      </c>
      <c r="D70" s="223"/>
      <c r="E70" s="223"/>
    </row>
    <row r="71" customFormat="false" ht="15" hidden="false" customHeight="false" outlineLevel="0" collapsed="false">
      <c r="A71" s="218" t="s">
        <v>1061</v>
      </c>
      <c r="B71" s="224" t="s">
        <v>1062</v>
      </c>
      <c r="C71" s="222" t="s">
        <v>86</v>
      </c>
      <c r="D71" s="223"/>
      <c r="E71" s="223"/>
    </row>
    <row r="72" customFormat="false" ht="26.85" hidden="false" customHeight="false" outlineLevel="0" collapsed="false">
      <c r="A72" s="218" t="s">
        <v>1063</v>
      </c>
      <c r="B72" s="224" t="s">
        <v>1064</v>
      </c>
      <c r="C72" s="225" t="s">
        <v>119</v>
      </c>
      <c r="D72" s="223"/>
      <c r="E72" s="223"/>
    </row>
    <row r="73" customFormat="false" ht="26.85" hidden="false" customHeight="false" outlineLevel="0" collapsed="false">
      <c r="A73" s="218" t="s">
        <v>1065</v>
      </c>
      <c r="B73" s="224" t="s">
        <v>1066</v>
      </c>
      <c r="C73" s="222" t="s">
        <v>86</v>
      </c>
      <c r="D73" s="223"/>
      <c r="E73" s="223"/>
    </row>
    <row r="74" customFormat="false" ht="15" hidden="false" customHeight="false" outlineLevel="0" collapsed="false">
      <c r="A74" s="218" t="s">
        <v>1067</v>
      </c>
      <c r="B74" s="224" t="s">
        <v>1068</v>
      </c>
      <c r="C74" s="222" t="s">
        <v>86</v>
      </c>
      <c r="D74" s="223"/>
      <c r="E74" s="223"/>
    </row>
    <row r="75" customFormat="false" ht="26.85" hidden="false" customHeight="false" outlineLevel="0" collapsed="false">
      <c r="A75" s="218" t="s">
        <v>1069</v>
      </c>
      <c r="B75" s="224" t="s">
        <v>1070</v>
      </c>
      <c r="C75" s="222" t="s">
        <v>86</v>
      </c>
      <c r="D75" s="223"/>
      <c r="E75" s="223"/>
    </row>
    <row r="76" customFormat="false" ht="15" hidden="false" customHeight="false" outlineLevel="0" collapsed="false">
      <c r="A76" s="218" t="s">
        <v>1071</v>
      </c>
      <c r="B76" s="224" t="s">
        <v>1072</v>
      </c>
      <c r="C76" s="222" t="s">
        <v>86</v>
      </c>
      <c r="D76" s="223"/>
      <c r="E76" s="223"/>
    </row>
    <row r="77" customFormat="false" ht="15" hidden="false" customHeight="false" outlineLevel="0" collapsed="false">
      <c r="A77" s="218" t="s">
        <v>1073</v>
      </c>
      <c r="B77" s="224" t="s">
        <v>1074</v>
      </c>
      <c r="C77" s="222" t="s">
        <v>86</v>
      </c>
      <c r="D77" s="223"/>
      <c r="E77" s="223"/>
    </row>
    <row r="78" customFormat="false" ht="26.85" hidden="false" customHeight="false" outlineLevel="0" collapsed="false">
      <c r="A78" s="218" t="s">
        <v>1075</v>
      </c>
      <c r="B78" s="224" t="s">
        <v>1076</v>
      </c>
      <c r="C78" s="222" t="s">
        <v>86</v>
      </c>
      <c r="D78" s="223"/>
      <c r="E78" s="223"/>
    </row>
    <row r="79" customFormat="false" ht="26.85" hidden="false" customHeight="false" outlineLevel="0" collapsed="false">
      <c r="A79" s="218" t="s">
        <v>1077</v>
      </c>
      <c r="B79" s="224" t="s">
        <v>1078</v>
      </c>
      <c r="C79" s="222" t="s">
        <v>86</v>
      </c>
      <c r="D79" s="223"/>
      <c r="E79" s="223"/>
    </row>
    <row r="80" customFormat="false" ht="15" hidden="false" customHeight="false" outlineLevel="0" collapsed="false">
      <c r="A80" s="218" t="s">
        <v>1079</v>
      </c>
      <c r="B80" s="224" t="s">
        <v>1080</v>
      </c>
      <c r="C80" s="222" t="s">
        <v>86</v>
      </c>
      <c r="D80" s="223"/>
      <c r="E80" s="223"/>
    </row>
    <row r="81" customFormat="false" ht="26.85" hidden="false" customHeight="false" outlineLevel="0" collapsed="false">
      <c r="A81" s="218" t="s">
        <v>1081</v>
      </c>
      <c r="B81" s="224" t="s">
        <v>1082</v>
      </c>
      <c r="C81" s="222" t="s">
        <v>86</v>
      </c>
      <c r="D81" s="223"/>
      <c r="E81" s="223"/>
    </row>
    <row r="82" customFormat="false" ht="15" hidden="false" customHeight="false" outlineLevel="0" collapsed="false">
      <c r="A82" s="218" t="s">
        <v>1083</v>
      </c>
      <c r="B82" s="224" t="s">
        <v>1084</v>
      </c>
      <c r="C82" s="222" t="s">
        <v>86</v>
      </c>
      <c r="D82" s="223"/>
      <c r="E82" s="223"/>
    </row>
    <row r="83" customFormat="false" ht="15" hidden="false" customHeight="false" outlineLevel="0" collapsed="false">
      <c r="A83" s="218" t="s">
        <v>1085</v>
      </c>
      <c r="B83" s="219" t="s">
        <v>1086</v>
      </c>
      <c r="C83" s="220"/>
      <c r="D83" s="220"/>
      <c r="E83" s="220"/>
    </row>
    <row r="84" customFormat="false" ht="15" hidden="false" customHeight="false" outlineLevel="0" collapsed="false">
      <c r="A84" s="218"/>
      <c r="B84" s="219" t="s">
        <v>1087</v>
      </c>
      <c r="C84" s="220"/>
      <c r="D84" s="220"/>
      <c r="E84" s="220"/>
    </row>
    <row r="85" customFormat="false" ht="15" hidden="false" customHeight="false" outlineLevel="0" collapsed="false">
      <c r="A85" s="218" t="s">
        <v>1088</v>
      </c>
      <c r="B85" s="224" t="s">
        <v>1089</v>
      </c>
      <c r="C85" s="222" t="s">
        <v>86</v>
      </c>
      <c r="D85" s="223"/>
      <c r="E85" s="223"/>
    </row>
    <row r="86" customFormat="false" ht="15" hidden="false" customHeight="false" outlineLevel="0" collapsed="false">
      <c r="A86" s="218" t="s">
        <v>1090</v>
      </c>
      <c r="B86" s="224" t="s">
        <v>945</v>
      </c>
      <c r="C86" s="222" t="s">
        <v>86</v>
      </c>
      <c r="D86" s="223"/>
      <c r="E86" s="223"/>
    </row>
    <row r="87" customFormat="false" ht="15" hidden="false" customHeight="false" outlineLevel="0" collapsed="false">
      <c r="A87" s="218" t="s">
        <v>1091</v>
      </c>
      <c r="B87" s="224" t="s">
        <v>947</v>
      </c>
      <c r="C87" s="222" t="s">
        <v>86</v>
      </c>
      <c r="D87" s="223"/>
      <c r="E87" s="223"/>
    </row>
    <row r="88" customFormat="false" ht="15" hidden="false" customHeight="false" outlineLevel="0" collapsed="false">
      <c r="A88" s="218" t="s">
        <v>1092</v>
      </c>
      <c r="B88" s="224" t="s">
        <v>1093</v>
      </c>
      <c r="C88" s="222" t="s">
        <v>86</v>
      </c>
      <c r="D88" s="223"/>
      <c r="E88" s="223"/>
    </row>
    <row r="89" customFormat="false" ht="15" hidden="false" customHeight="false" outlineLevel="0" collapsed="false">
      <c r="A89" s="218" t="s">
        <v>1094</v>
      </c>
      <c r="B89" s="224" t="s">
        <v>1095</v>
      </c>
      <c r="C89" s="222" t="s">
        <v>86</v>
      </c>
      <c r="D89" s="223"/>
      <c r="E89" s="223"/>
    </row>
    <row r="90" customFormat="false" ht="15" hidden="false" customHeight="false" outlineLevel="0" collapsed="false">
      <c r="A90" s="218" t="s">
        <v>1096</v>
      </c>
      <c r="B90" s="224" t="s">
        <v>1097</v>
      </c>
      <c r="C90" s="222" t="s">
        <v>86</v>
      </c>
      <c r="D90" s="223"/>
      <c r="E90" s="223"/>
    </row>
    <row r="91" customFormat="false" ht="15" hidden="false" customHeight="false" outlineLevel="0" collapsed="false">
      <c r="A91" s="218" t="s">
        <v>1098</v>
      </c>
      <c r="B91" s="224" t="s">
        <v>963</v>
      </c>
      <c r="C91" s="222" t="s">
        <v>86</v>
      </c>
      <c r="D91" s="223"/>
      <c r="E91" s="223"/>
    </row>
    <row r="92" customFormat="false" ht="15" hidden="false" customHeight="false" outlineLevel="0" collapsed="false">
      <c r="A92" s="218" t="s">
        <v>1099</v>
      </c>
      <c r="B92" s="224" t="s">
        <v>965</v>
      </c>
      <c r="C92" s="222" t="s">
        <v>86</v>
      </c>
      <c r="D92" s="223"/>
      <c r="E92" s="223"/>
    </row>
    <row r="93" customFormat="false" ht="26.85" hidden="false" customHeight="false" outlineLevel="0" collapsed="false">
      <c r="A93" s="218" t="s">
        <v>1100</v>
      </c>
      <c r="B93" s="224" t="s">
        <v>1101</v>
      </c>
      <c r="C93" s="222" t="s">
        <v>86</v>
      </c>
      <c r="D93" s="223"/>
      <c r="E93" s="223"/>
    </row>
    <row r="94" customFormat="false" ht="15" hidden="false" customHeight="false" outlineLevel="0" collapsed="false">
      <c r="A94" s="218" t="s">
        <v>1102</v>
      </c>
      <c r="B94" s="221" t="s">
        <v>1103</v>
      </c>
      <c r="C94" s="222" t="s">
        <v>86</v>
      </c>
      <c r="D94" s="223"/>
      <c r="E94" s="223"/>
    </row>
    <row r="95" customFormat="false" ht="26.85" hidden="false" customHeight="false" outlineLevel="0" collapsed="false">
      <c r="A95" s="218" t="s">
        <v>1104</v>
      </c>
      <c r="B95" s="221" t="s">
        <v>1105</v>
      </c>
      <c r="C95" s="222" t="s">
        <v>86</v>
      </c>
      <c r="D95" s="223"/>
      <c r="E95" s="223"/>
    </row>
    <row r="96" customFormat="false" ht="15" hidden="false" customHeight="false" outlineLevel="0" collapsed="false">
      <c r="A96" s="218" t="s">
        <v>1106</v>
      </c>
      <c r="B96" s="224" t="s">
        <v>1107</v>
      </c>
      <c r="C96" s="222" t="s">
        <v>86</v>
      </c>
      <c r="D96" s="223"/>
      <c r="E96" s="223" t="s">
        <v>1108</v>
      </c>
    </row>
    <row r="97" customFormat="false" ht="15" hidden="false" customHeight="false" outlineLevel="0" collapsed="false">
      <c r="A97" s="218" t="s">
        <v>1109</v>
      </c>
      <c r="B97" s="224" t="s">
        <v>1110</v>
      </c>
      <c r="C97" s="222" t="s">
        <v>86</v>
      </c>
      <c r="D97" s="223"/>
      <c r="E97" s="223" t="s">
        <v>1108</v>
      </c>
    </row>
    <row r="98" customFormat="false" ht="15" hidden="false" customHeight="false" outlineLevel="0" collapsed="false">
      <c r="A98" s="218" t="s">
        <v>1111</v>
      </c>
      <c r="B98" s="224" t="s">
        <v>1112</v>
      </c>
      <c r="C98" s="222" t="s">
        <v>86</v>
      </c>
      <c r="D98" s="223"/>
      <c r="E98" s="223" t="s">
        <v>1108</v>
      </c>
    </row>
    <row r="99" customFormat="false" ht="15" hidden="false" customHeight="false" outlineLevel="0" collapsed="false">
      <c r="A99" s="218" t="s">
        <v>1113</v>
      </c>
      <c r="B99" s="224" t="s">
        <v>1114</v>
      </c>
      <c r="C99" s="222" t="s">
        <v>86</v>
      </c>
      <c r="D99" s="223"/>
      <c r="E99" s="223" t="s">
        <v>1108</v>
      </c>
    </row>
    <row r="100" customFormat="false" ht="15" hidden="false" customHeight="false" outlineLevel="0" collapsed="false">
      <c r="A100" s="218" t="s">
        <v>1115</v>
      </c>
      <c r="B100" s="224" t="s">
        <v>1001</v>
      </c>
      <c r="C100" s="222" t="s">
        <v>86</v>
      </c>
      <c r="D100" s="223"/>
      <c r="E100" s="223"/>
    </row>
    <row r="101" customFormat="false" ht="23.85" hidden="false" customHeight="false" outlineLevel="0" collapsed="false">
      <c r="A101" s="218" t="s">
        <v>1116</v>
      </c>
      <c r="B101" s="224" t="s">
        <v>1117</v>
      </c>
      <c r="C101" s="227" t="s">
        <v>93</v>
      </c>
      <c r="D101" s="223"/>
      <c r="E101" s="228" t="s">
        <v>1006</v>
      </c>
    </row>
    <row r="102" customFormat="false" ht="23.85" hidden="false" customHeight="false" outlineLevel="0" collapsed="false">
      <c r="A102" s="218" t="s">
        <v>1118</v>
      </c>
      <c r="B102" s="224" t="s">
        <v>1119</v>
      </c>
      <c r="C102" s="227" t="s">
        <v>93</v>
      </c>
      <c r="D102" s="223"/>
      <c r="E102" s="228" t="s">
        <v>1006</v>
      </c>
    </row>
    <row r="103" customFormat="false" ht="23.85" hidden="false" customHeight="false" outlineLevel="0" collapsed="false">
      <c r="A103" s="218" t="s">
        <v>1120</v>
      </c>
      <c r="B103" s="224" t="s">
        <v>1012</v>
      </c>
      <c r="C103" s="227" t="s">
        <v>93</v>
      </c>
      <c r="D103" s="223"/>
      <c r="E103" s="228" t="s">
        <v>1006</v>
      </c>
    </row>
    <row r="104" customFormat="false" ht="26.85" hidden="false" customHeight="false" outlineLevel="0" collapsed="false">
      <c r="A104" s="218" t="s">
        <v>1121</v>
      </c>
      <c r="B104" s="224" t="s">
        <v>1122</v>
      </c>
      <c r="C104" s="227" t="s">
        <v>93</v>
      </c>
      <c r="D104" s="223"/>
      <c r="E104" s="228" t="s">
        <v>1006</v>
      </c>
    </row>
    <row r="105" customFormat="false" ht="23.85" hidden="false" customHeight="false" outlineLevel="0" collapsed="false">
      <c r="A105" s="218" t="s">
        <v>1123</v>
      </c>
      <c r="B105" s="224" t="s">
        <v>1016</v>
      </c>
      <c r="C105" s="227" t="s">
        <v>93</v>
      </c>
      <c r="D105" s="223"/>
      <c r="E105" s="228" t="s">
        <v>1006</v>
      </c>
    </row>
    <row r="106" customFormat="false" ht="23.85" hidden="false" customHeight="false" outlineLevel="0" collapsed="false">
      <c r="A106" s="218" t="s">
        <v>1124</v>
      </c>
      <c r="B106" s="224" t="s">
        <v>1018</v>
      </c>
      <c r="C106" s="227" t="s">
        <v>93</v>
      </c>
      <c r="D106" s="223"/>
      <c r="E106" s="228" t="s">
        <v>1006</v>
      </c>
    </row>
    <row r="107" customFormat="false" ht="23.85" hidden="false" customHeight="false" outlineLevel="0" collapsed="false">
      <c r="A107" s="218" t="s">
        <v>1125</v>
      </c>
      <c r="B107" s="224" t="s">
        <v>1126</v>
      </c>
      <c r="C107" s="227" t="s">
        <v>93</v>
      </c>
      <c r="D107" s="223"/>
      <c r="E107" s="228" t="s">
        <v>1021</v>
      </c>
    </row>
    <row r="108" customFormat="false" ht="23.85" hidden="false" customHeight="false" outlineLevel="0" collapsed="false">
      <c r="A108" s="218" t="s">
        <v>1127</v>
      </c>
      <c r="B108" s="224" t="s">
        <v>1023</v>
      </c>
      <c r="C108" s="227" t="s">
        <v>93</v>
      </c>
      <c r="D108" s="223"/>
      <c r="E108" s="228" t="s">
        <v>1021</v>
      </c>
    </row>
    <row r="109" customFormat="false" ht="23.85" hidden="false" customHeight="false" outlineLevel="0" collapsed="false">
      <c r="A109" s="218" t="s">
        <v>1128</v>
      </c>
      <c r="B109" s="224" t="s">
        <v>1129</v>
      </c>
      <c r="C109" s="227" t="s">
        <v>93</v>
      </c>
      <c r="D109" s="223"/>
      <c r="E109" s="228" t="s">
        <v>1021</v>
      </c>
    </row>
    <row r="110" customFormat="false" ht="15" hidden="false" customHeight="false" outlineLevel="0" collapsed="false">
      <c r="A110" s="218" t="s">
        <v>1130</v>
      </c>
      <c r="B110" s="224" t="s">
        <v>1131</v>
      </c>
      <c r="C110" s="222" t="s">
        <v>86</v>
      </c>
      <c r="D110" s="223"/>
      <c r="E110" s="223"/>
    </row>
    <row r="111" customFormat="false" ht="15" hidden="false" customHeight="false" outlineLevel="0" collapsed="false">
      <c r="A111" s="218" t="s">
        <v>1132</v>
      </c>
      <c r="B111" s="224" t="s">
        <v>1133</v>
      </c>
      <c r="C111" s="222" t="s">
        <v>86</v>
      </c>
      <c r="D111" s="223"/>
      <c r="E111" s="223"/>
    </row>
    <row r="112" customFormat="false" ht="15" hidden="false" customHeight="false" outlineLevel="0" collapsed="false">
      <c r="A112" s="218" t="s">
        <v>1134</v>
      </c>
      <c r="B112" s="224" t="s">
        <v>1033</v>
      </c>
      <c r="C112" s="222" t="s">
        <v>86</v>
      </c>
      <c r="D112" s="223"/>
      <c r="E112" s="223"/>
    </row>
    <row r="113" customFormat="false" ht="15" hidden="false" customHeight="false" outlineLevel="0" collapsed="false">
      <c r="A113" s="218" t="s">
        <v>1135</v>
      </c>
      <c r="B113" s="224" t="s">
        <v>1136</v>
      </c>
      <c r="C113" s="222" t="s">
        <v>86</v>
      </c>
      <c r="D113" s="223"/>
      <c r="E113" s="223"/>
    </row>
    <row r="114" customFormat="false" ht="26.85" hidden="false" customHeight="false" outlineLevel="0" collapsed="false">
      <c r="A114" s="218" t="s">
        <v>1137</v>
      </c>
      <c r="B114" s="224" t="s">
        <v>1138</v>
      </c>
      <c r="C114" s="222" t="s">
        <v>86</v>
      </c>
      <c r="D114" s="223"/>
      <c r="E114" s="223"/>
    </row>
    <row r="115" customFormat="false" ht="15" hidden="false" customHeight="false" outlineLevel="0" collapsed="false">
      <c r="A115" s="218" t="s">
        <v>1139</v>
      </c>
      <c r="B115" s="224" t="s">
        <v>1040</v>
      </c>
      <c r="C115" s="222" t="s">
        <v>86</v>
      </c>
      <c r="D115" s="223"/>
      <c r="E115" s="223"/>
    </row>
    <row r="116" customFormat="false" ht="15" hidden="false" customHeight="false" outlineLevel="0" collapsed="false">
      <c r="A116" s="218" t="s">
        <v>1140</v>
      </c>
      <c r="B116" s="224" t="s">
        <v>1141</v>
      </c>
      <c r="C116" s="222" t="s">
        <v>86</v>
      </c>
      <c r="D116" s="223"/>
      <c r="E116" s="223"/>
    </row>
    <row r="117" customFormat="false" ht="15" hidden="false" customHeight="false" outlineLevel="0" collapsed="false">
      <c r="A117" s="218" t="s">
        <v>1142</v>
      </c>
      <c r="B117" s="224" t="s">
        <v>1143</v>
      </c>
      <c r="C117" s="222" t="s">
        <v>86</v>
      </c>
      <c r="D117" s="223"/>
      <c r="E117" s="223"/>
    </row>
    <row r="118" customFormat="false" ht="15" hidden="false" customHeight="false" outlineLevel="0" collapsed="false">
      <c r="A118" s="218" t="s">
        <v>1144</v>
      </c>
      <c r="B118" s="224" t="s">
        <v>1048</v>
      </c>
      <c r="C118" s="222" t="s">
        <v>86</v>
      </c>
      <c r="D118" s="223"/>
      <c r="E118" s="223"/>
    </row>
    <row r="119" customFormat="false" ht="15" hidden="false" customHeight="false" outlineLevel="0" collapsed="false">
      <c r="A119" s="218" t="s">
        <v>1145</v>
      </c>
      <c r="B119" s="224" t="s">
        <v>1050</v>
      </c>
      <c r="C119" s="222" t="s">
        <v>86</v>
      </c>
      <c r="D119" s="223"/>
      <c r="E119" s="223"/>
    </row>
    <row r="120" customFormat="false" ht="15" hidden="false" customHeight="false" outlineLevel="0" collapsed="false">
      <c r="A120" s="218" t="s">
        <v>1146</v>
      </c>
      <c r="B120" s="224" t="s">
        <v>1147</v>
      </c>
      <c r="C120" s="222" t="s">
        <v>86</v>
      </c>
      <c r="D120" s="223"/>
      <c r="E120" s="223"/>
    </row>
    <row r="121" customFormat="false" ht="15" hidden="false" customHeight="false" outlineLevel="0" collapsed="false">
      <c r="A121" s="218" t="s">
        <v>1148</v>
      </c>
      <c r="B121" s="221" t="s">
        <v>1149</v>
      </c>
      <c r="C121" s="222" t="s">
        <v>86</v>
      </c>
      <c r="D121" s="223"/>
      <c r="E121" s="223"/>
    </row>
    <row r="122" customFormat="false" ht="15" hidden="false" customHeight="false" outlineLevel="0" collapsed="false">
      <c r="A122" s="218" t="s">
        <v>1150</v>
      </c>
      <c r="B122" s="221" t="s">
        <v>1151</v>
      </c>
      <c r="C122" s="222" t="s">
        <v>86</v>
      </c>
      <c r="D122" s="223"/>
      <c r="E122" s="223"/>
    </row>
    <row r="123" customFormat="false" ht="15" hidden="false" customHeight="false" outlineLevel="0" collapsed="false">
      <c r="A123" s="218" t="s">
        <v>1152</v>
      </c>
      <c r="B123" s="221" t="s">
        <v>1153</v>
      </c>
      <c r="C123" s="222" t="s">
        <v>86</v>
      </c>
      <c r="D123" s="223"/>
      <c r="E123" s="223"/>
    </row>
    <row r="124" customFormat="false" ht="15" hidden="false" customHeight="false" outlineLevel="0" collapsed="false">
      <c r="A124" s="218" t="s">
        <v>1154</v>
      </c>
      <c r="B124" s="221" t="s">
        <v>1060</v>
      </c>
      <c r="C124" s="222" t="s">
        <v>86</v>
      </c>
      <c r="D124" s="223"/>
      <c r="E124" s="223"/>
    </row>
    <row r="125" customFormat="false" ht="26.85" hidden="false" customHeight="false" outlineLevel="0" collapsed="false">
      <c r="A125" s="218" t="s">
        <v>1155</v>
      </c>
      <c r="B125" s="224" t="s">
        <v>1064</v>
      </c>
      <c r="C125" s="225" t="s">
        <v>119</v>
      </c>
      <c r="D125" s="223"/>
      <c r="E125" s="223"/>
    </row>
    <row r="126" customFormat="false" ht="15" hidden="false" customHeight="false" outlineLevel="0" collapsed="false">
      <c r="A126" s="218" t="s">
        <v>1156</v>
      </c>
      <c r="B126" s="224" t="s">
        <v>1068</v>
      </c>
      <c r="C126" s="222" t="s">
        <v>86</v>
      </c>
      <c r="D126" s="223"/>
      <c r="E126" s="223"/>
    </row>
    <row r="127" customFormat="false" ht="26.85" hidden="false" customHeight="false" outlineLevel="0" collapsed="false">
      <c r="A127" s="218" t="s">
        <v>1157</v>
      </c>
      <c r="B127" s="224" t="s">
        <v>1070</v>
      </c>
      <c r="C127" s="222" t="s">
        <v>86</v>
      </c>
      <c r="D127" s="223"/>
      <c r="E127" s="223"/>
    </row>
    <row r="128" customFormat="false" ht="15" hidden="false" customHeight="false" outlineLevel="0" collapsed="false">
      <c r="A128" s="218" t="s">
        <v>1158</v>
      </c>
      <c r="B128" s="224" t="s">
        <v>1159</v>
      </c>
      <c r="C128" s="222" t="s">
        <v>86</v>
      </c>
      <c r="D128" s="223"/>
      <c r="E128" s="223"/>
    </row>
    <row r="129" customFormat="false" ht="15" hidden="false" customHeight="false" outlineLevel="0" collapsed="false">
      <c r="A129" s="218" t="s">
        <v>1160</v>
      </c>
      <c r="B129" s="224" t="s">
        <v>1080</v>
      </c>
      <c r="C129" s="222" t="s">
        <v>86</v>
      </c>
      <c r="D129" s="223"/>
      <c r="E129" s="223"/>
    </row>
    <row r="130" customFormat="false" ht="15" hidden="false" customHeight="false" outlineLevel="0" collapsed="false">
      <c r="A130" s="218" t="s">
        <v>1161</v>
      </c>
      <c r="B130" s="224" t="s">
        <v>1162</v>
      </c>
      <c r="C130" s="222" t="s">
        <v>86</v>
      </c>
      <c r="D130" s="223"/>
      <c r="E130" s="223"/>
    </row>
    <row r="131" customFormat="false" ht="26.85" hidden="false" customHeight="false" outlineLevel="0" collapsed="false">
      <c r="A131" s="218" t="s">
        <v>1163</v>
      </c>
      <c r="B131" s="224" t="s">
        <v>1164</v>
      </c>
      <c r="C131" s="227" t="s">
        <v>93</v>
      </c>
      <c r="D131" s="223"/>
      <c r="E131" s="228" t="s">
        <v>1165</v>
      </c>
    </row>
    <row r="132" customFormat="false" ht="15" hidden="false" customHeight="false" outlineLevel="0" collapsed="false">
      <c r="A132" s="218" t="s">
        <v>1166</v>
      </c>
      <c r="B132" s="219" t="s">
        <v>1167</v>
      </c>
      <c r="C132" s="220"/>
      <c r="D132" s="220"/>
      <c r="E132" s="220"/>
    </row>
    <row r="133" customFormat="false" ht="15" hidden="false" customHeight="false" outlineLevel="0" collapsed="false">
      <c r="A133" s="218"/>
      <c r="B133" s="219" t="s">
        <v>1168</v>
      </c>
      <c r="C133" s="220"/>
      <c r="D133" s="220"/>
      <c r="E133" s="220"/>
    </row>
    <row r="134" customFormat="false" ht="26.85" hidden="false" customHeight="false" outlineLevel="0" collapsed="false">
      <c r="A134" s="218" t="s">
        <v>1169</v>
      </c>
      <c r="B134" s="224" t="s">
        <v>1170</v>
      </c>
      <c r="C134" s="222" t="s">
        <v>86</v>
      </c>
      <c r="D134" s="74"/>
      <c r="E134" s="74"/>
    </row>
    <row r="135" customFormat="false" ht="15" hidden="false" customHeight="false" outlineLevel="0" collapsed="false">
      <c r="A135" s="218" t="s">
        <v>1171</v>
      </c>
      <c r="B135" s="224" t="s">
        <v>1172</v>
      </c>
      <c r="C135" s="222" t="s">
        <v>86</v>
      </c>
      <c r="D135" s="74"/>
      <c r="E135" s="74"/>
    </row>
    <row r="136" customFormat="false" ht="15" hidden="false" customHeight="false" outlineLevel="0" collapsed="false">
      <c r="A136" s="218" t="s">
        <v>1173</v>
      </c>
      <c r="B136" s="224" t="s">
        <v>1172</v>
      </c>
      <c r="C136" s="222" t="s">
        <v>86</v>
      </c>
      <c r="D136" s="74"/>
      <c r="E136" s="74"/>
    </row>
    <row r="137" customFormat="false" ht="15" hidden="false" customHeight="false" outlineLevel="0" collapsed="false">
      <c r="A137" s="218" t="s">
        <v>1174</v>
      </c>
      <c r="B137" s="224" t="s">
        <v>945</v>
      </c>
      <c r="C137" s="222" t="s">
        <v>86</v>
      </c>
      <c r="D137" s="74"/>
      <c r="E137" s="74"/>
    </row>
    <row r="138" customFormat="false" ht="15" hidden="false" customHeight="false" outlineLevel="0" collapsed="false">
      <c r="A138" s="218" t="s">
        <v>1175</v>
      </c>
      <c r="B138" s="224" t="s">
        <v>947</v>
      </c>
      <c r="C138" s="222" t="s">
        <v>86</v>
      </c>
      <c r="D138" s="74"/>
      <c r="E138" s="74"/>
    </row>
    <row r="139" customFormat="false" ht="15" hidden="false" customHeight="false" outlineLevel="0" collapsed="false">
      <c r="A139" s="218" t="s">
        <v>1176</v>
      </c>
      <c r="B139" s="224" t="s">
        <v>949</v>
      </c>
      <c r="C139" s="222" t="s">
        <v>86</v>
      </c>
      <c r="D139" s="74"/>
      <c r="E139" s="74"/>
    </row>
    <row r="140" customFormat="false" ht="15" hidden="false" customHeight="false" outlineLevel="0" collapsed="false">
      <c r="A140" s="218" t="s">
        <v>1177</v>
      </c>
      <c r="B140" s="224" t="s">
        <v>1178</v>
      </c>
      <c r="C140" s="222" t="s">
        <v>86</v>
      </c>
      <c r="D140" s="74"/>
      <c r="E140" s="74"/>
    </row>
    <row r="141" customFormat="false" ht="15" hidden="false" customHeight="false" outlineLevel="0" collapsed="false">
      <c r="A141" s="218" t="s">
        <v>1179</v>
      </c>
      <c r="B141" s="224" t="s">
        <v>1180</v>
      </c>
      <c r="C141" s="222" t="s">
        <v>86</v>
      </c>
      <c r="D141" s="74"/>
      <c r="E141" s="74"/>
    </row>
    <row r="142" customFormat="false" ht="26.85" hidden="false" customHeight="false" outlineLevel="0" collapsed="false">
      <c r="A142" s="218" t="s">
        <v>1181</v>
      </c>
      <c r="B142" s="224" t="s">
        <v>1101</v>
      </c>
      <c r="C142" s="222" t="s">
        <v>86</v>
      </c>
      <c r="D142" s="74"/>
      <c r="E142" s="74"/>
    </row>
    <row r="143" customFormat="false" ht="15" hidden="false" customHeight="false" outlineLevel="0" collapsed="false">
      <c r="A143" s="218" t="s">
        <v>1182</v>
      </c>
      <c r="B143" s="224" t="s">
        <v>1183</v>
      </c>
      <c r="C143" s="222" t="s">
        <v>86</v>
      </c>
      <c r="D143" s="74"/>
      <c r="E143" s="74"/>
    </row>
    <row r="144" customFormat="false" ht="15" hidden="false" customHeight="false" outlineLevel="0" collapsed="false">
      <c r="A144" s="218" t="s">
        <v>1184</v>
      </c>
      <c r="B144" s="224" t="s">
        <v>1185</v>
      </c>
      <c r="C144" s="222" t="s">
        <v>86</v>
      </c>
      <c r="D144" s="74"/>
      <c r="E144" s="74"/>
    </row>
    <row r="145" customFormat="false" ht="15" hidden="false" customHeight="false" outlineLevel="0" collapsed="false">
      <c r="A145" s="218" t="s">
        <v>1186</v>
      </c>
      <c r="B145" s="224" t="s">
        <v>1114</v>
      </c>
      <c r="C145" s="222" t="s">
        <v>86</v>
      </c>
      <c r="D145" s="74"/>
      <c r="E145" s="74"/>
    </row>
    <row r="146" customFormat="false" ht="15" hidden="false" customHeight="false" outlineLevel="0" collapsed="false">
      <c r="A146" s="218" t="s">
        <v>1187</v>
      </c>
      <c r="B146" s="224" t="s">
        <v>1188</v>
      </c>
      <c r="C146" s="222" t="s">
        <v>86</v>
      </c>
      <c r="D146" s="74"/>
      <c r="E146" s="74"/>
    </row>
    <row r="147" customFormat="false" ht="26.85" hidden="false" customHeight="false" outlineLevel="0" collapsed="false">
      <c r="A147" s="218" t="s">
        <v>1189</v>
      </c>
      <c r="B147" s="224" t="s">
        <v>1190</v>
      </c>
      <c r="C147" s="225" t="s">
        <v>119</v>
      </c>
      <c r="D147" s="74"/>
      <c r="E147" s="74"/>
    </row>
    <row r="148" customFormat="false" ht="15" hidden="false" customHeight="false" outlineLevel="0" collapsed="false">
      <c r="A148" s="218" t="s">
        <v>1191</v>
      </c>
      <c r="B148" s="224" t="s">
        <v>1192</v>
      </c>
      <c r="C148" s="227" t="s">
        <v>93</v>
      </c>
      <c r="D148" s="74"/>
      <c r="E148" s="74"/>
    </row>
    <row r="149" customFormat="false" ht="26.85" hidden="false" customHeight="false" outlineLevel="0" collapsed="false">
      <c r="A149" s="218" t="s">
        <v>1193</v>
      </c>
      <c r="B149" s="224" t="s">
        <v>1122</v>
      </c>
      <c r="C149" s="227" t="s">
        <v>93</v>
      </c>
      <c r="D149" s="74"/>
      <c r="E149" s="74"/>
    </row>
    <row r="150" customFormat="false" ht="26.85" hidden="false" customHeight="false" outlineLevel="0" collapsed="false">
      <c r="A150" s="218" t="s">
        <v>1194</v>
      </c>
      <c r="B150" s="221" t="s">
        <v>1195</v>
      </c>
      <c r="C150" s="222" t="s">
        <v>86</v>
      </c>
      <c r="D150" s="74"/>
      <c r="E150" s="74"/>
    </row>
    <row r="151" customFormat="false" ht="35.05" hidden="false" customHeight="false" outlineLevel="0" collapsed="false">
      <c r="A151" s="218" t="s">
        <v>1196</v>
      </c>
      <c r="B151" s="221" t="s">
        <v>1197</v>
      </c>
      <c r="C151" s="227" t="s">
        <v>93</v>
      </c>
      <c r="D151" s="74"/>
      <c r="E151" s="73" t="s">
        <v>1198</v>
      </c>
    </row>
    <row r="152" customFormat="false" ht="15" hidden="false" customHeight="false" outlineLevel="0" collapsed="false">
      <c r="A152" s="218" t="s">
        <v>1199</v>
      </c>
      <c r="B152" s="224" t="s">
        <v>1200</v>
      </c>
      <c r="C152" s="222" t="s">
        <v>86</v>
      </c>
      <c r="D152" s="74"/>
      <c r="E152" s="74"/>
    </row>
    <row r="153" customFormat="false" ht="26.85" hidden="false" customHeight="false" outlineLevel="0" collapsed="false">
      <c r="A153" s="218" t="s">
        <v>1201</v>
      </c>
      <c r="B153" s="221" t="s">
        <v>1202</v>
      </c>
      <c r="C153" s="222" t="s">
        <v>86</v>
      </c>
      <c r="D153" s="74"/>
      <c r="E153" s="74"/>
    </row>
    <row r="154" customFormat="false" ht="15" hidden="false" customHeight="false" outlineLevel="0" collapsed="false">
      <c r="A154" s="218" t="s">
        <v>1203</v>
      </c>
      <c r="B154" s="224" t="s">
        <v>1204</v>
      </c>
      <c r="C154" s="222" t="s">
        <v>86</v>
      </c>
      <c r="D154" s="74"/>
      <c r="E154" s="74"/>
    </row>
    <row r="155" customFormat="false" ht="15" hidden="false" customHeight="false" outlineLevel="0" collapsed="false">
      <c r="A155" s="218" t="s">
        <v>1205</v>
      </c>
      <c r="B155" s="224" t="s">
        <v>1206</v>
      </c>
      <c r="C155" s="222" t="s">
        <v>86</v>
      </c>
      <c r="D155" s="74"/>
      <c r="E155" s="74"/>
    </row>
    <row r="156" customFormat="false" ht="15" hidden="false" customHeight="false" outlineLevel="0" collapsed="false">
      <c r="A156" s="218" t="s">
        <v>1207</v>
      </c>
      <c r="B156" s="221" t="s">
        <v>1208</v>
      </c>
      <c r="C156" s="222" t="s">
        <v>86</v>
      </c>
      <c r="D156" s="74"/>
      <c r="E156" s="74"/>
    </row>
    <row r="157" customFormat="false" ht="26.85" hidden="false" customHeight="false" outlineLevel="0" collapsed="false">
      <c r="A157" s="218" t="s">
        <v>1209</v>
      </c>
      <c r="B157" s="224" t="s">
        <v>1210</v>
      </c>
      <c r="C157" s="225" t="s">
        <v>119</v>
      </c>
      <c r="D157" s="74"/>
      <c r="E157" s="74"/>
    </row>
    <row r="158" customFormat="false" ht="26.85" hidden="false" customHeight="false" outlineLevel="0" collapsed="false">
      <c r="A158" s="218" t="s">
        <v>1211</v>
      </c>
      <c r="B158" s="224" t="s">
        <v>1212</v>
      </c>
      <c r="C158" s="222" t="s">
        <v>86</v>
      </c>
      <c r="D158" s="74"/>
      <c r="E158" s="74"/>
    </row>
    <row r="159" customFormat="false" ht="26.85" hidden="false" customHeight="false" outlineLevel="0" collapsed="false">
      <c r="A159" s="218" t="s">
        <v>1213</v>
      </c>
      <c r="B159" s="224" t="s">
        <v>1164</v>
      </c>
      <c r="C159" s="227" t="s">
        <v>93</v>
      </c>
      <c r="D159" s="74"/>
      <c r="E159" s="229" t="s">
        <v>1165</v>
      </c>
    </row>
    <row r="160" customFormat="false" ht="15" hidden="false" customHeight="false" outlineLevel="0" collapsed="false">
      <c r="A160" s="218" t="s">
        <v>1214</v>
      </c>
      <c r="B160" s="219" t="s">
        <v>1215</v>
      </c>
      <c r="C160" s="220"/>
      <c r="D160" s="220"/>
      <c r="E160" s="220"/>
    </row>
    <row r="161" customFormat="false" ht="15" hidden="false" customHeight="false" outlineLevel="0" collapsed="false">
      <c r="A161" s="218"/>
      <c r="B161" s="219" t="s">
        <v>1216</v>
      </c>
      <c r="C161" s="220"/>
      <c r="D161" s="220"/>
      <c r="E161" s="220"/>
    </row>
    <row r="162" customFormat="false" ht="26.85" hidden="false" customHeight="false" outlineLevel="0" collapsed="false">
      <c r="A162" s="218" t="s">
        <v>1217</v>
      </c>
      <c r="B162" s="224" t="s">
        <v>1218</v>
      </c>
      <c r="C162" s="222" t="s">
        <v>86</v>
      </c>
      <c r="D162" s="74"/>
      <c r="E162" s="74"/>
    </row>
    <row r="163" customFormat="false" ht="15" hidden="false" customHeight="false" outlineLevel="0" collapsed="false">
      <c r="A163" s="218" t="s">
        <v>1219</v>
      </c>
      <c r="B163" s="224" t="s">
        <v>939</v>
      </c>
      <c r="C163" s="222" t="s">
        <v>86</v>
      </c>
      <c r="D163" s="74"/>
      <c r="E163" s="74"/>
    </row>
    <row r="164" customFormat="false" ht="15" hidden="false" customHeight="false" outlineLevel="0" collapsed="false">
      <c r="A164" s="218" t="s">
        <v>1220</v>
      </c>
      <c r="B164" s="224" t="s">
        <v>1221</v>
      </c>
      <c r="C164" s="222" t="s">
        <v>86</v>
      </c>
      <c r="D164" s="74"/>
      <c r="E164" s="74"/>
    </row>
    <row r="165" customFormat="false" ht="26.85" hidden="false" customHeight="false" outlineLevel="0" collapsed="false">
      <c r="A165" s="218" t="s">
        <v>1222</v>
      </c>
      <c r="B165" s="224" t="s">
        <v>943</v>
      </c>
      <c r="C165" s="222" t="s">
        <v>86</v>
      </c>
      <c r="D165" s="74"/>
      <c r="E165" s="74"/>
    </row>
    <row r="166" customFormat="false" ht="15" hidden="false" customHeight="false" outlineLevel="0" collapsed="false">
      <c r="A166" s="218" t="s">
        <v>1223</v>
      </c>
      <c r="B166" s="224" t="s">
        <v>945</v>
      </c>
      <c r="C166" s="222" t="s">
        <v>86</v>
      </c>
      <c r="D166" s="74"/>
      <c r="E166" s="74"/>
    </row>
    <row r="167" customFormat="false" ht="15" hidden="false" customHeight="false" outlineLevel="0" collapsed="false">
      <c r="A167" s="218" t="s">
        <v>1224</v>
      </c>
      <c r="B167" s="224" t="s">
        <v>1225</v>
      </c>
      <c r="C167" s="222" t="s">
        <v>86</v>
      </c>
      <c r="D167" s="74"/>
      <c r="E167" s="74"/>
    </row>
    <row r="168" customFormat="false" ht="15" hidden="false" customHeight="false" outlineLevel="0" collapsed="false">
      <c r="A168" s="218" t="s">
        <v>1226</v>
      </c>
      <c r="B168" s="224" t="s">
        <v>1227</v>
      </c>
      <c r="C168" s="222" t="s">
        <v>86</v>
      </c>
      <c r="D168" s="74"/>
      <c r="E168" s="74"/>
    </row>
    <row r="169" customFormat="false" ht="26.85" hidden="false" customHeight="false" outlineLevel="0" collapsed="false">
      <c r="A169" s="218" t="s">
        <v>1228</v>
      </c>
      <c r="B169" s="224" t="s">
        <v>971</v>
      </c>
      <c r="C169" s="222" t="s">
        <v>86</v>
      </c>
      <c r="D169" s="74"/>
      <c r="E169" s="74"/>
    </row>
    <row r="170" customFormat="false" ht="15" hidden="false" customHeight="false" outlineLevel="0" collapsed="false">
      <c r="A170" s="218" t="s">
        <v>1229</v>
      </c>
      <c r="B170" s="224" t="s">
        <v>988</v>
      </c>
      <c r="C170" s="222" t="s">
        <v>86</v>
      </c>
      <c r="D170" s="74"/>
      <c r="E170" s="74"/>
    </row>
    <row r="171" customFormat="false" ht="15" hidden="false" customHeight="false" outlineLevel="0" collapsed="false">
      <c r="A171" s="218" t="s">
        <v>1230</v>
      </c>
      <c r="B171" s="224" t="s">
        <v>992</v>
      </c>
      <c r="C171" s="222" t="s">
        <v>86</v>
      </c>
      <c r="D171" s="74"/>
      <c r="E171" s="74"/>
    </row>
    <row r="172" customFormat="false" ht="26.85" hidden="false" customHeight="false" outlineLevel="0" collapsed="false">
      <c r="A172" s="218" t="s">
        <v>1231</v>
      </c>
      <c r="B172" s="224" t="s">
        <v>1190</v>
      </c>
      <c r="C172" s="227" t="s">
        <v>93</v>
      </c>
      <c r="D172" s="74"/>
      <c r="E172" s="229" t="s">
        <v>1232</v>
      </c>
    </row>
    <row r="173" customFormat="false" ht="15" hidden="false" customHeight="false" outlineLevel="0" collapsed="false">
      <c r="A173" s="218" t="s">
        <v>1233</v>
      </c>
      <c r="B173" s="224" t="s">
        <v>997</v>
      </c>
      <c r="C173" s="222" t="s">
        <v>86</v>
      </c>
      <c r="D173" s="74"/>
      <c r="E173" s="74"/>
    </row>
    <row r="174" customFormat="false" ht="26.85" hidden="false" customHeight="false" outlineLevel="0" collapsed="false">
      <c r="A174" s="218" t="s">
        <v>1234</v>
      </c>
      <c r="B174" s="224" t="s">
        <v>1235</v>
      </c>
      <c r="C174" s="222" t="s">
        <v>86</v>
      </c>
      <c r="D174" s="74"/>
      <c r="E174" s="74"/>
    </row>
    <row r="175" customFormat="false" ht="26.85" hidden="false" customHeight="false" outlineLevel="0" collapsed="false">
      <c r="A175" s="218" t="s">
        <v>1236</v>
      </c>
      <c r="B175" s="221" t="s">
        <v>1054</v>
      </c>
      <c r="C175" s="222" t="s">
        <v>86</v>
      </c>
      <c r="D175" s="74"/>
      <c r="E175" s="74"/>
    </row>
    <row r="176" customFormat="false" ht="26.85" hidden="false" customHeight="false" outlineLevel="0" collapsed="false">
      <c r="A176" s="218" t="s">
        <v>1237</v>
      </c>
      <c r="B176" s="224" t="s">
        <v>1064</v>
      </c>
      <c r="C176" s="225" t="s">
        <v>119</v>
      </c>
      <c r="D176" s="74"/>
      <c r="E176" s="74"/>
    </row>
    <row r="177" customFormat="false" ht="26.85" hidden="false" customHeight="false" outlineLevel="0" collapsed="false">
      <c r="A177" s="218" t="s">
        <v>1238</v>
      </c>
      <c r="B177" s="224" t="s">
        <v>1239</v>
      </c>
      <c r="C177" s="227" t="s">
        <v>93</v>
      </c>
      <c r="D177" s="74"/>
      <c r="E177" s="229" t="s">
        <v>1232</v>
      </c>
    </row>
    <row r="178" customFormat="false" ht="15" hidden="false" customHeight="false" outlineLevel="0" collapsed="false">
      <c r="A178" s="218" t="s">
        <v>1240</v>
      </c>
      <c r="B178" s="224" t="s">
        <v>1162</v>
      </c>
      <c r="C178" s="222" t="s">
        <v>86</v>
      </c>
      <c r="D178" s="74"/>
      <c r="E178" s="74"/>
    </row>
    <row r="179" customFormat="false" ht="23.85" hidden="false" customHeight="false" outlineLevel="0" collapsed="false">
      <c r="A179" s="218" t="s">
        <v>1241</v>
      </c>
      <c r="B179" s="224" t="s">
        <v>1242</v>
      </c>
      <c r="C179" s="227" t="s">
        <v>93</v>
      </c>
      <c r="D179" s="74"/>
      <c r="E179" s="229" t="s">
        <v>1165</v>
      </c>
    </row>
    <row r="180" customFormat="false" ht="23.85" hidden="false" customHeight="false" outlineLevel="0" collapsed="false">
      <c r="A180" s="218" t="s">
        <v>1243</v>
      </c>
      <c r="B180" s="224" t="s">
        <v>1244</v>
      </c>
      <c r="C180" s="227" t="s">
        <v>93</v>
      </c>
      <c r="D180" s="74"/>
      <c r="E180" s="229" t="s">
        <v>1165</v>
      </c>
    </row>
    <row r="181" customFormat="false" ht="15" hidden="false" customHeight="false" outlineLevel="0" collapsed="false">
      <c r="A181" s="218" t="s">
        <v>1245</v>
      </c>
      <c r="B181" s="219" t="s">
        <v>1246</v>
      </c>
      <c r="C181" s="220"/>
      <c r="D181" s="220"/>
      <c r="E181" s="220"/>
    </row>
    <row r="182" customFormat="false" ht="15" hidden="false" customHeight="false" outlineLevel="0" collapsed="false">
      <c r="A182" s="218"/>
      <c r="B182" s="219" t="s">
        <v>1247</v>
      </c>
      <c r="C182" s="220"/>
      <c r="D182" s="220"/>
      <c r="E182" s="220"/>
    </row>
    <row r="183" customFormat="false" ht="15" hidden="false" customHeight="false" outlineLevel="0" collapsed="false">
      <c r="A183" s="218" t="s">
        <v>1248</v>
      </c>
      <c r="B183" s="224" t="s">
        <v>1089</v>
      </c>
      <c r="C183" s="222" t="s">
        <v>86</v>
      </c>
      <c r="D183" s="74"/>
      <c r="E183" s="74"/>
    </row>
    <row r="184" customFormat="false" ht="15" hidden="false" customHeight="false" outlineLevel="0" collapsed="false">
      <c r="A184" s="218" t="s">
        <v>1249</v>
      </c>
      <c r="B184" s="224" t="s">
        <v>1250</v>
      </c>
      <c r="C184" s="222" t="s">
        <v>86</v>
      </c>
      <c r="D184" s="74"/>
      <c r="E184" s="74"/>
    </row>
    <row r="185" customFormat="false" ht="15" hidden="false" customHeight="false" outlineLevel="0" collapsed="false">
      <c r="A185" s="218" t="s">
        <v>1251</v>
      </c>
      <c r="B185" s="224" t="s">
        <v>1252</v>
      </c>
      <c r="C185" s="222" t="s">
        <v>86</v>
      </c>
      <c r="D185" s="74"/>
      <c r="E185" s="74"/>
    </row>
    <row r="186" customFormat="false" ht="15" hidden="false" customHeight="false" outlineLevel="0" collapsed="false">
      <c r="A186" s="218" t="s">
        <v>1253</v>
      </c>
      <c r="B186" s="224" t="s">
        <v>949</v>
      </c>
      <c r="C186" s="222" t="s">
        <v>86</v>
      </c>
      <c r="D186" s="74"/>
      <c r="E186" s="74"/>
    </row>
    <row r="187" customFormat="false" ht="15" hidden="false" customHeight="false" outlineLevel="0" collapsed="false">
      <c r="A187" s="218" t="s">
        <v>1254</v>
      </c>
      <c r="B187" s="224" t="s">
        <v>961</v>
      </c>
      <c r="C187" s="222" t="s">
        <v>86</v>
      </c>
      <c r="D187" s="74"/>
      <c r="E187" s="74"/>
    </row>
    <row r="188" customFormat="false" ht="26.85" hidden="false" customHeight="false" outlineLevel="0" collapsed="false">
      <c r="A188" s="218" t="s">
        <v>1255</v>
      </c>
      <c r="B188" s="224" t="s">
        <v>1101</v>
      </c>
      <c r="C188" s="222" t="s">
        <v>86</v>
      </c>
      <c r="D188" s="74"/>
      <c r="E188" s="74"/>
    </row>
    <row r="189" customFormat="false" ht="79.85" hidden="false" customHeight="false" outlineLevel="0" collapsed="false">
      <c r="A189" s="218" t="s">
        <v>1256</v>
      </c>
      <c r="B189" s="224" t="s">
        <v>976</v>
      </c>
      <c r="C189" s="222" t="s">
        <v>86</v>
      </c>
      <c r="D189" s="74"/>
      <c r="E189" s="73" t="s">
        <v>974</v>
      </c>
    </row>
    <row r="190" customFormat="false" ht="15" hidden="false" customHeight="false" outlineLevel="0" collapsed="false">
      <c r="A190" s="218" t="s">
        <v>1257</v>
      </c>
      <c r="B190" s="224" t="s">
        <v>1258</v>
      </c>
      <c r="C190" s="222" t="s">
        <v>86</v>
      </c>
      <c r="D190" s="74"/>
      <c r="E190" s="74"/>
    </row>
    <row r="191" customFormat="false" ht="15" hidden="false" customHeight="false" outlineLevel="0" collapsed="false">
      <c r="A191" s="218" t="s">
        <v>1259</v>
      </c>
      <c r="B191" s="224" t="s">
        <v>988</v>
      </c>
      <c r="C191" s="222" t="s">
        <v>86</v>
      </c>
      <c r="D191" s="74"/>
      <c r="E191" s="74"/>
    </row>
    <row r="192" customFormat="false" ht="26.85" hidden="false" customHeight="false" outlineLevel="0" collapsed="false">
      <c r="A192" s="218" t="s">
        <v>1260</v>
      </c>
      <c r="B192" s="224" t="s">
        <v>1261</v>
      </c>
      <c r="C192" s="222" t="s">
        <v>86</v>
      </c>
      <c r="D192" s="74"/>
      <c r="E192" s="74"/>
    </row>
    <row r="193" customFormat="false" ht="26.85" hidden="false" customHeight="false" outlineLevel="0" collapsed="false">
      <c r="A193" s="218" t="s">
        <v>1262</v>
      </c>
      <c r="B193" s="224" t="s">
        <v>1263</v>
      </c>
      <c r="C193" s="227" t="s">
        <v>93</v>
      </c>
      <c r="D193" s="74"/>
      <c r="E193" s="229" t="s">
        <v>1232</v>
      </c>
    </row>
    <row r="194" customFormat="false" ht="15" hidden="false" customHeight="false" outlineLevel="0" collapsed="false">
      <c r="A194" s="218" t="s">
        <v>1264</v>
      </c>
      <c r="B194" s="224" t="s">
        <v>1265</v>
      </c>
      <c r="C194" s="222" t="s">
        <v>86</v>
      </c>
      <c r="D194" s="74"/>
      <c r="E194" s="74"/>
    </row>
    <row r="195" customFormat="false" ht="15" hidden="false" customHeight="false" outlineLevel="0" collapsed="false">
      <c r="A195" s="218" t="s">
        <v>1266</v>
      </c>
      <c r="B195" s="224" t="s">
        <v>1003</v>
      </c>
      <c r="C195" s="222" t="s">
        <v>86</v>
      </c>
      <c r="D195" s="74"/>
      <c r="E195" s="74"/>
    </row>
    <row r="196" customFormat="false" ht="23.85" hidden="false" customHeight="false" outlineLevel="0" collapsed="false">
      <c r="A196" s="218" t="s">
        <v>1267</v>
      </c>
      <c r="B196" s="224" t="s">
        <v>1008</v>
      </c>
      <c r="C196" s="227" t="s">
        <v>93</v>
      </c>
      <c r="D196" s="74"/>
      <c r="E196" s="229" t="s">
        <v>1006</v>
      </c>
    </row>
    <row r="197" customFormat="false" ht="15" hidden="false" customHeight="false" outlineLevel="0" collapsed="false">
      <c r="A197" s="218" t="s">
        <v>1268</v>
      </c>
      <c r="B197" s="221" t="s">
        <v>1269</v>
      </c>
      <c r="C197" s="222" t="s">
        <v>86</v>
      </c>
      <c r="D197" s="74"/>
      <c r="E197" s="74" t="s">
        <v>1270</v>
      </c>
    </row>
    <row r="198" customFormat="false" ht="23.85" hidden="false" customHeight="false" outlineLevel="0" collapsed="false">
      <c r="A198" s="218" t="s">
        <v>1271</v>
      </c>
      <c r="B198" s="224" t="s">
        <v>1020</v>
      </c>
      <c r="C198" s="227" t="s">
        <v>93</v>
      </c>
      <c r="D198" s="74"/>
      <c r="E198" s="229" t="s">
        <v>1021</v>
      </c>
    </row>
    <row r="199" customFormat="false" ht="15" hidden="false" customHeight="false" outlineLevel="0" collapsed="false">
      <c r="A199" s="218" t="s">
        <v>1272</v>
      </c>
      <c r="B199" s="224" t="s">
        <v>1027</v>
      </c>
      <c r="C199" s="222" t="s">
        <v>86</v>
      </c>
      <c r="D199" s="74"/>
      <c r="E199" s="74"/>
    </row>
    <row r="200" customFormat="false" ht="15" hidden="false" customHeight="false" outlineLevel="0" collapsed="false">
      <c r="A200" s="218" t="s">
        <v>1273</v>
      </c>
      <c r="B200" s="224" t="s">
        <v>1037</v>
      </c>
      <c r="C200" s="222" t="s">
        <v>86</v>
      </c>
      <c r="D200" s="74"/>
      <c r="E200" s="74"/>
    </row>
    <row r="201" customFormat="false" ht="15" hidden="false" customHeight="false" outlineLevel="0" collapsed="false">
      <c r="A201" s="218" t="s">
        <v>1274</v>
      </c>
      <c r="B201" s="224" t="s">
        <v>1275</v>
      </c>
      <c r="C201" s="222" t="s">
        <v>86</v>
      </c>
      <c r="D201" s="74"/>
      <c r="E201" s="74"/>
    </row>
    <row r="202" customFormat="false" ht="15" hidden="false" customHeight="false" outlineLevel="0" collapsed="false">
      <c r="A202" s="218" t="s">
        <v>1276</v>
      </c>
      <c r="B202" s="224" t="s">
        <v>1042</v>
      </c>
      <c r="C202" s="222" t="s">
        <v>86</v>
      </c>
      <c r="D202" s="74"/>
      <c r="E202" s="74"/>
    </row>
    <row r="203" customFormat="false" ht="15" hidden="false" customHeight="false" outlineLevel="0" collapsed="false">
      <c r="A203" s="218" t="s">
        <v>1277</v>
      </c>
      <c r="B203" s="224" t="s">
        <v>1143</v>
      </c>
      <c r="C203" s="222" t="s">
        <v>86</v>
      </c>
      <c r="D203" s="74"/>
      <c r="E203" s="74"/>
    </row>
    <row r="204" customFormat="false" ht="15" hidden="false" customHeight="false" outlineLevel="0" collapsed="false">
      <c r="A204" s="218" t="s">
        <v>1278</v>
      </c>
      <c r="B204" s="224" t="s">
        <v>1279</v>
      </c>
      <c r="C204" s="222" t="s">
        <v>86</v>
      </c>
      <c r="D204" s="74"/>
      <c r="E204" s="74"/>
    </row>
    <row r="205" customFormat="false" ht="15" hidden="false" customHeight="false" outlineLevel="0" collapsed="false">
      <c r="A205" s="218" t="s">
        <v>1280</v>
      </c>
      <c r="B205" s="221" t="s">
        <v>1281</v>
      </c>
      <c r="C205" s="222" t="s">
        <v>86</v>
      </c>
      <c r="D205" s="74"/>
      <c r="E205" s="74"/>
    </row>
    <row r="206" customFormat="false" ht="15" hidden="false" customHeight="false" outlineLevel="0" collapsed="false">
      <c r="A206" s="218" t="s">
        <v>1282</v>
      </c>
      <c r="B206" s="224" t="s">
        <v>1062</v>
      </c>
      <c r="C206" s="222" t="s">
        <v>86</v>
      </c>
      <c r="D206" s="74"/>
      <c r="E206" s="74"/>
    </row>
    <row r="207" customFormat="false" ht="26.85" hidden="false" customHeight="false" outlineLevel="0" collapsed="false">
      <c r="A207" s="218" t="s">
        <v>1283</v>
      </c>
      <c r="B207" s="224" t="s">
        <v>1064</v>
      </c>
      <c r="C207" s="225" t="s">
        <v>119</v>
      </c>
      <c r="D207" s="74"/>
      <c r="E207" s="74"/>
    </row>
    <row r="208" customFormat="false" ht="15" hidden="false" customHeight="false" outlineLevel="0" collapsed="false">
      <c r="A208" s="218" t="s">
        <v>1284</v>
      </c>
      <c r="B208" s="224" t="s">
        <v>1072</v>
      </c>
      <c r="C208" s="222" t="s">
        <v>86</v>
      </c>
      <c r="D208" s="74"/>
      <c r="E208" s="74"/>
    </row>
    <row r="209" customFormat="false" ht="15" hidden="false" customHeight="false" outlineLevel="0" collapsed="false">
      <c r="A209" s="218" t="s">
        <v>1285</v>
      </c>
      <c r="B209" s="224" t="s">
        <v>1286</v>
      </c>
      <c r="C209" s="222" t="s">
        <v>86</v>
      </c>
      <c r="D209" s="74"/>
      <c r="E209" s="74"/>
    </row>
    <row r="210" customFormat="false" ht="15" hidden="false" customHeight="false" outlineLevel="0" collapsed="false">
      <c r="A210" s="218" t="s">
        <v>1287</v>
      </c>
      <c r="B210" s="219" t="s">
        <v>1288</v>
      </c>
      <c r="C210" s="220"/>
      <c r="D210" s="220"/>
      <c r="E210" s="220"/>
    </row>
    <row r="211" customFormat="false" ht="26.85" hidden="false" customHeight="false" outlineLevel="0" collapsed="false">
      <c r="A211" s="218"/>
      <c r="B211" s="219" t="s">
        <v>1289</v>
      </c>
      <c r="C211" s="220"/>
      <c r="D211" s="220"/>
      <c r="E211" s="220"/>
    </row>
    <row r="212" customFormat="false" ht="15" hidden="false" customHeight="false" outlineLevel="0" collapsed="false">
      <c r="A212" s="218" t="s">
        <v>1290</v>
      </c>
      <c r="B212" s="224" t="s">
        <v>1291</v>
      </c>
      <c r="C212" s="222" t="s">
        <v>86</v>
      </c>
      <c r="D212" s="68"/>
      <c r="E212" s="68"/>
    </row>
    <row r="213" customFormat="false" ht="15" hidden="false" customHeight="false" outlineLevel="0" collapsed="false">
      <c r="A213" s="218" t="s">
        <v>1292</v>
      </c>
      <c r="B213" s="224" t="s">
        <v>945</v>
      </c>
      <c r="C213" s="222" t="s">
        <v>86</v>
      </c>
      <c r="D213" s="68"/>
      <c r="E213" s="68"/>
    </row>
    <row r="214" customFormat="false" ht="15" hidden="false" customHeight="false" outlineLevel="0" collapsed="false">
      <c r="A214" s="218" t="s">
        <v>1293</v>
      </c>
      <c r="B214" s="224" t="s">
        <v>947</v>
      </c>
      <c r="C214" s="222" t="s">
        <v>86</v>
      </c>
      <c r="D214" s="68"/>
      <c r="E214" s="68"/>
    </row>
    <row r="215" customFormat="false" ht="15" hidden="false" customHeight="false" outlineLevel="0" collapsed="false">
      <c r="A215" s="218" t="s">
        <v>1294</v>
      </c>
      <c r="B215" s="224" t="s">
        <v>1227</v>
      </c>
      <c r="C215" s="222" t="s">
        <v>86</v>
      </c>
      <c r="D215" s="68"/>
      <c r="E215" s="68"/>
    </row>
    <row r="216" customFormat="false" ht="26.85" hidden="false" customHeight="false" outlineLevel="0" collapsed="false">
      <c r="A216" s="218" t="s">
        <v>1295</v>
      </c>
      <c r="B216" s="224" t="s">
        <v>1296</v>
      </c>
      <c r="C216" s="222" t="s">
        <v>86</v>
      </c>
      <c r="D216" s="68"/>
      <c r="E216" s="68"/>
    </row>
    <row r="217" customFormat="false" ht="26.85" hidden="false" customHeight="false" outlineLevel="0" collapsed="false">
      <c r="A217" s="218" t="s">
        <v>1297</v>
      </c>
      <c r="B217" s="224" t="s">
        <v>1298</v>
      </c>
      <c r="C217" s="222" t="s">
        <v>86</v>
      </c>
      <c r="D217" s="68"/>
      <c r="E217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  <Company>ПАО "МегаФон"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2023-10-27T10:43:51Z</dcterms:created>
  <dc:creator>Denis Svishchev (ITi)</dc:creator>
  <dc:description/>
  <dc:language>ru-RU</dc:language>
  <cp:lastModifiedBy/>
  <dcterms:modified xsi:type="dcterms:W3CDTF">2026-03-10T22:56:28Z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