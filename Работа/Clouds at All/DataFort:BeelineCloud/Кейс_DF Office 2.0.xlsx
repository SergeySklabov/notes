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rgeysklabovskiy/Downloads/"/>
    </mc:Choice>
  </mc:AlternateContent>
  <xr:revisionPtr revIDLastSave="0" documentId="13_ncr:1_{8844823E-794B-5248-868A-57E45C11027A}" xr6:coauthVersionLast="47" xr6:coauthVersionMax="47" xr10:uidLastSave="{00000000-0000-0000-0000-000000000000}"/>
  <bookViews>
    <workbookView xWindow="34660" yWindow="2340" windowWidth="26460" windowHeight="16400" tabRatio="754" activeTab="9" xr2:uid="{00000000-000D-0000-FFFF-FFFF00000000}"/>
  </bookViews>
  <sheets>
    <sheet name="Основные показатели" sheetId="15" r:id="rId1"/>
    <sheet name="Таблицы для БП" sheetId="23" r:id="rId2"/>
    <sheet name="Осн.положения" sheetId="17" r:id="rId3"/>
    <sheet name="Доходы" sheetId="14" r:id="rId4"/>
    <sheet name="OPEX" sheetId="12" r:id="rId5"/>
    <sheet name="CAPEX" sheetId="13" r:id="rId6"/>
    <sheet name="Ден.поток" sheetId="9" r:id="rId7"/>
    <sheet name="Амортизация" sheetId="11" r:id="rId8"/>
    <sheet name="Налоги" sheetId="10" r:id="rId9"/>
    <sheet name="Драфт_DF Office 2.0" sheetId="26" r:id="rId10"/>
  </sheets>
  <externalReferences>
    <externalReference r:id="rId11"/>
    <externalReference r:id="rId12"/>
  </externalReferences>
  <definedNames>
    <definedName name="АмортизацияТипОснСредства">#REF!</definedName>
    <definedName name="АнтенныТип">#REF!</definedName>
    <definedName name="Аппаратная">#REF!</definedName>
    <definedName name="Башни">#REF!</definedName>
    <definedName name="ВнутрПоставщик">#REF!</definedName>
    <definedName name="Доход">[1]Справочники!$B$42:$B$49</definedName>
    <definedName name="_xlnm.Print_Titles" localSheetId="2">Осн.положения!$1:$3</definedName>
    <definedName name="ИсточникПитания">#REF!</definedName>
    <definedName name="Кап">[1]Справочники!$C$11:$C$28</definedName>
    <definedName name="Кондиционеры">#REF!</definedName>
    <definedName name="КонфигурацияBTS">#REF!</definedName>
    <definedName name="КТП">#REF!</definedName>
    <definedName name="ОборудованиеРРЛ">#REF!</definedName>
    <definedName name="ОПЕКС">[1]Справочники!$B$11:$B$35</definedName>
    <definedName name="ОснСрвоПроизводственное">#REF!</definedName>
    <definedName name="ПлощадкиНеБашни">#REF!</definedName>
    <definedName name="Подразделение3Символа">#REF!</definedName>
    <definedName name="ПодразделениеОтделНазвание">#REF!</definedName>
    <definedName name="Поставщик">#REF!</definedName>
    <definedName name="Поставщик_fixed">#REF!</definedName>
    <definedName name="Производитель">#REF!</definedName>
    <definedName name="Регионы">#REF!</definedName>
    <definedName name="СтойкиПитания">#REF!</definedName>
    <definedName name="ТипОсновногоСредстваПроизводственноеНепроизводственное">#REF!</definedName>
    <definedName name="ТипыОсновныхСредств">#REF!</definedName>
    <definedName name="ТипыШасси">#REF!</definedName>
    <definedName name="уровень_риска">[2]Лист2!$A$2:$A$4</definedName>
    <definedName name="ф" hidden="1">{#N/A,#N/A,TRUE,"Engineering Dept";#N/A,#N/A,TRUE,"Sales Dept";#N/A,#N/A,TRUE,"Marketing Dept";#N/A,#N/A,TRUE,"Admin Dept"}</definedName>
    <definedName name="ШкафЭПУ">#REF!</definedName>
    <definedName name="a">#REF!</definedName>
    <definedName name="aa">#REF!</definedName>
    <definedName name="b">#REF!</definedName>
    <definedName name="bb">#REF!</definedName>
    <definedName name="BSCTRAU">#REF!</definedName>
    <definedName name="c_">#REF!</definedName>
    <definedName name="cc">#REF!</definedName>
    <definedName name="d">#REF!</definedName>
    <definedName name="dd">#REF!</definedName>
    <definedName name="DS0">#REF!</definedName>
    <definedName name="e">#REF!</definedName>
    <definedName name="E1_">#REF!</definedName>
    <definedName name="E3_">#REF!</definedName>
    <definedName name="f">#REF!</definedName>
    <definedName name="ff">#REF!</definedName>
    <definedName name="g">#REF!</definedName>
    <definedName name="gg">#REF!</definedName>
    <definedName name="h">#REF!</definedName>
    <definedName name="hh">#REF!</definedName>
    <definedName name="i">#REF!</definedName>
    <definedName name="ii">#REF!</definedName>
    <definedName name="j">#REF!</definedName>
    <definedName name="jj">#REF!</definedName>
    <definedName name="k">#REF!</definedName>
    <definedName name="kk">#REF!</definedName>
    <definedName name="l">#REF!</definedName>
    <definedName name="ll">#REF!</definedName>
    <definedName name="m">#REF!</definedName>
    <definedName name="mm">#REF!</definedName>
    <definedName name="n">#REF!</definedName>
    <definedName name="nn">#REF!</definedName>
    <definedName name="o">#REF!</definedName>
    <definedName name="p">#REF!</definedName>
    <definedName name="q">#REF!</definedName>
    <definedName name="r_">#REF!</definedName>
    <definedName name="s">#REF!</definedName>
    <definedName name="t">#REF!</definedName>
    <definedName name="u">#REF!</definedName>
    <definedName name="USD">'Драфт_DF Office 2.0'!#REF!</definedName>
    <definedName name="uu" hidden="1">{#N/A,#N/A,TRUE,"Engineering Dept";#N/A,#N/A,TRUE,"Sales Dept";#N/A,#N/A,TRUE,"Marketing Dept";#N/A,#N/A,TRUE,"Admin Dept"}</definedName>
    <definedName name="v">#REF!</definedName>
    <definedName name="w">#REF!</definedName>
    <definedName name="wrn.Departmentals." hidden="1">{#N/A,#N/A,TRUE,"Engineering Dept";#N/A,#N/A,TRUE,"Sales Dept";#N/A,#N/A,TRUE,"Marketing Dept";#N/A,#N/A,TRUE,"Admin Dept"}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Financials." hidden="1">{#N/A,#N/A,TRUE,"Balance Sheet";#N/A,#N/A,TRUE,"Income Statement";#N/A,#N/A,TRUE,"Statement of Cash Flows";#N/A,#N/A,TRUE,"Key Indicators"}</definedName>
    <definedName name="x">#REF!</definedName>
    <definedName name="y">#REF!</definedName>
    <definedName name="year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26" l="1"/>
  <c r="E65" i="13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G23" i="14"/>
  <c r="V4" i="12"/>
  <c r="C3" i="26" l="1"/>
  <c r="C4" i="26"/>
  <c r="C5" i="26"/>
  <c r="C6" i="26"/>
  <c r="C7" i="26"/>
  <c r="C8" i="26"/>
  <c r="C9" i="26"/>
  <c r="C10" i="26"/>
  <c r="C11" i="26"/>
  <c r="C2" i="26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G24" i="14"/>
  <c r="G33" i="14"/>
  <c r="G34" i="14"/>
  <c r="G32" i="14"/>
  <c r="G35" i="14"/>
  <c r="D27" i="26" l="1"/>
  <c r="D28" i="26"/>
  <c r="F6" i="14"/>
  <c r="F7" i="14"/>
  <c r="F8" i="14"/>
  <c r="F9" i="14"/>
  <c r="E9" i="14" s="1"/>
  <c r="F10" i="14"/>
  <c r="G10" i="14" s="1"/>
  <c r="F11" i="14"/>
  <c r="E11" i="14" s="1"/>
  <c r="F12" i="14"/>
  <c r="D4" i="26"/>
  <c r="D5" i="26"/>
  <c r="D6" i="26"/>
  <c r="D7" i="26"/>
  <c r="D8" i="26"/>
  <c r="D9" i="26"/>
  <c r="D10" i="26"/>
  <c r="D11" i="26"/>
  <c r="B8" i="26"/>
  <c r="B9" i="26"/>
  <c r="B10" i="26"/>
  <c r="B11" i="26"/>
  <c r="B7" i="26"/>
  <c r="B3" i="26"/>
  <c r="B4" i="26"/>
  <c r="B5" i="26"/>
  <c r="B6" i="26"/>
  <c r="B2" i="26"/>
  <c r="C16" i="26"/>
  <c r="H33" i="14"/>
  <c r="I33" i="14" s="1"/>
  <c r="J33" i="14" s="1"/>
  <c r="K33" i="14" s="1"/>
  <c r="L33" i="14" s="1"/>
  <c r="G29" i="14"/>
  <c r="H29" i="14" s="1"/>
  <c r="G30" i="14"/>
  <c r="H30" i="14" s="1"/>
  <c r="G31" i="14"/>
  <c r="B35" i="14"/>
  <c r="B29" i="14"/>
  <c r="B30" i="14"/>
  <c r="B31" i="14"/>
  <c r="B32" i="14"/>
  <c r="B33" i="14"/>
  <c r="B34" i="14"/>
  <c r="F4" i="14"/>
  <c r="F5" i="14"/>
  <c r="B6" i="14"/>
  <c r="B10" i="23" s="1"/>
  <c r="B7" i="14"/>
  <c r="B11" i="23" s="1"/>
  <c r="B8" i="14"/>
  <c r="B12" i="23" s="1"/>
  <c r="B9" i="14"/>
  <c r="B13" i="23" s="1"/>
  <c r="B10" i="14"/>
  <c r="B14" i="23" s="1"/>
  <c r="B11" i="14"/>
  <c r="B15" i="23" s="1"/>
  <c r="B12" i="14"/>
  <c r="B16" i="23" s="1"/>
  <c r="G8" i="14" l="1"/>
  <c r="E10" i="14"/>
  <c r="H6" i="14"/>
  <c r="H10" i="14"/>
  <c r="E12" i="14"/>
  <c r="M33" i="14"/>
  <c r="L10" i="14"/>
  <c r="G9" i="14"/>
  <c r="H32" i="14"/>
  <c r="I30" i="14"/>
  <c r="J30" i="14" s="1"/>
  <c r="K30" i="14" s="1"/>
  <c r="L30" i="14" s="1"/>
  <c r="H7" i="14"/>
  <c r="H31" i="14"/>
  <c r="I31" i="14" s="1"/>
  <c r="I29" i="14"/>
  <c r="E8" i="14"/>
  <c r="G7" i="14"/>
  <c r="J10" i="14"/>
  <c r="K10" i="14"/>
  <c r="E7" i="14"/>
  <c r="G6" i="14"/>
  <c r="I10" i="14"/>
  <c r="E6" i="14"/>
  <c r="H8" i="14" l="1"/>
  <c r="N33" i="14"/>
  <c r="M10" i="14"/>
  <c r="J31" i="14"/>
  <c r="I8" i="14"/>
  <c r="H9" i="14"/>
  <c r="I32" i="14"/>
  <c r="K7" i="14"/>
  <c r="J29" i="14"/>
  <c r="I6" i="14"/>
  <c r="M30" i="14"/>
  <c r="L7" i="14"/>
  <c r="I7" i="14"/>
  <c r="J7" i="14"/>
  <c r="N30" i="14" l="1"/>
  <c r="M7" i="14"/>
  <c r="K29" i="14"/>
  <c r="J6" i="14"/>
  <c r="J8" i="14"/>
  <c r="K31" i="14"/>
  <c r="O33" i="14"/>
  <c r="N10" i="14"/>
  <c r="J32" i="14"/>
  <c r="I9" i="14"/>
  <c r="K32" i="14" l="1"/>
  <c r="J9" i="14"/>
  <c r="L29" i="14"/>
  <c r="K6" i="14"/>
  <c r="P33" i="14"/>
  <c r="O10" i="14"/>
  <c r="O30" i="14"/>
  <c r="N7" i="14"/>
  <c r="L31" i="14"/>
  <c r="K8" i="14"/>
  <c r="E33" i="12"/>
  <c r="F33" i="12" s="1"/>
  <c r="G33" i="12" l="1"/>
  <c r="F6" i="12"/>
  <c r="M31" i="14"/>
  <c r="L8" i="14"/>
  <c r="Q33" i="14"/>
  <c r="P10" i="14"/>
  <c r="M29" i="14"/>
  <c r="L6" i="14"/>
  <c r="L32" i="14"/>
  <c r="K9" i="14"/>
  <c r="P30" i="14"/>
  <c r="O7" i="14"/>
  <c r="H33" i="12" l="1"/>
  <c r="I33" i="12" s="1"/>
  <c r="J33" i="12" s="1"/>
  <c r="K33" i="12" s="1"/>
  <c r="L33" i="12" s="1"/>
  <c r="M33" i="12" s="1"/>
  <c r="N33" i="12" s="1"/>
  <c r="O33" i="12" s="1"/>
  <c r="P33" i="12" s="1"/>
  <c r="Q33" i="12" s="1"/>
  <c r="R33" i="12" s="1"/>
  <c r="S33" i="12" s="1"/>
  <c r="T33" i="12" s="1"/>
  <c r="U33" i="12" s="1"/>
  <c r="V33" i="12" s="1"/>
  <c r="W33" i="12" s="1"/>
  <c r="X33" i="12" s="1"/>
  <c r="Y33" i="12" s="1"/>
  <c r="Z33" i="12" s="1"/>
  <c r="AA33" i="12" s="1"/>
  <c r="AB33" i="12" s="1"/>
  <c r="AC33" i="12" s="1"/>
  <c r="AD33" i="12" s="1"/>
  <c r="AE33" i="12" s="1"/>
  <c r="AF33" i="12" s="1"/>
  <c r="AG33" i="12" s="1"/>
  <c r="G6" i="12"/>
  <c r="N31" i="14"/>
  <c r="M8" i="14"/>
  <c r="R33" i="14"/>
  <c r="Q10" i="14"/>
  <c r="Q30" i="14"/>
  <c r="P7" i="14"/>
  <c r="N29" i="14"/>
  <c r="M6" i="14"/>
  <c r="M32" i="14"/>
  <c r="L9" i="14"/>
  <c r="H6" i="12" l="1"/>
  <c r="O29" i="14"/>
  <c r="N6" i="14"/>
  <c r="R30" i="14"/>
  <c r="Q7" i="14"/>
  <c r="S33" i="14"/>
  <c r="R10" i="14"/>
  <c r="N32" i="14"/>
  <c r="M9" i="14"/>
  <c r="O31" i="14"/>
  <c r="N8" i="14"/>
  <c r="I6" i="12" l="1"/>
  <c r="O32" i="14"/>
  <c r="N9" i="14"/>
  <c r="S30" i="14"/>
  <c r="R7" i="14"/>
  <c r="T33" i="14"/>
  <c r="S10" i="14"/>
  <c r="P31" i="14"/>
  <c r="O8" i="14"/>
  <c r="P29" i="14"/>
  <c r="O6" i="14"/>
  <c r="J6" i="12" l="1"/>
  <c r="U33" i="14"/>
  <c r="T10" i="14"/>
  <c r="T30" i="14"/>
  <c r="S7" i="14"/>
  <c r="Q31" i="14"/>
  <c r="P8" i="14"/>
  <c r="Q29" i="14"/>
  <c r="P6" i="14"/>
  <c r="P32" i="14"/>
  <c r="O9" i="14"/>
  <c r="K6" i="12" l="1"/>
  <c r="R29" i="14"/>
  <c r="Q6" i="14"/>
  <c r="R31" i="14"/>
  <c r="Q8" i="14"/>
  <c r="U30" i="14"/>
  <c r="T7" i="14"/>
  <c r="Q32" i="14"/>
  <c r="P9" i="14"/>
  <c r="V33" i="14"/>
  <c r="U10" i="14"/>
  <c r="L6" i="12" l="1"/>
  <c r="R32" i="14"/>
  <c r="Q9" i="14"/>
  <c r="V30" i="14"/>
  <c r="U7" i="14"/>
  <c r="S31" i="14"/>
  <c r="R8" i="14"/>
  <c r="W33" i="14"/>
  <c r="V10" i="14"/>
  <c r="S29" i="14"/>
  <c r="R6" i="14"/>
  <c r="M6" i="12" l="1"/>
  <c r="X33" i="14"/>
  <c r="W10" i="14"/>
  <c r="W30" i="14"/>
  <c r="V7" i="14"/>
  <c r="T31" i="14"/>
  <c r="S8" i="14"/>
  <c r="T29" i="14"/>
  <c r="S6" i="14"/>
  <c r="S32" i="14"/>
  <c r="R9" i="14"/>
  <c r="N6" i="12" l="1"/>
  <c r="U29" i="14"/>
  <c r="T6" i="14"/>
  <c r="U31" i="14"/>
  <c r="T8" i="14"/>
  <c r="X30" i="14"/>
  <c r="W7" i="14"/>
  <c r="T32" i="14"/>
  <c r="S9" i="14"/>
  <c r="Y33" i="14"/>
  <c r="X10" i="14"/>
  <c r="O6" i="12" l="1"/>
  <c r="U32" i="14"/>
  <c r="T9" i="14"/>
  <c r="Y30" i="14"/>
  <c r="X7" i="14"/>
  <c r="V31" i="14"/>
  <c r="U8" i="14"/>
  <c r="Z33" i="14"/>
  <c r="Y10" i="14"/>
  <c r="V29" i="14"/>
  <c r="U6" i="14"/>
  <c r="P6" i="12" l="1"/>
  <c r="AA33" i="14"/>
  <c r="Z10" i="14"/>
  <c r="W31" i="14"/>
  <c r="V8" i="14"/>
  <c r="Z30" i="14"/>
  <c r="Y7" i="14"/>
  <c r="W29" i="14"/>
  <c r="V6" i="14"/>
  <c r="V32" i="14"/>
  <c r="U9" i="14"/>
  <c r="Q6" i="12" l="1"/>
  <c r="X29" i="14"/>
  <c r="W6" i="14"/>
  <c r="AA30" i="14"/>
  <c r="Z7" i="14"/>
  <c r="W32" i="14"/>
  <c r="V9" i="14"/>
  <c r="X31" i="14"/>
  <c r="W8" i="14"/>
  <c r="AB33" i="14"/>
  <c r="AA10" i="14"/>
  <c r="R6" i="12" l="1"/>
  <c r="Y31" i="14"/>
  <c r="X8" i="14"/>
  <c r="X32" i="14"/>
  <c r="W9" i="14"/>
  <c r="AC33" i="14"/>
  <c r="AB10" i="14"/>
  <c r="AB30" i="14"/>
  <c r="AA7" i="14"/>
  <c r="Y29" i="14"/>
  <c r="X6" i="14"/>
  <c r="S6" i="12" l="1"/>
  <c r="AC30" i="14"/>
  <c r="AB7" i="14"/>
  <c r="AD33" i="14"/>
  <c r="AC10" i="14"/>
  <c r="Z29" i="14"/>
  <c r="Y6" i="14"/>
  <c r="Y32" i="14"/>
  <c r="X9" i="14"/>
  <c r="Z31" i="14"/>
  <c r="Y8" i="14"/>
  <c r="T6" i="12" l="1"/>
  <c r="AA31" i="14"/>
  <c r="Z8" i="14"/>
  <c r="AE33" i="14"/>
  <c r="AD10" i="14"/>
  <c r="AA29" i="14"/>
  <c r="Z6" i="14"/>
  <c r="Z32" i="14"/>
  <c r="Y9" i="14"/>
  <c r="AD30" i="14"/>
  <c r="AC7" i="14"/>
  <c r="U6" i="12" l="1"/>
  <c r="AF33" i="14"/>
  <c r="AE10" i="14"/>
  <c r="AB29" i="14"/>
  <c r="AA6" i="14"/>
  <c r="AB31" i="14"/>
  <c r="AA8" i="14"/>
  <c r="AE30" i="14"/>
  <c r="AD7" i="14"/>
  <c r="AA32" i="14"/>
  <c r="Z9" i="14"/>
  <c r="V6" i="12" l="1"/>
  <c r="AF30" i="14"/>
  <c r="AE7" i="14"/>
  <c r="AC31" i="14"/>
  <c r="AB8" i="14"/>
  <c r="AC29" i="14"/>
  <c r="AB6" i="14"/>
  <c r="AB32" i="14"/>
  <c r="AA9" i="14"/>
  <c r="AG33" i="14"/>
  <c r="AF10" i="14"/>
  <c r="W6" i="12" l="1"/>
  <c r="AC32" i="14"/>
  <c r="AB9" i="14"/>
  <c r="AD29" i="14"/>
  <c r="AC6" i="14"/>
  <c r="AH33" i="14"/>
  <c r="AG10" i="14"/>
  <c r="AD31" i="14"/>
  <c r="AC8" i="14"/>
  <c r="AG30" i="14"/>
  <c r="AF7" i="14"/>
  <c r="X6" i="12" l="1"/>
  <c r="AE31" i="14"/>
  <c r="AD8" i="14"/>
  <c r="AH10" i="14"/>
  <c r="AI10" i="14" s="1"/>
  <c r="AI33" i="14"/>
  <c r="AE29" i="14"/>
  <c r="AD6" i="14"/>
  <c r="AH30" i="14"/>
  <c r="AG7" i="14"/>
  <c r="AD32" i="14"/>
  <c r="AC9" i="14"/>
  <c r="Y6" i="12" l="1"/>
  <c r="AH7" i="14"/>
  <c r="AI7" i="14" s="1"/>
  <c r="AI30" i="14"/>
  <c r="AF29" i="14"/>
  <c r="AE6" i="14"/>
  <c r="AE32" i="14"/>
  <c r="AD9" i="14"/>
  <c r="AF31" i="14"/>
  <c r="AE8" i="14"/>
  <c r="Z6" i="12" l="1"/>
  <c r="AG31" i="14"/>
  <c r="AF8" i="14"/>
  <c r="AF32" i="14"/>
  <c r="AE9" i="14"/>
  <c r="AG29" i="14"/>
  <c r="AF6" i="14"/>
  <c r="AA6" i="12" l="1"/>
  <c r="AG32" i="14"/>
  <c r="AF9" i="14"/>
  <c r="AH29" i="14"/>
  <c r="AG6" i="14"/>
  <c r="AH31" i="14"/>
  <c r="AG8" i="14"/>
  <c r="AB6" i="12" l="1"/>
  <c r="AH8" i="14"/>
  <c r="AI8" i="14" s="1"/>
  <c r="AI31" i="14"/>
  <c r="AH6" i="14"/>
  <c r="AI6" i="14" s="1"/>
  <c r="AI29" i="14"/>
  <c r="AH32" i="14"/>
  <c r="AG9" i="14"/>
  <c r="AC6" i="12" l="1"/>
  <c r="AH9" i="14"/>
  <c r="AI9" i="14" s="1"/>
  <c r="AI32" i="14"/>
  <c r="AD6" i="12" l="1"/>
  <c r="AE6" i="12" l="1"/>
  <c r="AG6" i="12" l="1"/>
  <c r="AF6" i="12"/>
  <c r="E29" i="26" l="1"/>
  <c r="F57" i="26" l="1"/>
  <c r="B21" i="26" s="1"/>
  <c r="D21" i="26" s="1"/>
  <c r="G57" i="26"/>
  <c r="B22" i="26" s="1"/>
  <c r="D22" i="26" s="1"/>
  <c r="H57" i="26"/>
  <c r="B23" i="26" s="1"/>
  <c r="D23" i="26" s="1"/>
  <c r="I57" i="26"/>
  <c r="B24" i="26" s="1"/>
  <c r="D24" i="26" s="1"/>
  <c r="J57" i="26"/>
  <c r="B25" i="26" s="1"/>
  <c r="D25" i="26" s="1"/>
  <c r="K57" i="26"/>
  <c r="E57" i="26"/>
  <c r="B20" i="26" s="1"/>
  <c r="D20" i="26" s="1"/>
  <c r="D57" i="26"/>
  <c r="B16" i="26" s="1"/>
  <c r="C57" i="26"/>
  <c r="B15" i="26" s="1"/>
  <c r="B57" i="26"/>
  <c r="B14" i="26" s="1"/>
  <c r="E32" i="13"/>
  <c r="G28" i="14"/>
  <c r="H28" i="14" s="1"/>
  <c r="I28" i="14" s="1"/>
  <c r="G26" i="14"/>
  <c r="G27" i="14"/>
  <c r="H27" i="14" s="1"/>
  <c r="I27" i="14" s="1"/>
  <c r="J27" i="14" s="1"/>
  <c r="K27" i="14" s="1"/>
  <c r="L27" i="14" s="1"/>
  <c r="M27" i="14" s="1"/>
  <c r="N27" i="14" s="1"/>
  <c r="O27" i="14" s="1"/>
  <c r="P27" i="14" s="1"/>
  <c r="Q27" i="14" s="1"/>
  <c r="R27" i="14" s="1"/>
  <c r="S27" i="14" s="1"/>
  <c r="T27" i="14" s="1"/>
  <c r="U27" i="14" s="1"/>
  <c r="V27" i="14" s="1"/>
  <c r="W27" i="14" s="1"/>
  <c r="X27" i="14" l="1"/>
  <c r="Y27" i="14" s="1"/>
  <c r="Z27" i="14" s="1"/>
  <c r="AA27" i="14" s="1"/>
  <c r="AB27" i="14" s="1"/>
  <c r="AC27" i="14" s="1"/>
  <c r="AD27" i="14" s="1"/>
  <c r="AE27" i="14" s="1"/>
  <c r="AF27" i="14" s="1"/>
  <c r="AG27" i="14" s="1"/>
  <c r="AH27" i="14" s="1"/>
  <c r="H26" i="14"/>
  <c r="J28" i="14"/>
  <c r="K28" i="14" s="1"/>
  <c r="L28" i="14" s="1"/>
  <c r="M28" i="14" s="1"/>
  <c r="N28" i="14" s="1"/>
  <c r="O28" i="14" s="1"/>
  <c r="P28" i="14" s="1"/>
  <c r="Q28" i="14" s="1"/>
  <c r="R28" i="14" s="1"/>
  <c r="S28" i="14" s="1"/>
  <c r="T28" i="14" s="1"/>
  <c r="U28" i="14" s="1"/>
  <c r="V28" i="14" s="1"/>
  <c r="W28" i="14" s="1"/>
  <c r="D26" i="26"/>
  <c r="F3" i="14"/>
  <c r="G3" i="14" s="1"/>
  <c r="X28" i="14" l="1"/>
  <c r="Y28" i="14" s="1"/>
  <c r="Z28" i="14" s="1"/>
  <c r="AA28" i="14" s="1"/>
  <c r="AB28" i="14" s="1"/>
  <c r="AC28" i="14" s="1"/>
  <c r="AD28" i="14" s="1"/>
  <c r="AE28" i="14" s="1"/>
  <c r="AF28" i="14" s="1"/>
  <c r="AG28" i="14" s="1"/>
  <c r="AH28" i="14" s="1"/>
  <c r="AI27" i="14"/>
  <c r="C15" i="26"/>
  <c r="C14" i="26"/>
  <c r="AI28" i="14" l="1"/>
  <c r="C17" i="26"/>
  <c r="F8" i="13"/>
  <c r="G8" i="13"/>
  <c r="H8" i="13"/>
  <c r="I8" i="13"/>
  <c r="J8" i="13"/>
  <c r="K8" i="13"/>
  <c r="L8" i="13"/>
  <c r="M8" i="13"/>
  <c r="N8" i="13"/>
  <c r="O8" i="13"/>
  <c r="Q8" i="13"/>
  <c r="R8" i="13"/>
  <c r="S8" i="13"/>
  <c r="T8" i="13"/>
  <c r="U8" i="13"/>
  <c r="V8" i="13"/>
  <c r="W8" i="13"/>
  <c r="Y8" i="13"/>
  <c r="Z8" i="13"/>
  <c r="AA8" i="13"/>
  <c r="AC8" i="13"/>
  <c r="AD8" i="13"/>
  <c r="AF8" i="13"/>
  <c r="E32" i="12" l="1"/>
  <c r="D17" i="26"/>
  <c r="P31" i="13"/>
  <c r="E31" i="13"/>
  <c r="F10" i="12"/>
  <c r="F11" i="12"/>
  <c r="F13" i="12"/>
  <c r="G13" i="12" s="1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F31" i="13"/>
  <c r="G31" i="13"/>
  <c r="H31" i="13"/>
  <c r="I31" i="13"/>
  <c r="J31" i="13"/>
  <c r="K31" i="13"/>
  <c r="L31" i="13"/>
  <c r="M31" i="13"/>
  <c r="N31" i="13"/>
  <c r="O31" i="13"/>
  <c r="Q31" i="13"/>
  <c r="R31" i="13"/>
  <c r="S31" i="13"/>
  <c r="T31" i="13"/>
  <c r="U31" i="13"/>
  <c r="V31" i="13"/>
  <c r="W31" i="13"/>
  <c r="Y31" i="13"/>
  <c r="Z31" i="13"/>
  <c r="AA31" i="13"/>
  <c r="AC31" i="13"/>
  <c r="AD31" i="13"/>
  <c r="AF31" i="13"/>
  <c r="I26" i="14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B35" i="23"/>
  <c r="H34" i="14" l="1"/>
  <c r="G11" i="14"/>
  <c r="H35" i="14"/>
  <c r="G12" i="14"/>
  <c r="F32" i="12"/>
  <c r="F5" i="12" s="1"/>
  <c r="N32" i="12"/>
  <c r="N5" i="12" s="1"/>
  <c r="V32" i="12"/>
  <c r="V5" i="12" s="1"/>
  <c r="AD32" i="12"/>
  <c r="AD5" i="12" s="1"/>
  <c r="Q32" i="12"/>
  <c r="Q5" i="12" s="1"/>
  <c r="AA32" i="12"/>
  <c r="AA5" i="12" s="1"/>
  <c r="T32" i="12"/>
  <c r="T5" i="12" s="1"/>
  <c r="G32" i="12"/>
  <c r="G5" i="12" s="1"/>
  <c r="O32" i="12"/>
  <c r="O5" i="12" s="1"/>
  <c r="W32" i="12"/>
  <c r="W5" i="12" s="1"/>
  <c r="AE32" i="12"/>
  <c r="AE5" i="12" s="1"/>
  <c r="AG32" i="12"/>
  <c r="AG5" i="12" s="1"/>
  <c r="J32" i="12"/>
  <c r="J5" i="12" s="1"/>
  <c r="K32" i="12"/>
  <c r="K5" i="12" s="1"/>
  <c r="H32" i="12"/>
  <c r="H5" i="12" s="1"/>
  <c r="P32" i="12"/>
  <c r="P5" i="12" s="1"/>
  <c r="X32" i="12"/>
  <c r="X5" i="12" s="1"/>
  <c r="AF32" i="12"/>
  <c r="AF5" i="12" s="1"/>
  <c r="Y32" i="12"/>
  <c r="Y5" i="12" s="1"/>
  <c r="R32" i="12"/>
  <c r="R5" i="12" s="1"/>
  <c r="Z32" i="12"/>
  <c r="Z5" i="12" s="1"/>
  <c r="S32" i="12"/>
  <c r="S5" i="12" s="1"/>
  <c r="L32" i="12"/>
  <c r="L5" i="12" s="1"/>
  <c r="I32" i="12"/>
  <c r="I5" i="12" s="1"/>
  <c r="M32" i="12"/>
  <c r="M5" i="12" s="1"/>
  <c r="U32" i="12"/>
  <c r="U5" i="12" s="1"/>
  <c r="AC32" i="12"/>
  <c r="AC5" i="12" s="1"/>
  <c r="AB32" i="12"/>
  <c r="AB5" i="12" s="1"/>
  <c r="F9" i="12"/>
  <c r="E5" i="14"/>
  <c r="X56" i="13"/>
  <c r="P8" i="13"/>
  <c r="J26" i="14"/>
  <c r="H13" i="12"/>
  <c r="AC10" i="12"/>
  <c r="B4" i="14"/>
  <c r="B5" i="14"/>
  <c r="B3" i="14"/>
  <c r="B27" i="14"/>
  <c r="B28" i="14"/>
  <c r="B26" i="14"/>
  <c r="I35" i="14" l="1"/>
  <c r="H12" i="14"/>
  <c r="I34" i="14"/>
  <c r="H11" i="14"/>
  <c r="E4" i="14"/>
  <c r="D3" i="26"/>
  <c r="D2" i="26"/>
  <c r="E3" i="14"/>
  <c r="AB56" i="13"/>
  <c r="X8" i="13"/>
  <c r="X31" i="13"/>
  <c r="K26" i="14"/>
  <c r="L11" i="12"/>
  <c r="AA11" i="12"/>
  <c r="S11" i="12"/>
  <c r="K11" i="12"/>
  <c r="N10" i="12"/>
  <c r="U10" i="12"/>
  <c r="M10" i="12"/>
  <c r="AD13" i="12"/>
  <c r="V13" i="12"/>
  <c r="N13" i="12"/>
  <c r="Z11" i="12"/>
  <c r="R11" i="12"/>
  <c r="J11" i="12"/>
  <c r="AB10" i="12"/>
  <c r="T10" i="12"/>
  <c r="L10" i="12"/>
  <c r="G10" i="12"/>
  <c r="AC13" i="12"/>
  <c r="U13" i="12"/>
  <c r="M13" i="12"/>
  <c r="AG11" i="12"/>
  <c r="Y11" i="12"/>
  <c r="Q11" i="12"/>
  <c r="I11" i="12"/>
  <c r="AA10" i="12"/>
  <c r="S10" i="12"/>
  <c r="K10" i="12"/>
  <c r="G11" i="12"/>
  <c r="AB13" i="12"/>
  <c r="T13" i="12"/>
  <c r="L13" i="12"/>
  <c r="AF11" i="12"/>
  <c r="X11" i="12"/>
  <c r="P11" i="12"/>
  <c r="H11" i="12"/>
  <c r="Z10" i="12"/>
  <c r="R10" i="12"/>
  <c r="J10" i="12"/>
  <c r="AA13" i="12"/>
  <c r="S13" i="12"/>
  <c r="K13" i="12"/>
  <c r="AE11" i="12"/>
  <c r="W11" i="12"/>
  <c r="O11" i="12"/>
  <c r="AG10" i="12"/>
  <c r="Y10" i="12"/>
  <c r="Q10" i="12"/>
  <c r="I10" i="12"/>
  <c r="O13" i="12"/>
  <c r="Z13" i="12"/>
  <c r="R13" i="12"/>
  <c r="J13" i="12"/>
  <c r="AD11" i="12"/>
  <c r="V11" i="12"/>
  <c r="N11" i="12"/>
  <c r="AF10" i="12"/>
  <c r="X10" i="12"/>
  <c r="P10" i="12"/>
  <c r="H10" i="12"/>
  <c r="AE13" i="12"/>
  <c r="AG13" i="12"/>
  <c r="Y13" i="12"/>
  <c r="Q13" i="12"/>
  <c r="I13" i="12"/>
  <c r="AC11" i="12"/>
  <c r="U11" i="12"/>
  <c r="M11" i="12"/>
  <c r="AE10" i="12"/>
  <c r="W10" i="12"/>
  <c r="O10" i="12"/>
  <c r="W13" i="12"/>
  <c r="AF13" i="12"/>
  <c r="X13" i="12"/>
  <c r="P13" i="12"/>
  <c r="AB11" i="12"/>
  <c r="T11" i="12"/>
  <c r="AD10" i="12"/>
  <c r="V10" i="12"/>
  <c r="J34" i="14" l="1"/>
  <c r="I11" i="14"/>
  <c r="J35" i="14"/>
  <c r="I12" i="14"/>
  <c r="AE56" i="13"/>
  <c r="AB8" i="13"/>
  <c r="AB31" i="13"/>
  <c r="L26" i="14"/>
  <c r="M9" i="12"/>
  <c r="AG9" i="12"/>
  <c r="U9" i="12"/>
  <c r="H9" i="12"/>
  <c r="P9" i="12"/>
  <c r="G9" i="12"/>
  <c r="S9" i="12"/>
  <c r="AB9" i="12"/>
  <c r="Y9" i="12"/>
  <c r="K9" i="12"/>
  <c r="X9" i="12"/>
  <c r="AF9" i="12"/>
  <c r="AA9" i="12"/>
  <c r="AE9" i="12"/>
  <c r="O9" i="12"/>
  <c r="W9" i="12"/>
  <c r="L9" i="12"/>
  <c r="N9" i="12"/>
  <c r="J9" i="12"/>
  <c r="R9" i="12"/>
  <c r="AC9" i="12"/>
  <c r="V9" i="12"/>
  <c r="I9" i="12"/>
  <c r="Z9" i="12"/>
  <c r="T9" i="12"/>
  <c r="AD9" i="12"/>
  <c r="Q9" i="12"/>
  <c r="E34" i="12"/>
  <c r="K35" i="14" l="1"/>
  <c r="J12" i="14"/>
  <c r="K34" i="14"/>
  <c r="J11" i="14"/>
  <c r="AE8" i="13"/>
  <c r="AE31" i="13"/>
  <c r="M26" i="14"/>
  <c r="H3" i="14"/>
  <c r="G4" i="14"/>
  <c r="E13" i="13"/>
  <c r="F34" i="12"/>
  <c r="B34" i="12"/>
  <c r="B5" i="12"/>
  <c r="B33" i="23" s="1"/>
  <c r="B6" i="12"/>
  <c r="B34" i="23" s="1"/>
  <c r="L35" i="14" l="1"/>
  <c r="K12" i="14"/>
  <c r="L34" i="14"/>
  <c r="K11" i="14"/>
  <c r="N26" i="14"/>
  <c r="AK14" i="14"/>
  <c r="AJ14" i="14"/>
  <c r="M34" i="14" l="1"/>
  <c r="L11" i="14"/>
  <c r="M35" i="14"/>
  <c r="L12" i="14"/>
  <c r="O26" i="14"/>
  <c r="B8" i="23"/>
  <c r="B9" i="23"/>
  <c r="B7" i="23"/>
  <c r="N35" i="14" l="1"/>
  <c r="M12" i="14"/>
  <c r="N34" i="14"/>
  <c r="M11" i="14"/>
  <c r="P26" i="14"/>
  <c r="J4" i="14"/>
  <c r="I4" i="14"/>
  <c r="H4" i="14"/>
  <c r="J3" i="14"/>
  <c r="I3" i="14"/>
  <c r="O34" i="14" l="1"/>
  <c r="N11" i="14"/>
  <c r="O35" i="14"/>
  <c r="N12" i="14"/>
  <c r="Q26" i="14"/>
  <c r="G34" i="12"/>
  <c r="K4" i="14"/>
  <c r="K3" i="14"/>
  <c r="P35" i="14" l="1"/>
  <c r="O12" i="14"/>
  <c r="P34" i="14"/>
  <c r="O11" i="14"/>
  <c r="R26" i="14"/>
  <c r="H34" i="12"/>
  <c r="L4" i="14"/>
  <c r="L3" i="14"/>
  <c r="Q34" i="14" l="1"/>
  <c r="P11" i="14"/>
  <c r="Q35" i="14"/>
  <c r="P12" i="14"/>
  <c r="S26" i="14"/>
  <c r="I34" i="12"/>
  <c r="M4" i="14"/>
  <c r="M3" i="14"/>
  <c r="R35" i="14" l="1"/>
  <c r="Q12" i="14"/>
  <c r="R34" i="14"/>
  <c r="Q11" i="14"/>
  <c r="T26" i="14"/>
  <c r="J34" i="12"/>
  <c r="N4" i="14"/>
  <c r="N3" i="14"/>
  <c r="S34" i="14" l="1"/>
  <c r="R11" i="14"/>
  <c r="S35" i="14"/>
  <c r="R12" i="14"/>
  <c r="U26" i="14"/>
  <c r="K34" i="12"/>
  <c r="O4" i="14"/>
  <c r="O3" i="14"/>
  <c r="T35" i="14" l="1"/>
  <c r="S12" i="14"/>
  <c r="T34" i="14"/>
  <c r="S11" i="14"/>
  <c r="V26" i="14"/>
  <c r="L34" i="12"/>
  <c r="P4" i="14"/>
  <c r="P3" i="14"/>
  <c r="U34" i="14" l="1"/>
  <c r="T11" i="14"/>
  <c r="U35" i="14"/>
  <c r="T12" i="14"/>
  <c r="W26" i="14"/>
  <c r="M34" i="12"/>
  <c r="Q4" i="14"/>
  <c r="Q3" i="14"/>
  <c r="V35" i="14" l="1"/>
  <c r="U12" i="14"/>
  <c r="V34" i="14"/>
  <c r="U11" i="14"/>
  <c r="X26" i="14"/>
  <c r="N34" i="12"/>
  <c r="R4" i="14"/>
  <c r="R3" i="14"/>
  <c r="W34" i="14" l="1"/>
  <c r="V11" i="14"/>
  <c r="W35" i="14"/>
  <c r="V12" i="14"/>
  <c r="Y26" i="14"/>
  <c r="O34" i="12"/>
  <c r="S4" i="14"/>
  <c r="S3" i="14"/>
  <c r="X35" i="14" l="1"/>
  <c r="W12" i="14"/>
  <c r="X34" i="14"/>
  <c r="W11" i="14"/>
  <c r="Z26" i="14"/>
  <c r="P34" i="12"/>
  <c r="T4" i="14"/>
  <c r="T3" i="14"/>
  <c r="Y34" i="14" l="1"/>
  <c r="X11" i="14"/>
  <c r="Y35" i="14"/>
  <c r="X12" i="14"/>
  <c r="AA26" i="14"/>
  <c r="Q34" i="12"/>
  <c r="U4" i="14"/>
  <c r="U3" i="14"/>
  <c r="Z34" i="14" l="1"/>
  <c r="Y11" i="14"/>
  <c r="Z35" i="14"/>
  <c r="Y12" i="14"/>
  <c r="AB26" i="14"/>
  <c r="R34" i="12"/>
  <c r="V4" i="14"/>
  <c r="V3" i="14"/>
  <c r="AA35" i="14" l="1"/>
  <c r="Z12" i="14"/>
  <c r="AA34" i="14"/>
  <c r="Z11" i="14"/>
  <c r="AC26" i="14"/>
  <c r="S34" i="12"/>
  <c r="W4" i="14"/>
  <c r="W3" i="14"/>
  <c r="AB35" i="14" l="1"/>
  <c r="AA12" i="14"/>
  <c r="AB34" i="14"/>
  <c r="AA11" i="14"/>
  <c r="AD26" i="14"/>
  <c r="T34" i="12"/>
  <c r="X4" i="14"/>
  <c r="X3" i="14"/>
  <c r="AC35" i="14" l="1"/>
  <c r="AB12" i="14"/>
  <c r="AC34" i="14"/>
  <c r="AB11" i="14"/>
  <c r="AE26" i="14"/>
  <c r="U34" i="12"/>
  <c r="Y4" i="14"/>
  <c r="Y3" i="14"/>
  <c r="AD34" i="14" l="1"/>
  <c r="AC11" i="14"/>
  <c r="AD35" i="14"/>
  <c r="AC12" i="14"/>
  <c r="AF26" i="14"/>
  <c r="V34" i="12"/>
  <c r="Z4" i="14"/>
  <c r="Z3" i="14"/>
  <c r="AE35" i="14" l="1"/>
  <c r="AD12" i="14"/>
  <c r="AE34" i="14"/>
  <c r="AD11" i="14"/>
  <c r="AG26" i="14"/>
  <c r="W34" i="12"/>
  <c r="AA4" i="14"/>
  <c r="AA3" i="14"/>
  <c r="D2" i="23"/>
  <c r="E8" i="13"/>
  <c r="E4" i="13" s="1"/>
  <c r="E27" i="13"/>
  <c r="F4" i="13"/>
  <c r="F14" i="9" s="1"/>
  <c r="AG36" i="13"/>
  <c r="E3" i="17"/>
  <c r="G2" i="14" s="1"/>
  <c r="AH13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9" i="12"/>
  <c r="AH10" i="12"/>
  <c r="AH11" i="12"/>
  <c r="AH14" i="12"/>
  <c r="AH15" i="12"/>
  <c r="H27" i="13"/>
  <c r="J27" i="13"/>
  <c r="K27" i="13"/>
  <c r="L8" i="11"/>
  <c r="P8" i="11"/>
  <c r="R27" i="13"/>
  <c r="T27" i="13"/>
  <c r="U8" i="11"/>
  <c r="X27" i="13"/>
  <c r="Y27" i="13"/>
  <c r="Z27" i="13"/>
  <c r="AA27" i="13"/>
  <c r="AB27" i="13"/>
  <c r="AF27" i="13"/>
  <c r="R4" i="13"/>
  <c r="R14" i="9" s="1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F30" i="12"/>
  <c r="B17" i="23"/>
  <c r="D8" i="12"/>
  <c r="V8" i="12" s="1"/>
  <c r="C54" i="13"/>
  <c r="C53" i="13"/>
  <c r="G20" i="12"/>
  <c r="G19" i="12" s="1"/>
  <c r="B43" i="23"/>
  <c r="B42" i="23"/>
  <c r="E100" i="11"/>
  <c r="B25" i="23"/>
  <c r="B24" i="23"/>
  <c r="B23" i="23"/>
  <c r="F20" i="12"/>
  <c r="F19" i="12" s="1"/>
  <c r="AG20" i="12"/>
  <c r="AG19" i="12" s="1"/>
  <c r="AH54" i="12"/>
  <c r="AH55" i="12"/>
  <c r="AH56" i="12"/>
  <c r="AH58" i="12"/>
  <c r="AH59" i="12"/>
  <c r="AH60" i="12"/>
  <c r="AH37" i="12"/>
  <c r="AH38" i="12"/>
  <c r="AH39" i="12"/>
  <c r="AH41" i="12"/>
  <c r="AH42" i="12"/>
  <c r="AH43" i="12"/>
  <c r="AH45" i="12"/>
  <c r="AH46" i="12"/>
  <c r="AH47" i="12"/>
  <c r="AH52" i="12"/>
  <c r="AH22" i="12"/>
  <c r="AH21" i="12"/>
  <c r="AC20" i="12"/>
  <c r="AC19" i="12" s="1"/>
  <c r="U20" i="12"/>
  <c r="U19" i="12" s="1"/>
  <c r="M20" i="12"/>
  <c r="M19" i="12" s="1"/>
  <c r="Z20" i="12"/>
  <c r="Z19" i="12" s="1"/>
  <c r="R20" i="12"/>
  <c r="R19" i="12" s="1"/>
  <c r="J20" i="12"/>
  <c r="J19" i="12" s="1"/>
  <c r="Y20" i="12"/>
  <c r="Y19" i="12" s="1"/>
  <c r="Q20" i="12"/>
  <c r="Q19" i="12" s="1"/>
  <c r="I20" i="12"/>
  <c r="I19" i="12" s="1"/>
  <c r="AD20" i="12"/>
  <c r="AD19" i="12" s="1"/>
  <c r="V20" i="12"/>
  <c r="V19" i="12" s="1"/>
  <c r="N20" i="12"/>
  <c r="N19" i="12" s="1"/>
  <c r="AF20" i="12"/>
  <c r="AF19" i="12" s="1"/>
  <c r="AB20" i="12"/>
  <c r="AB19" i="12" s="1"/>
  <c r="X20" i="12"/>
  <c r="X19" i="12" s="1"/>
  <c r="T20" i="12"/>
  <c r="T19" i="12" s="1"/>
  <c r="P20" i="12"/>
  <c r="P19" i="12" s="1"/>
  <c r="L20" i="12"/>
  <c r="L19" i="12" s="1"/>
  <c r="H20" i="12"/>
  <c r="AE20" i="12"/>
  <c r="AE19" i="12" s="1"/>
  <c r="AA20" i="12"/>
  <c r="AA19" i="12" s="1"/>
  <c r="W20" i="12"/>
  <c r="W19" i="12" s="1"/>
  <c r="S20" i="12"/>
  <c r="S19" i="12" s="1"/>
  <c r="O20" i="12"/>
  <c r="O19" i="12" s="1"/>
  <c r="K20" i="12"/>
  <c r="K19" i="12" s="1"/>
  <c r="AH57" i="12"/>
  <c r="AH44" i="12"/>
  <c r="AH53" i="12"/>
  <c r="AH40" i="12"/>
  <c r="AI14" i="14"/>
  <c r="AG48" i="13"/>
  <c r="AG47" i="13"/>
  <c r="AG46" i="13"/>
  <c r="AG45" i="13"/>
  <c r="AG44" i="13"/>
  <c r="AG43" i="13"/>
  <c r="AG42" i="13"/>
  <c r="AG41" i="13"/>
  <c r="AG40" i="13"/>
  <c r="AG39" i="13"/>
  <c r="AG38" i="13"/>
  <c r="AG37" i="13"/>
  <c r="AG35" i="13"/>
  <c r="AG34" i="13"/>
  <c r="AG33" i="13"/>
  <c r="AG32" i="13"/>
  <c r="AG30" i="13"/>
  <c r="AG29" i="13"/>
  <c r="AG2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5" i="13"/>
  <c r="AG6" i="13"/>
  <c r="AG7" i="13"/>
  <c r="AE27" i="13"/>
  <c r="AD27" i="13"/>
  <c r="W27" i="13"/>
  <c r="V27" i="13"/>
  <c r="U27" i="13"/>
  <c r="S27" i="13"/>
  <c r="P27" i="13"/>
  <c r="O27" i="13"/>
  <c r="N27" i="13"/>
  <c r="M27" i="13"/>
  <c r="L27" i="13"/>
  <c r="G27" i="13"/>
  <c r="D27" i="13"/>
  <c r="G4" i="13"/>
  <c r="G14" i="9" s="1"/>
  <c r="H4" i="13"/>
  <c r="H14" i="9" s="1"/>
  <c r="I4" i="13"/>
  <c r="I14" i="9" s="1"/>
  <c r="J4" i="13"/>
  <c r="J14" i="9" s="1"/>
  <c r="K4" i="13"/>
  <c r="K14" i="9" s="1"/>
  <c r="L4" i="13"/>
  <c r="L14" i="9" s="1"/>
  <c r="M4" i="13"/>
  <c r="M14" i="9" s="1"/>
  <c r="N4" i="13"/>
  <c r="N14" i="9" s="1"/>
  <c r="O4" i="13"/>
  <c r="O14" i="9" s="1"/>
  <c r="P4" i="13"/>
  <c r="P14" i="9" s="1"/>
  <c r="Q4" i="13"/>
  <c r="Q14" i="9" s="1"/>
  <c r="S4" i="13"/>
  <c r="S14" i="9" s="1"/>
  <c r="T4" i="13"/>
  <c r="T14" i="9" s="1"/>
  <c r="U4" i="13"/>
  <c r="U14" i="9"/>
  <c r="V4" i="13"/>
  <c r="V14" i="9" s="1"/>
  <c r="W4" i="13"/>
  <c r="W14" i="9" s="1"/>
  <c r="X4" i="13"/>
  <c r="X14" i="9" s="1"/>
  <c r="Y4" i="13"/>
  <c r="Y14" i="9" s="1"/>
  <c r="Z4" i="13"/>
  <c r="Z14" i="9" s="1"/>
  <c r="AA4" i="13"/>
  <c r="AA14" i="9" s="1"/>
  <c r="AB4" i="13"/>
  <c r="AB14" i="9" s="1"/>
  <c r="AC4" i="13"/>
  <c r="AC14" i="9" s="1"/>
  <c r="AD4" i="13"/>
  <c r="AD14" i="9" s="1"/>
  <c r="AE4" i="13"/>
  <c r="AE14" i="9" s="1"/>
  <c r="AF4" i="13"/>
  <c r="AF14" i="9" s="1"/>
  <c r="D4" i="13"/>
  <c r="D14" i="9"/>
  <c r="D15" i="9" s="1"/>
  <c r="D77" i="23"/>
  <c r="E5" i="15"/>
  <c r="AF65" i="13"/>
  <c r="AG58" i="13"/>
  <c r="AG59" i="13"/>
  <c r="AG60" i="13"/>
  <c r="AG61" i="13"/>
  <c r="AG62" i="13"/>
  <c r="AG63" i="13"/>
  <c r="AG64" i="13"/>
  <c r="AH31" i="12"/>
  <c r="AG56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28" i="13"/>
  <c r="E5" i="11"/>
  <c r="E75" i="11" s="1"/>
  <c r="E6" i="11"/>
  <c r="E76" i="11" s="1"/>
  <c r="F52" i="11" s="1"/>
  <c r="E9" i="11"/>
  <c r="E79" i="11" s="1"/>
  <c r="F55" i="11" s="1"/>
  <c r="E10" i="11"/>
  <c r="E80" i="11" s="1"/>
  <c r="F56" i="11" s="1"/>
  <c r="E11" i="11"/>
  <c r="E81" i="11" s="1"/>
  <c r="F57" i="11" s="1"/>
  <c r="E12" i="11"/>
  <c r="E82" i="11" s="1"/>
  <c r="F58" i="11" s="1"/>
  <c r="E13" i="11"/>
  <c r="E83" i="11" s="1"/>
  <c r="F59" i="11" s="1"/>
  <c r="E14" i="11"/>
  <c r="E84" i="11" s="1"/>
  <c r="F60" i="11" s="1"/>
  <c r="E15" i="11"/>
  <c r="E85" i="11" s="1"/>
  <c r="F61" i="11" s="1"/>
  <c r="E16" i="11"/>
  <c r="E17" i="11"/>
  <c r="E18" i="11"/>
  <c r="E88" i="11" s="1"/>
  <c r="F64" i="11" s="1"/>
  <c r="E19" i="11"/>
  <c r="E89" i="11" s="1"/>
  <c r="E20" i="11"/>
  <c r="E90" i="11" s="1"/>
  <c r="F66" i="11" s="1"/>
  <c r="F12" i="11"/>
  <c r="F82" i="11" s="1"/>
  <c r="G58" i="11" s="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E21" i="11"/>
  <c r="E91" i="11" s="1"/>
  <c r="F67" i="11" s="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E22" i="11"/>
  <c r="E92" i="11" s="1"/>
  <c r="F68" i="11" s="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B14" i="11"/>
  <c r="B38" i="11" s="1"/>
  <c r="B60" i="11" s="1"/>
  <c r="B84" i="11" s="1"/>
  <c r="B15" i="11"/>
  <c r="B39" i="11" s="1"/>
  <c r="B61" i="11" s="1"/>
  <c r="B85" i="11" s="1"/>
  <c r="B16" i="11"/>
  <c r="B40" i="11" s="1"/>
  <c r="B62" i="11" s="1"/>
  <c r="B86" i="11" s="1"/>
  <c r="B17" i="11"/>
  <c r="B41" i="11" s="1"/>
  <c r="B63" i="11" s="1"/>
  <c r="B87" i="11" s="1"/>
  <c r="B18" i="11"/>
  <c r="B42" i="11" s="1"/>
  <c r="B64" i="11" s="1"/>
  <c r="B88" i="11" s="1"/>
  <c r="B19" i="11"/>
  <c r="B43" i="11" s="1"/>
  <c r="B65" i="11" s="1"/>
  <c r="B89" i="11" s="1"/>
  <c r="B20" i="11"/>
  <c r="B44" i="11" s="1"/>
  <c r="B66" i="11" s="1"/>
  <c r="B90" i="11" s="1"/>
  <c r="B21" i="11"/>
  <c r="B45" i="11" s="1"/>
  <c r="B67" i="11" s="1"/>
  <c r="B91" i="11" s="1"/>
  <c r="B22" i="11"/>
  <c r="B46" i="11" s="1"/>
  <c r="B68" i="11" s="1"/>
  <c r="B92" i="11" s="1"/>
  <c r="B23" i="11"/>
  <c r="B47" i="11" s="1"/>
  <c r="B69" i="11" s="1"/>
  <c r="B93" i="11" s="1"/>
  <c r="B24" i="11"/>
  <c r="B48" i="11" s="1"/>
  <c r="B70" i="11" s="1"/>
  <c r="B94" i="11" s="1"/>
  <c r="B25" i="11"/>
  <c r="B49" i="11" s="1"/>
  <c r="B71" i="11" s="1"/>
  <c r="B95" i="11" s="1"/>
  <c r="B6" i="11"/>
  <c r="B30" i="11" s="1"/>
  <c r="B52" i="11" s="1"/>
  <c r="B76" i="11" s="1"/>
  <c r="B7" i="11"/>
  <c r="B31" i="11" s="1"/>
  <c r="B53" i="11" s="1"/>
  <c r="B77" i="11" s="1"/>
  <c r="B8" i="11"/>
  <c r="B32" i="11" s="1"/>
  <c r="B54" i="11" s="1"/>
  <c r="B78" i="11" s="1"/>
  <c r="B9" i="11"/>
  <c r="B33" i="11" s="1"/>
  <c r="B55" i="11" s="1"/>
  <c r="B79" i="11" s="1"/>
  <c r="B10" i="11"/>
  <c r="B34" i="11" s="1"/>
  <c r="B56" i="11" s="1"/>
  <c r="B80" i="11" s="1"/>
  <c r="B11" i="11"/>
  <c r="B35" i="11" s="1"/>
  <c r="B57" i="11" s="1"/>
  <c r="B81" i="11" s="1"/>
  <c r="B12" i="11"/>
  <c r="B36" i="11" s="1"/>
  <c r="B58" i="11" s="1"/>
  <c r="B82" i="11" s="1"/>
  <c r="B13" i="11"/>
  <c r="B37" i="11" s="1"/>
  <c r="B59" i="11" s="1"/>
  <c r="B83" i="11" s="1"/>
  <c r="B5" i="11"/>
  <c r="B29" i="11" s="1"/>
  <c r="B51" i="11" s="1"/>
  <c r="B75" i="11" s="1"/>
  <c r="AI25" i="14"/>
  <c r="E7" i="11"/>
  <c r="L65" i="13"/>
  <c r="K65" i="13"/>
  <c r="J65" i="13"/>
  <c r="I65" i="13"/>
  <c r="H65" i="13"/>
  <c r="G65" i="13"/>
  <c r="F65" i="13"/>
  <c r="E1" i="9"/>
  <c r="K44" i="23"/>
  <c r="K45" i="23"/>
  <c r="K46" i="23"/>
  <c r="K47" i="23"/>
  <c r="K48" i="23"/>
  <c r="E1" i="10"/>
  <c r="E1" i="11"/>
  <c r="F1" i="12"/>
  <c r="E1" i="13"/>
  <c r="G1" i="14"/>
  <c r="F1" i="17"/>
  <c r="F3" i="17" s="1"/>
  <c r="F2" i="10" s="1"/>
  <c r="F25" i="17"/>
  <c r="F24" i="17"/>
  <c r="F1" i="9"/>
  <c r="G1" i="12"/>
  <c r="F1" i="13"/>
  <c r="F1" i="10"/>
  <c r="F1" i="11"/>
  <c r="H1" i="14"/>
  <c r="G1" i="17"/>
  <c r="H1" i="17"/>
  <c r="H1" i="12"/>
  <c r="AG8" i="13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F8" i="11"/>
  <c r="G8" i="11"/>
  <c r="H8" i="11"/>
  <c r="J8" i="11"/>
  <c r="M8" i="11"/>
  <c r="N8" i="11"/>
  <c r="O8" i="11"/>
  <c r="S8" i="11"/>
  <c r="T8" i="11"/>
  <c r="V8" i="11"/>
  <c r="W8" i="11"/>
  <c r="X8" i="11"/>
  <c r="AB8" i="11"/>
  <c r="AD8" i="11"/>
  <c r="AE8" i="11"/>
  <c r="AF8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E25" i="11"/>
  <c r="E95" i="11" s="1"/>
  <c r="F71" i="11" s="1"/>
  <c r="E24" i="11"/>
  <c r="E94" i="11" s="1"/>
  <c r="F70" i="11" s="1"/>
  <c r="E23" i="11"/>
  <c r="E93" i="11" s="1"/>
  <c r="F69" i="11" s="1"/>
  <c r="U4" i="9"/>
  <c r="U6" i="10" s="1"/>
  <c r="F19" i="10"/>
  <c r="E19" i="10"/>
  <c r="E11" i="10"/>
  <c r="D9" i="17"/>
  <c r="F17" i="9" s="1"/>
  <c r="AH36" i="12"/>
  <c r="K25" i="23"/>
  <c r="E72" i="11"/>
  <c r="E8" i="10" s="1"/>
  <c r="E7" i="9" s="1"/>
  <c r="E13" i="9" s="1"/>
  <c r="E14" i="9" l="1"/>
  <c r="D84" i="23"/>
  <c r="AF34" i="14"/>
  <c r="AE11" i="14"/>
  <c r="AF35" i="14"/>
  <c r="AE12" i="14"/>
  <c r="AH26" i="14"/>
  <c r="X26" i="11"/>
  <c r="AG4" i="13"/>
  <c r="E17" i="9"/>
  <c r="D17" i="9"/>
  <c r="D19" i="9" s="1"/>
  <c r="D20" i="9" s="1"/>
  <c r="R8" i="11"/>
  <c r="R26" i="11" s="1"/>
  <c r="V24" i="12"/>
  <c r="U5" i="9" s="1"/>
  <c r="U6" i="9" s="1"/>
  <c r="F27" i="13"/>
  <c r="AA8" i="11"/>
  <c r="F95" i="11"/>
  <c r="G71" i="11" s="1"/>
  <c r="G95" i="11" s="1"/>
  <c r="Z8" i="11"/>
  <c r="Z26" i="11" s="1"/>
  <c r="AG10" i="11"/>
  <c r="F88" i="11"/>
  <c r="G64" i="11" s="1"/>
  <c r="G88" i="11" s="1"/>
  <c r="F81" i="11"/>
  <c r="G57" i="11" s="1"/>
  <c r="G81" i="11" s="1"/>
  <c r="F85" i="11"/>
  <c r="G61" i="11" s="1"/>
  <c r="G85" i="11" s="1"/>
  <c r="F91" i="11"/>
  <c r="G67" i="11" s="1"/>
  <c r="G91" i="11" s="1"/>
  <c r="H67" i="11" s="1"/>
  <c r="F93" i="11"/>
  <c r="G69" i="11" s="1"/>
  <c r="G93" i="11" s="1"/>
  <c r="H26" i="11"/>
  <c r="K8" i="11"/>
  <c r="K26" i="11" s="1"/>
  <c r="S26" i="11"/>
  <c r="F13" i="11"/>
  <c r="F83" i="11" s="1"/>
  <c r="AG5" i="11"/>
  <c r="Y8" i="11"/>
  <c r="Y26" i="11" s="1"/>
  <c r="F79" i="11"/>
  <c r="G55" i="11" s="1"/>
  <c r="G79" i="11" s="1"/>
  <c r="AG6" i="11"/>
  <c r="F94" i="11"/>
  <c r="G70" i="11" s="1"/>
  <c r="G94" i="11" s="1"/>
  <c r="H70" i="11" s="1"/>
  <c r="H94" i="11" s="1"/>
  <c r="I70" i="11" s="1"/>
  <c r="AA26" i="11"/>
  <c r="AD26" i="11"/>
  <c r="G82" i="11"/>
  <c r="H58" i="11" s="1"/>
  <c r="H82" i="11" s="1"/>
  <c r="I58" i="11" s="1"/>
  <c r="I82" i="11" s="1"/>
  <c r="J58" i="11" s="1"/>
  <c r="AG22" i="11"/>
  <c r="F92" i="11"/>
  <c r="G68" i="11" s="1"/>
  <c r="G92" i="11" s="1"/>
  <c r="AG19" i="11"/>
  <c r="AG20" i="11"/>
  <c r="F84" i="11"/>
  <c r="G60" i="11" s="1"/>
  <c r="G84" i="11" s="1"/>
  <c r="E2" i="13"/>
  <c r="E55" i="13" s="1"/>
  <c r="E2" i="9"/>
  <c r="E2" i="11"/>
  <c r="F2" i="12"/>
  <c r="E2" i="10"/>
  <c r="G2" i="12"/>
  <c r="G31" i="12" s="1"/>
  <c r="F2" i="9"/>
  <c r="AG25" i="11"/>
  <c r="M26" i="11"/>
  <c r="F51" i="11"/>
  <c r="F65" i="11"/>
  <c r="L26" i="11"/>
  <c r="I1" i="17"/>
  <c r="H1" i="9"/>
  <c r="H17" i="9" s="1"/>
  <c r="H3" i="17"/>
  <c r="H1" i="13"/>
  <c r="J1" i="14"/>
  <c r="I1" i="12"/>
  <c r="H1" i="10"/>
  <c r="H1" i="11"/>
  <c r="F76" i="11"/>
  <c r="AG9" i="11"/>
  <c r="G26" i="11"/>
  <c r="U26" i="11"/>
  <c r="AF26" i="11"/>
  <c r="P26" i="11"/>
  <c r="F90" i="11"/>
  <c r="AB26" i="11"/>
  <c r="O26" i="11"/>
  <c r="T26" i="11"/>
  <c r="AE26" i="11"/>
  <c r="W26" i="11"/>
  <c r="F80" i="11"/>
  <c r="G1" i="9"/>
  <c r="G17" i="9" s="1"/>
  <c r="G1" i="10"/>
  <c r="I1" i="14"/>
  <c r="G3" i="17"/>
  <c r="G1" i="11"/>
  <c r="G1" i="13"/>
  <c r="G24" i="17"/>
  <c r="F100" i="11"/>
  <c r="AG21" i="11"/>
  <c r="AG18" i="11"/>
  <c r="AG14" i="11"/>
  <c r="AG12" i="11"/>
  <c r="E87" i="11"/>
  <c r="AG17" i="11"/>
  <c r="N26" i="11"/>
  <c r="V26" i="11"/>
  <c r="F11" i="10"/>
  <c r="G25" i="17"/>
  <c r="J26" i="11"/>
  <c r="E77" i="11"/>
  <c r="AG7" i="11"/>
  <c r="AC8" i="11"/>
  <c r="AC26" i="11" s="1"/>
  <c r="AC27" i="13"/>
  <c r="AG24" i="11"/>
  <c r="AG11" i="11"/>
  <c r="E86" i="11"/>
  <c r="AG16" i="11"/>
  <c r="AG14" i="9"/>
  <c r="E10" i="15" s="1"/>
  <c r="F2" i="11"/>
  <c r="F2" i="13"/>
  <c r="F55" i="13" s="1"/>
  <c r="H2" i="14"/>
  <c r="H25" i="14" s="1"/>
  <c r="AG15" i="11"/>
  <c r="AG23" i="11"/>
  <c r="Q8" i="11"/>
  <c r="Q26" i="11" s="1"/>
  <c r="Q27" i="13"/>
  <c r="I8" i="11"/>
  <c r="I26" i="11" s="1"/>
  <c r="I27" i="13"/>
  <c r="AG31" i="13"/>
  <c r="AG27" i="13" s="1"/>
  <c r="X34" i="12"/>
  <c r="AB4" i="14"/>
  <c r="AB3" i="14"/>
  <c r="E8" i="11"/>
  <c r="E26" i="11" s="1"/>
  <c r="AG65" i="13"/>
  <c r="D22" i="23"/>
  <c r="D6" i="23"/>
  <c r="AH7" i="12"/>
  <c r="AH20" i="12"/>
  <c r="H19" i="12"/>
  <c r="AH19" i="12" s="1"/>
  <c r="D1" i="23"/>
  <c r="D41" i="23"/>
  <c r="E2" i="23"/>
  <c r="E6" i="23" s="1"/>
  <c r="D53" i="23"/>
  <c r="D32" i="23"/>
  <c r="G25" i="14"/>
  <c r="F52" i="12" l="1"/>
  <c r="L84" i="23"/>
  <c r="I84" i="23"/>
  <c r="E84" i="23"/>
  <c r="G84" i="23"/>
  <c r="J84" i="23"/>
  <c r="F84" i="23"/>
  <c r="H84" i="23"/>
  <c r="K84" i="23"/>
  <c r="AG35" i="14"/>
  <c r="AF12" i="14"/>
  <c r="AG34" i="14"/>
  <c r="AF11" i="14"/>
  <c r="F31" i="12"/>
  <c r="AG13" i="11"/>
  <c r="H91" i="11"/>
  <c r="I67" i="11" s="1"/>
  <c r="I94" i="11"/>
  <c r="J70" i="11" s="1"/>
  <c r="J94" i="11" s="1"/>
  <c r="K70" i="11" s="1"/>
  <c r="J82" i="11"/>
  <c r="K58" i="11" s="1"/>
  <c r="K82" i="11" s="1"/>
  <c r="L58" i="11" s="1"/>
  <c r="F26" i="11"/>
  <c r="G52" i="12"/>
  <c r="H71" i="11"/>
  <c r="F62" i="11"/>
  <c r="G66" i="11"/>
  <c r="I1" i="10"/>
  <c r="I1" i="11"/>
  <c r="J1" i="12"/>
  <c r="I3" i="17"/>
  <c r="J1" i="17"/>
  <c r="I1" i="13"/>
  <c r="K1" i="14"/>
  <c r="I1" i="9"/>
  <c r="I17" i="9" s="1"/>
  <c r="F75" i="11"/>
  <c r="H24" i="17"/>
  <c r="G19" i="10"/>
  <c r="G100" i="11"/>
  <c r="H55" i="11"/>
  <c r="H61" i="11"/>
  <c r="I2" i="14"/>
  <c r="G2" i="9"/>
  <c r="G2" i="10"/>
  <c r="G2" i="11"/>
  <c r="G2" i="13"/>
  <c r="G55" i="13" s="1"/>
  <c r="H2" i="12"/>
  <c r="I91" i="11"/>
  <c r="J67" i="11" s="1"/>
  <c r="H2" i="13"/>
  <c r="H55" i="13" s="1"/>
  <c r="J2" i="14"/>
  <c r="J25" i="14" s="1"/>
  <c r="H2" i="10"/>
  <c r="I2" i="12"/>
  <c r="H2" i="9"/>
  <c r="H2" i="11"/>
  <c r="F89" i="11"/>
  <c r="H60" i="11"/>
  <c r="F53" i="11"/>
  <c r="H69" i="11"/>
  <c r="G56" i="11"/>
  <c r="G52" i="11"/>
  <c r="G11" i="10"/>
  <c r="H25" i="17"/>
  <c r="F63" i="11"/>
  <c r="H57" i="11"/>
  <c r="H64" i="11"/>
  <c r="H68" i="11"/>
  <c r="Y34" i="12"/>
  <c r="AC4" i="14"/>
  <c r="AC3" i="14"/>
  <c r="AG8" i="11"/>
  <c r="AG26" i="11" s="1"/>
  <c r="E78" i="11"/>
  <c r="G59" i="11"/>
  <c r="U7" i="10"/>
  <c r="E22" i="23"/>
  <c r="E1" i="23"/>
  <c r="E41" i="23"/>
  <c r="E32" i="23"/>
  <c r="F2" i="23"/>
  <c r="F6" i="23" s="1"/>
  <c r="E53" i="23"/>
  <c r="AH34" i="14" l="1"/>
  <c r="AG11" i="14"/>
  <c r="AH35" i="14"/>
  <c r="AG12" i="14"/>
  <c r="AH5" i="14"/>
  <c r="G80" i="11"/>
  <c r="G51" i="11"/>
  <c r="H11" i="10"/>
  <c r="I25" i="17"/>
  <c r="H84" i="11"/>
  <c r="I52" i="12"/>
  <c r="I31" i="12"/>
  <c r="G90" i="11"/>
  <c r="J91" i="11"/>
  <c r="K67" i="11" s="1"/>
  <c r="K91" i="11" s="1"/>
  <c r="L67" i="11" s="1"/>
  <c r="H92" i="11"/>
  <c r="H81" i="11"/>
  <c r="G65" i="11"/>
  <c r="H95" i="11"/>
  <c r="H93" i="11"/>
  <c r="H85" i="11"/>
  <c r="G76" i="11"/>
  <c r="I25" i="14"/>
  <c r="H100" i="11"/>
  <c r="H19" i="10"/>
  <c r="I24" i="17"/>
  <c r="K1" i="17"/>
  <c r="K1" i="12"/>
  <c r="J1" i="9"/>
  <c r="J17" i="9" s="1"/>
  <c r="J3" i="17"/>
  <c r="J1" i="13"/>
  <c r="J1" i="10"/>
  <c r="J1" i="11"/>
  <c r="L1" i="14"/>
  <c r="F86" i="11"/>
  <c r="H88" i="11"/>
  <c r="H52" i="12"/>
  <c r="H31" i="12"/>
  <c r="H79" i="11"/>
  <c r="F87" i="11"/>
  <c r="F77" i="11"/>
  <c r="K94" i="11"/>
  <c r="L70" i="11" s="1"/>
  <c r="I2" i="9"/>
  <c r="I2" i="10"/>
  <c r="K2" i="14"/>
  <c r="J2" i="12"/>
  <c r="I2" i="13"/>
  <c r="I55" i="13" s="1"/>
  <c r="I2" i="11"/>
  <c r="L82" i="11"/>
  <c r="Z34" i="12"/>
  <c r="AD4" i="14"/>
  <c r="AD3" i="14"/>
  <c r="F54" i="11"/>
  <c r="E99" i="11"/>
  <c r="E96" i="11"/>
  <c r="G83" i="11"/>
  <c r="F53" i="23"/>
  <c r="F22" i="23"/>
  <c r="F41" i="23"/>
  <c r="F1" i="23"/>
  <c r="F32" i="23"/>
  <c r="G2" i="23"/>
  <c r="AH11" i="14" l="1"/>
  <c r="AI11" i="14" s="1"/>
  <c r="AI34" i="14"/>
  <c r="AH12" i="14"/>
  <c r="AI12" i="14" s="1"/>
  <c r="AI35" i="14"/>
  <c r="G6" i="23"/>
  <c r="G32" i="23"/>
  <c r="I69" i="11"/>
  <c r="L94" i="11"/>
  <c r="M70" i="11" s="1"/>
  <c r="M94" i="11" s="1"/>
  <c r="N70" i="11" s="1"/>
  <c r="I57" i="11"/>
  <c r="G75" i="11"/>
  <c r="G89" i="11"/>
  <c r="H56" i="11"/>
  <c r="H66" i="11"/>
  <c r="I60" i="11"/>
  <c r="G63" i="11"/>
  <c r="J2" i="9"/>
  <c r="J2" i="11"/>
  <c r="L2" i="14"/>
  <c r="J2" i="13"/>
  <c r="J55" i="13" s="1"/>
  <c r="K2" i="12"/>
  <c r="J2" i="10"/>
  <c r="J31" i="12"/>
  <c r="J52" i="12"/>
  <c r="I64" i="11"/>
  <c r="I19" i="10"/>
  <c r="J24" i="17"/>
  <c r="I100" i="11"/>
  <c r="H52" i="11"/>
  <c r="L91" i="11"/>
  <c r="M67" i="11" s="1"/>
  <c r="G62" i="11"/>
  <c r="M58" i="11"/>
  <c r="K25" i="14"/>
  <c r="G53" i="11"/>
  <c r="I61" i="11"/>
  <c r="I71" i="11"/>
  <c r="I68" i="11"/>
  <c r="I11" i="10"/>
  <c r="J25" i="17"/>
  <c r="K3" i="17"/>
  <c r="L1" i="17"/>
  <c r="L1" i="12"/>
  <c r="K1" i="9"/>
  <c r="K17" i="9" s="1"/>
  <c r="K1" i="13"/>
  <c r="K1" i="10"/>
  <c r="K1" i="11"/>
  <c r="M1" i="14"/>
  <c r="I55" i="11"/>
  <c r="AA34" i="12"/>
  <c r="AK4" i="14"/>
  <c r="AE4" i="14"/>
  <c r="AE3" i="14"/>
  <c r="AK3" i="14"/>
  <c r="E18" i="10"/>
  <c r="E20" i="10" s="1"/>
  <c r="E22" i="10" s="1"/>
  <c r="E10" i="9" s="1"/>
  <c r="E101" i="11"/>
  <c r="F78" i="11"/>
  <c r="F72" i="11"/>
  <c r="F8" i="10" s="1"/>
  <c r="F7" i="9" s="1"/>
  <c r="F13" i="9" s="1"/>
  <c r="H2" i="23"/>
  <c r="H59" i="11"/>
  <c r="G53" i="23"/>
  <c r="G22" i="23"/>
  <c r="G41" i="23"/>
  <c r="G1" i="23"/>
  <c r="H32" i="23" l="1"/>
  <c r="H6" i="23"/>
  <c r="H22" i="23"/>
  <c r="N94" i="11"/>
  <c r="O70" i="11" s="1"/>
  <c r="O94" i="11" s="1"/>
  <c r="P70" i="11" s="1"/>
  <c r="I79" i="11"/>
  <c r="I95" i="11"/>
  <c r="K2" i="13"/>
  <c r="M2" i="14"/>
  <c r="K2" i="11"/>
  <c r="L2" i="12"/>
  <c r="K2" i="9"/>
  <c r="K2" i="10"/>
  <c r="I85" i="11"/>
  <c r="H76" i="11"/>
  <c r="G87" i="11"/>
  <c r="K52" i="12"/>
  <c r="K31" i="12"/>
  <c r="H80" i="11"/>
  <c r="J100" i="11"/>
  <c r="J19" i="10"/>
  <c r="K24" i="17"/>
  <c r="H90" i="11"/>
  <c r="M91" i="11"/>
  <c r="N67" i="11" s="1"/>
  <c r="L25" i="14"/>
  <c r="K25" i="17"/>
  <c r="J11" i="10"/>
  <c r="I81" i="11"/>
  <c r="I93" i="11"/>
  <c r="L1" i="10"/>
  <c r="L3" i="17"/>
  <c r="L1" i="11"/>
  <c r="L1" i="9"/>
  <c r="L17" i="9" s="1"/>
  <c r="M1" i="17"/>
  <c r="M1" i="12"/>
  <c r="L1" i="13"/>
  <c r="N1" i="14"/>
  <c r="M82" i="11"/>
  <c r="I92" i="11"/>
  <c r="I88" i="11"/>
  <c r="I84" i="11"/>
  <c r="H65" i="11"/>
  <c r="G77" i="11"/>
  <c r="G86" i="11"/>
  <c r="H51" i="11"/>
  <c r="AB34" i="12"/>
  <c r="AF4" i="14"/>
  <c r="AF3" i="14"/>
  <c r="G54" i="11"/>
  <c r="F99" i="11"/>
  <c r="F96" i="11"/>
  <c r="H1" i="23"/>
  <c r="H53" i="23"/>
  <c r="H41" i="23"/>
  <c r="I2" i="23"/>
  <c r="H83" i="11"/>
  <c r="I22" i="23" l="1"/>
  <c r="I32" i="23"/>
  <c r="I6" i="23"/>
  <c r="P94" i="11"/>
  <c r="Q70" i="11" s="1"/>
  <c r="Q94" i="11" s="1"/>
  <c r="R70" i="11" s="1"/>
  <c r="R94" i="11" s="1"/>
  <c r="S70" i="11" s="1"/>
  <c r="S94" i="11" s="1"/>
  <c r="T70" i="11" s="1"/>
  <c r="T94" i="11" s="1"/>
  <c r="U70" i="11" s="1"/>
  <c r="U94" i="11" s="1"/>
  <c r="V70" i="11" s="1"/>
  <c r="V94" i="11" s="1"/>
  <c r="W70" i="11" s="1"/>
  <c r="H62" i="11"/>
  <c r="J64" i="11"/>
  <c r="J57" i="11"/>
  <c r="L31" i="12"/>
  <c r="L52" i="12"/>
  <c r="J68" i="11"/>
  <c r="I56" i="11"/>
  <c r="H63" i="11"/>
  <c r="I52" i="11"/>
  <c r="M25" i="14"/>
  <c r="I66" i="11"/>
  <c r="L24" i="17"/>
  <c r="K100" i="11"/>
  <c r="K19" i="10"/>
  <c r="K55" i="13"/>
  <c r="J55" i="11"/>
  <c r="N58" i="11"/>
  <c r="J69" i="11"/>
  <c r="J61" i="11"/>
  <c r="H53" i="11"/>
  <c r="J60" i="11"/>
  <c r="L2" i="13"/>
  <c r="N2" i="14"/>
  <c r="L2" i="10"/>
  <c r="L2" i="11"/>
  <c r="L2" i="9"/>
  <c r="M2" i="12"/>
  <c r="L25" i="17"/>
  <c r="K11" i="10"/>
  <c r="N91" i="11"/>
  <c r="O67" i="11" s="1"/>
  <c r="O91" i="11" s="1"/>
  <c r="P67" i="11" s="1"/>
  <c r="P91" i="11" s="1"/>
  <c r="Q67" i="11" s="1"/>
  <c r="Q91" i="11" s="1"/>
  <c r="R67" i="11" s="1"/>
  <c r="R91" i="11" s="1"/>
  <c r="S67" i="11" s="1"/>
  <c r="S91" i="11" s="1"/>
  <c r="T67" i="11" s="1"/>
  <c r="T91" i="11" s="1"/>
  <c r="U67" i="11" s="1"/>
  <c r="U91" i="11" s="1"/>
  <c r="V67" i="11" s="1"/>
  <c r="V91" i="11" s="1"/>
  <c r="W67" i="11" s="1"/>
  <c r="W91" i="11" s="1"/>
  <c r="X67" i="11" s="1"/>
  <c r="X91" i="11" s="1"/>
  <c r="Y67" i="11" s="1"/>
  <c r="Y91" i="11" s="1"/>
  <c r="Z67" i="11" s="1"/>
  <c r="Z91" i="11" s="1"/>
  <c r="AA67" i="11" s="1"/>
  <c r="AA91" i="11" s="1"/>
  <c r="AB67" i="11" s="1"/>
  <c r="AB91" i="11" s="1"/>
  <c r="AC67" i="11" s="1"/>
  <c r="AC91" i="11" s="1"/>
  <c r="AD67" i="11" s="1"/>
  <c r="AD91" i="11" s="1"/>
  <c r="AE67" i="11" s="1"/>
  <c r="AE91" i="11" s="1"/>
  <c r="AF67" i="11" s="1"/>
  <c r="H89" i="11"/>
  <c r="M1" i="11"/>
  <c r="M3" i="17"/>
  <c r="M1" i="13"/>
  <c r="N1" i="12"/>
  <c r="O1" i="14"/>
  <c r="N1" i="17"/>
  <c r="M1" i="9"/>
  <c r="M17" i="9" s="1"/>
  <c r="M1" i="10"/>
  <c r="H75" i="11"/>
  <c r="J71" i="11"/>
  <c r="AC34" i="12"/>
  <c r="AG4" i="14"/>
  <c r="AI26" i="14"/>
  <c r="AG3" i="14"/>
  <c r="F18" i="10"/>
  <c r="F20" i="10" s="1"/>
  <c r="F22" i="10" s="1"/>
  <c r="F10" i="9" s="1"/>
  <c r="F101" i="11"/>
  <c r="G72" i="11"/>
  <c r="G8" i="10" s="1"/>
  <c r="G7" i="9" s="1"/>
  <c r="G78" i="11"/>
  <c r="I1" i="23"/>
  <c r="J2" i="23"/>
  <c r="I53" i="23"/>
  <c r="I41" i="23"/>
  <c r="I59" i="11"/>
  <c r="J22" i="23" l="1"/>
  <c r="J6" i="23"/>
  <c r="J32" i="23"/>
  <c r="AG67" i="11"/>
  <c r="AF91" i="11"/>
  <c r="AG91" i="11" s="1"/>
  <c r="L19" i="10"/>
  <c r="M24" i="17"/>
  <c r="L100" i="11"/>
  <c r="M31" i="12"/>
  <c r="M52" i="12"/>
  <c r="J79" i="11"/>
  <c r="I51" i="11"/>
  <c r="N25" i="14"/>
  <c r="J81" i="11"/>
  <c r="L55" i="13"/>
  <c r="J85" i="11"/>
  <c r="N82" i="11"/>
  <c r="I80" i="11"/>
  <c r="I76" i="11"/>
  <c r="J88" i="11"/>
  <c r="J84" i="11"/>
  <c r="H86" i="11"/>
  <c r="M2" i="13"/>
  <c r="O2" i="14"/>
  <c r="M2" i="10"/>
  <c r="M2" i="11"/>
  <c r="N2" i="12"/>
  <c r="M2" i="9"/>
  <c r="I65" i="11"/>
  <c r="L11" i="10"/>
  <c r="M25" i="17"/>
  <c r="H77" i="11"/>
  <c r="I90" i="11"/>
  <c r="J92" i="11"/>
  <c r="N1" i="11"/>
  <c r="N3" i="17"/>
  <c r="N1" i="13"/>
  <c r="N1" i="9"/>
  <c r="N17" i="9" s="1"/>
  <c r="N1" i="10"/>
  <c r="O1" i="12"/>
  <c r="O1" i="17"/>
  <c r="P1" i="14"/>
  <c r="J95" i="11"/>
  <c r="W94" i="11"/>
  <c r="X70" i="11" s="1"/>
  <c r="X94" i="11" s="1"/>
  <c r="Y70" i="11" s="1"/>
  <c r="Y94" i="11" s="1"/>
  <c r="Z70" i="11" s="1"/>
  <c r="Z94" i="11" s="1"/>
  <c r="AA70" i="11" s="1"/>
  <c r="AA94" i="11" s="1"/>
  <c r="AB70" i="11" s="1"/>
  <c r="AB94" i="11" s="1"/>
  <c r="AC70" i="11" s="1"/>
  <c r="AC94" i="11" s="1"/>
  <c r="AD70" i="11" s="1"/>
  <c r="AD94" i="11" s="1"/>
  <c r="AE70" i="11" s="1"/>
  <c r="AE94" i="11" s="1"/>
  <c r="AF70" i="11" s="1"/>
  <c r="J93" i="11"/>
  <c r="H87" i="11"/>
  <c r="AD34" i="12"/>
  <c r="AH4" i="14"/>
  <c r="AH3" i="14"/>
  <c r="H54" i="11"/>
  <c r="G99" i="11"/>
  <c r="G96" i="11"/>
  <c r="G13" i="9"/>
  <c r="J1" i="23"/>
  <c r="J53" i="23"/>
  <c r="J41" i="23"/>
  <c r="I83" i="11"/>
  <c r="AI3" i="14" l="1"/>
  <c r="AH15" i="14"/>
  <c r="AG8" i="12" s="1"/>
  <c r="AG4" i="12" s="1"/>
  <c r="AJ4" i="14"/>
  <c r="AI4" i="14"/>
  <c r="N2" i="11"/>
  <c r="P2" i="14"/>
  <c r="N2" i="13"/>
  <c r="N2" i="10"/>
  <c r="O2" i="12"/>
  <c r="N2" i="9"/>
  <c r="J66" i="11"/>
  <c r="O25" i="14"/>
  <c r="AG70" i="11"/>
  <c r="AF94" i="11"/>
  <c r="AG94" i="11" s="1"/>
  <c r="N25" i="17"/>
  <c r="M11" i="10"/>
  <c r="J52" i="11"/>
  <c r="K71" i="11"/>
  <c r="M55" i="13"/>
  <c r="J56" i="11"/>
  <c r="O58" i="11"/>
  <c r="I75" i="11"/>
  <c r="J51" i="11" s="1"/>
  <c r="J75" i="11" s="1"/>
  <c r="K51" i="11" s="1"/>
  <c r="K57" i="11"/>
  <c r="K55" i="11"/>
  <c r="N24" i="17"/>
  <c r="M100" i="11"/>
  <c r="M19" i="10"/>
  <c r="O1" i="9"/>
  <c r="O17" i="9" s="1"/>
  <c r="O3" i="17"/>
  <c r="P1" i="12"/>
  <c r="O1" i="13"/>
  <c r="O1" i="10"/>
  <c r="P1" i="17"/>
  <c r="O1" i="11"/>
  <c r="Q1" i="14"/>
  <c r="I89" i="11"/>
  <c r="K68" i="11"/>
  <c r="K64" i="11"/>
  <c r="I63" i="11"/>
  <c r="N31" i="12"/>
  <c r="N52" i="12"/>
  <c r="K69" i="11"/>
  <c r="K60" i="11"/>
  <c r="I53" i="11"/>
  <c r="I62" i="11"/>
  <c r="K61" i="11"/>
  <c r="AE34" i="12"/>
  <c r="AH32" i="12"/>
  <c r="AI36" i="14"/>
  <c r="AJ3" i="14"/>
  <c r="G101" i="11"/>
  <c r="G18" i="10"/>
  <c r="G20" i="10" s="1"/>
  <c r="G22" i="10" s="1"/>
  <c r="H72" i="11"/>
  <c r="H8" i="10" s="1"/>
  <c r="H7" i="9" s="1"/>
  <c r="H78" i="11"/>
  <c r="J59" i="11"/>
  <c r="J90" i="11" l="1"/>
  <c r="J65" i="11"/>
  <c r="O82" i="11"/>
  <c r="P58" i="11" s="1"/>
  <c r="P82" i="11" s="1"/>
  <c r="Q58" i="11" s="1"/>
  <c r="J76" i="11"/>
  <c r="O31" i="12"/>
  <c r="O52" i="12"/>
  <c r="K85" i="11"/>
  <c r="I87" i="11"/>
  <c r="O25" i="17"/>
  <c r="N11" i="10"/>
  <c r="N55" i="13"/>
  <c r="Q2" i="14"/>
  <c r="O2" i="10"/>
  <c r="O2" i="13"/>
  <c r="O2" i="9"/>
  <c r="O2" i="11"/>
  <c r="P2" i="12"/>
  <c r="I86" i="11"/>
  <c r="K93" i="11"/>
  <c r="K81" i="11"/>
  <c r="K95" i="11"/>
  <c r="P25" i="14"/>
  <c r="K84" i="11"/>
  <c r="K79" i="11"/>
  <c r="I77" i="11"/>
  <c r="K88" i="11"/>
  <c r="K92" i="11"/>
  <c r="K75" i="11"/>
  <c r="L51" i="11" s="1"/>
  <c r="J80" i="11"/>
  <c r="R1" i="14"/>
  <c r="P3" i="17"/>
  <c r="P1" i="11"/>
  <c r="P1" i="9"/>
  <c r="P17" i="9" s="1"/>
  <c r="P1" i="13"/>
  <c r="Q1" i="17"/>
  <c r="P1" i="10"/>
  <c r="Q1" i="12"/>
  <c r="N100" i="11"/>
  <c r="N19" i="10"/>
  <c r="O24" i="17"/>
  <c r="AF34" i="12"/>
  <c r="AH5" i="12"/>
  <c r="AH33" i="12"/>
  <c r="I54" i="11"/>
  <c r="H99" i="11"/>
  <c r="H96" i="11"/>
  <c r="H13" i="9"/>
  <c r="G10" i="9"/>
  <c r="J83" i="11"/>
  <c r="R2" i="14" l="1"/>
  <c r="Q2" i="12"/>
  <c r="P2" i="10"/>
  <c r="P2" i="13"/>
  <c r="P2" i="9"/>
  <c r="P2" i="11"/>
  <c r="L68" i="11"/>
  <c r="K56" i="11"/>
  <c r="L71" i="11"/>
  <c r="Q25" i="14"/>
  <c r="L57" i="11"/>
  <c r="K52" i="11"/>
  <c r="K66" i="11"/>
  <c r="P52" i="12"/>
  <c r="P31" i="12"/>
  <c r="L75" i="11"/>
  <c r="M51" i="11" s="1"/>
  <c r="M75" i="11" s="1"/>
  <c r="N51" i="11" s="1"/>
  <c r="N75" i="11" s="1"/>
  <c r="O51" i="11" s="1"/>
  <c r="O75" i="11" s="1"/>
  <c r="P51" i="11" s="1"/>
  <c r="P75" i="11" s="1"/>
  <c r="Q51" i="11" s="1"/>
  <c r="Q75" i="11" s="1"/>
  <c r="R51" i="11" s="1"/>
  <c r="R75" i="11" s="1"/>
  <c r="S51" i="11" s="1"/>
  <c r="S75" i="11" s="1"/>
  <c r="T51" i="11" s="1"/>
  <c r="T75" i="11" s="1"/>
  <c r="U51" i="11" s="1"/>
  <c r="U75" i="11" s="1"/>
  <c r="V51" i="11" s="1"/>
  <c r="V75" i="11" s="1"/>
  <c r="W51" i="11" s="1"/>
  <c r="W75" i="11" s="1"/>
  <c r="X51" i="11" s="1"/>
  <c r="X75" i="11" s="1"/>
  <c r="Y51" i="11" s="1"/>
  <c r="Y75" i="11" s="1"/>
  <c r="Z51" i="11" s="1"/>
  <c r="Z75" i="11" s="1"/>
  <c r="AA51" i="11" s="1"/>
  <c r="AA75" i="11" s="1"/>
  <c r="AB51" i="11" s="1"/>
  <c r="AB75" i="11" s="1"/>
  <c r="AC51" i="11" s="1"/>
  <c r="AC75" i="11" s="1"/>
  <c r="AD51" i="11" s="1"/>
  <c r="AD75" i="11" s="1"/>
  <c r="AE51" i="11" s="1"/>
  <c r="AE75" i="11" s="1"/>
  <c r="AF51" i="11" s="1"/>
  <c r="J53" i="11"/>
  <c r="L69" i="11"/>
  <c r="J89" i="11"/>
  <c r="K65" i="11" s="1"/>
  <c r="K89" i="11" s="1"/>
  <c r="L65" i="11" s="1"/>
  <c r="L89" i="11" s="1"/>
  <c r="M65" i="11" s="1"/>
  <c r="M89" i="11" s="1"/>
  <c r="N65" i="11" s="1"/>
  <c r="N89" i="11" s="1"/>
  <c r="O65" i="11" s="1"/>
  <c r="O89" i="11" s="1"/>
  <c r="P65" i="11" s="1"/>
  <c r="P89" i="11" s="1"/>
  <c r="Q65" i="11" s="1"/>
  <c r="Q89" i="11" s="1"/>
  <c r="R65" i="11" s="1"/>
  <c r="R89" i="11" s="1"/>
  <c r="S65" i="11" s="1"/>
  <c r="S89" i="11" s="1"/>
  <c r="T65" i="11" s="1"/>
  <c r="T89" i="11" s="1"/>
  <c r="U65" i="11" s="1"/>
  <c r="U89" i="11" s="1"/>
  <c r="V65" i="11" s="1"/>
  <c r="V89" i="11" s="1"/>
  <c r="W65" i="11" s="1"/>
  <c r="W89" i="11" s="1"/>
  <c r="X65" i="11" s="1"/>
  <c r="X89" i="11" s="1"/>
  <c r="Y65" i="11" s="1"/>
  <c r="Y89" i="11" s="1"/>
  <c r="Z65" i="11" s="1"/>
  <c r="Z89" i="11" s="1"/>
  <c r="AA65" i="11" s="1"/>
  <c r="AA89" i="11" s="1"/>
  <c r="AB65" i="11" s="1"/>
  <c r="AB89" i="11" s="1"/>
  <c r="AC65" i="11" s="1"/>
  <c r="AC89" i="11" s="1"/>
  <c r="AD65" i="11" s="1"/>
  <c r="AD89" i="11" s="1"/>
  <c r="AE65" i="11" s="1"/>
  <c r="AE89" i="11" s="1"/>
  <c r="AF65" i="11" s="1"/>
  <c r="L64" i="11"/>
  <c r="L55" i="11"/>
  <c r="O55" i="13"/>
  <c r="L61" i="11"/>
  <c r="Q82" i="11"/>
  <c r="R58" i="11" s="1"/>
  <c r="R82" i="11" s="1"/>
  <c r="S58" i="11" s="1"/>
  <c r="S82" i="11" s="1"/>
  <c r="T58" i="11" s="1"/>
  <c r="T82" i="11" s="1"/>
  <c r="U58" i="11" s="1"/>
  <c r="U82" i="11" s="1"/>
  <c r="V58" i="11" s="1"/>
  <c r="V82" i="11" s="1"/>
  <c r="W58" i="11" s="1"/>
  <c r="W82" i="11" s="1"/>
  <c r="X58" i="11" s="1"/>
  <c r="X82" i="11" s="1"/>
  <c r="Y58" i="11" s="1"/>
  <c r="Y82" i="11" s="1"/>
  <c r="Z58" i="11" s="1"/>
  <c r="Z82" i="11" s="1"/>
  <c r="AA58" i="11" s="1"/>
  <c r="AA82" i="11" s="1"/>
  <c r="AB58" i="11" s="1"/>
  <c r="AB82" i="11" s="1"/>
  <c r="AC58" i="11" s="1"/>
  <c r="AC82" i="11" s="1"/>
  <c r="AD58" i="11" s="1"/>
  <c r="AD82" i="11" s="1"/>
  <c r="AE58" i="11" s="1"/>
  <c r="AE82" i="11" s="1"/>
  <c r="AF58" i="11" s="1"/>
  <c r="R1" i="17"/>
  <c r="Q3" i="17"/>
  <c r="R1" i="12"/>
  <c r="S1" i="14"/>
  <c r="Q1" i="10"/>
  <c r="Q1" i="9"/>
  <c r="Q17" i="9" s="1"/>
  <c r="Q1" i="11"/>
  <c r="Q1" i="13"/>
  <c r="O11" i="10"/>
  <c r="P25" i="17"/>
  <c r="O19" i="10"/>
  <c r="P24" i="17"/>
  <c r="O100" i="11"/>
  <c r="L60" i="11"/>
  <c r="J62" i="11"/>
  <c r="J63" i="11"/>
  <c r="AG34" i="12"/>
  <c r="AH6" i="12"/>
  <c r="H18" i="10"/>
  <c r="H20" i="10" s="1"/>
  <c r="H22" i="10" s="1"/>
  <c r="H101" i="11"/>
  <c r="I72" i="11"/>
  <c r="I8" i="10" s="1"/>
  <c r="I7" i="9" s="1"/>
  <c r="I13" i="9" s="1"/>
  <c r="I78" i="11"/>
  <c r="K59" i="11"/>
  <c r="AF82" i="11" l="1"/>
  <c r="AG82" i="11" s="1"/>
  <c r="AG58" i="11"/>
  <c r="AF89" i="11"/>
  <c r="AG89" i="11" s="1"/>
  <c r="AG65" i="11"/>
  <c r="AF75" i="11"/>
  <c r="AG75" i="11" s="1"/>
  <c r="AG51" i="11"/>
  <c r="L92" i="11"/>
  <c r="M68" i="11" s="1"/>
  <c r="M92" i="11" s="1"/>
  <c r="N68" i="11" s="1"/>
  <c r="N92" i="11" s="1"/>
  <c r="O68" i="11" s="1"/>
  <c r="O92" i="11" s="1"/>
  <c r="P68" i="11" s="1"/>
  <c r="P92" i="11" s="1"/>
  <c r="Q68" i="11" s="1"/>
  <c r="Q92" i="11" s="1"/>
  <c r="R68" i="11" s="1"/>
  <c r="R92" i="11" s="1"/>
  <c r="S68" i="11" s="1"/>
  <c r="S92" i="11" s="1"/>
  <c r="T68" i="11" s="1"/>
  <c r="T92" i="11" s="1"/>
  <c r="U68" i="11" s="1"/>
  <c r="U92" i="11" s="1"/>
  <c r="V68" i="11" s="1"/>
  <c r="V92" i="11" s="1"/>
  <c r="W68" i="11" s="1"/>
  <c r="W92" i="11" s="1"/>
  <c r="X68" i="11" s="1"/>
  <c r="X92" i="11" s="1"/>
  <c r="Y68" i="11" s="1"/>
  <c r="Y92" i="11" s="1"/>
  <c r="Z68" i="11" s="1"/>
  <c r="Z92" i="11" s="1"/>
  <c r="AA68" i="11" s="1"/>
  <c r="AA92" i="11" s="1"/>
  <c r="AB68" i="11" s="1"/>
  <c r="AB92" i="11" s="1"/>
  <c r="AC68" i="11" s="1"/>
  <c r="AC92" i="11" s="1"/>
  <c r="AD68" i="11" s="1"/>
  <c r="AD92" i="11" s="1"/>
  <c r="AE68" i="11" s="1"/>
  <c r="AE92" i="11" s="1"/>
  <c r="AF68" i="11" s="1"/>
  <c r="Q24" i="17"/>
  <c r="P19" i="10"/>
  <c r="P100" i="11"/>
  <c r="L79" i="11"/>
  <c r="M55" i="11" s="1"/>
  <c r="M79" i="11" s="1"/>
  <c r="N55" i="11" s="1"/>
  <c r="L81" i="11"/>
  <c r="M57" i="11" s="1"/>
  <c r="M81" i="11" s="1"/>
  <c r="N57" i="11" s="1"/>
  <c r="N81" i="11" s="1"/>
  <c r="O57" i="11" s="1"/>
  <c r="O81" i="11" s="1"/>
  <c r="P57" i="11" s="1"/>
  <c r="P81" i="11" s="1"/>
  <c r="Q57" i="11" s="1"/>
  <c r="Q81" i="11" s="1"/>
  <c r="R57" i="11" s="1"/>
  <c r="R81" i="11" s="1"/>
  <c r="S57" i="11" s="1"/>
  <c r="S81" i="11" s="1"/>
  <c r="T57" i="11" s="1"/>
  <c r="T81" i="11" s="1"/>
  <c r="U57" i="11" s="1"/>
  <c r="U81" i="11" s="1"/>
  <c r="V57" i="11" s="1"/>
  <c r="V81" i="11" s="1"/>
  <c r="W57" i="11" s="1"/>
  <c r="W81" i="11" s="1"/>
  <c r="X57" i="11" s="1"/>
  <c r="X81" i="11" s="1"/>
  <c r="Y57" i="11" s="1"/>
  <c r="Y81" i="11" s="1"/>
  <c r="Z57" i="11" s="1"/>
  <c r="Z81" i="11" s="1"/>
  <c r="AA57" i="11" s="1"/>
  <c r="AA81" i="11" s="1"/>
  <c r="AB57" i="11" s="1"/>
  <c r="AB81" i="11" s="1"/>
  <c r="AC57" i="11" s="1"/>
  <c r="AC81" i="11" s="1"/>
  <c r="AD57" i="11" s="1"/>
  <c r="AD81" i="11" s="1"/>
  <c r="AE57" i="11" s="1"/>
  <c r="AE81" i="11" s="1"/>
  <c r="AF57" i="11" s="1"/>
  <c r="L95" i="11"/>
  <c r="M71" i="11" s="1"/>
  <c r="M95" i="11" s="1"/>
  <c r="N71" i="11" s="1"/>
  <c r="N95" i="11" s="1"/>
  <c r="O71" i="11" s="1"/>
  <c r="O95" i="11" s="1"/>
  <c r="P71" i="11" s="1"/>
  <c r="P95" i="11" s="1"/>
  <c r="Q71" i="11" s="1"/>
  <c r="Q95" i="11" s="1"/>
  <c r="R71" i="11" s="1"/>
  <c r="R95" i="11" s="1"/>
  <c r="S71" i="11" s="1"/>
  <c r="S95" i="11" s="1"/>
  <c r="T71" i="11" s="1"/>
  <c r="T95" i="11" s="1"/>
  <c r="U71" i="11" s="1"/>
  <c r="U95" i="11" s="1"/>
  <c r="V71" i="11" s="1"/>
  <c r="V95" i="11" s="1"/>
  <c r="W71" i="11" s="1"/>
  <c r="W95" i="11" s="1"/>
  <c r="X71" i="11" s="1"/>
  <c r="X95" i="11" s="1"/>
  <c r="Y71" i="11" s="1"/>
  <c r="Y95" i="11" s="1"/>
  <c r="Z71" i="11" s="1"/>
  <c r="Z95" i="11" s="1"/>
  <c r="AA71" i="11" s="1"/>
  <c r="AA95" i="11" s="1"/>
  <c r="AB71" i="11" s="1"/>
  <c r="AB95" i="11" s="1"/>
  <c r="AC71" i="11" s="1"/>
  <c r="AC95" i="11" s="1"/>
  <c r="AD71" i="11" s="1"/>
  <c r="AD95" i="11" s="1"/>
  <c r="AE71" i="11" s="1"/>
  <c r="AE95" i="11" s="1"/>
  <c r="AF71" i="11" s="1"/>
  <c r="P55" i="13"/>
  <c r="K90" i="11"/>
  <c r="L66" i="11" s="1"/>
  <c r="L90" i="11" s="1"/>
  <c r="M66" i="11" s="1"/>
  <c r="M90" i="11" s="1"/>
  <c r="N66" i="11" s="1"/>
  <c r="N90" i="11" s="1"/>
  <c r="O66" i="11" s="1"/>
  <c r="O90" i="11" s="1"/>
  <c r="P66" i="11" s="1"/>
  <c r="P90" i="11" s="1"/>
  <c r="Q66" i="11" s="1"/>
  <c r="Q90" i="11" s="1"/>
  <c r="R66" i="11" s="1"/>
  <c r="R90" i="11" s="1"/>
  <c r="S66" i="11" s="1"/>
  <c r="S90" i="11" s="1"/>
  <c r="T66" i="11" s="1"/>
  <c r="T90" i="11" s="1"/>
  <c r="U66" i="11" s="1"/>
  <c r="U90" i="11" s="1"/>
  <c r="V66" i="11" s="1"/>
  <c r="V90" i="11" s="1"/>
  <c r="W66" i="11" s="1"/>
  <c r="W90" i="11" s="1"/>
  <c r="X66" i="11" s="1"/>
  <c r="X90" i="11" s="1"/>
  <c r="Y66" i="11" s="1"/>
  <c r="Y90" i="11" s="1"/>
  <c r="Z66" i="11" s="1"/>
  <c r="Z90" i="11" s="1"/>
  <c r="AA66" i="11" s="1"/>
  <c r="AA90" i="11" s="1"/>
  <c r="AB66" i="11" s="1"/>
  <c r="AB90" i="11" s="1"/>
  <c r="AC66" i="11" s="1"/>
  <c r="AC90" i="11" s="1"/>
  <c r="AD66" i="11" s="1"/>
  <c r="AD90" i="11" s="1"/>
  <c r="AE66" i="11" s="1"/>
  <c r="AE90" i="11" s="1"/>
  <c r="AF66" i="11" s="1"/>
  <c r="L84" i="11"/>
  <c r="M60" i="11" s="1"/>
  <c r="M84" i="11" s="1"/>
  <c r="N60" i="11" s="1"/>
  <c r="N84" i="11" s="1"/>
  <c r="O60" i="11" s="1"/>
  <c r="O84" i="11" s="1"/>
  <c r="P60" i="11" s="1"/>
  <c r="P84" i="11" s="1"/>
  <c r="Q60" i="11" s="1"/>
  <c r="Q84" i="11" s="1"/>
  <c r="R60" i="11" s="1"/>
  <c r="R84" i="11" s="1"/>
  <c r="S60" i="11" s="1"/>
  <c r="S84" i="11" s="1"/>
  <c r="T60" i="11" s="1"/>
  <c r="T84" i="11" s="1"/>
  <c r="U60" i="11" s="1"/>
  <c r="U84" i="11" s="1"/>
  <c r="V60" i="11" s="1"/>
  <c r="V84" i="11" s="1"/>
  <c r="W60" i="11" s="1"/>
  <c r="W84" i="11" s="1"/>
  <c r="X60" i="11" s="1"/>
  <c r="X84" i="11" s="1"/>
  <c r="Y60" i="11" s="1"/>
  <c r="Y84" i="11" s="1"/>
  <c r="Z60" i="11" s="1"/>
  <c r="Z84" i="11" s="1"/>
  <c r="AA60" i="11" s="1"/>
  <c r="AA84" i="11" s="1"/>
  <c r="AB60" i="11" s="1"/>
  <c r="AB84" i="11" s="1"/>
  <c r="AC60" i="11" s="1"/>
  <c r="AC84" i="11" s="1"/>
  <c r="AD60" i="11" s="1"/>
  <c r="AD84" i="11" s="1"/>
  <c r="AE60" i="11" s="1"/>
  <c r="AE84" i="11" s="1"/>
  <c r="AF60" i="11" s="1"/>
  <c r="P11" i="10"/>
  <c r="Q25" i="17"/>
  <c r="R2" i="12"/>
  <c r="S2" i="14"/>
  <c r="Q2" i="9"/>
  <c r="Q2" i="11"/>
  <c r="Q2" i="13"/>
  <c r="Q2" i="10"/>
  <c r="L85" i="11"/>
  <c r="M61" i="11" s="1"/>
  <c r="L88" i="11"/>
  <c r="M64" i="11" s="1"/>
  <c r="M88" i="11" s="1"/>
  <c r="N64" i="11" s="1"/>
  <c r="N88" i="11" s="1"/>
  <c r="O64" i="11" s="1"/>
  <c r="O88" i="11" s="1"/>
  <c r="P64" i="11" s="1"/>
  <c r="P88" i="11" s="1"/>
  <c r="Q64" i="11" s="1"/>
  <c r="Q88" i="11" s="1"/>
  <c r="R64" i="11" s="1"/>
  <c r="R88" i="11" s="1"/>
  <c r="S64" i="11" s="1"/>
  <c r="S88" i="11" s="1"/>
  <c r="T64" i="11" s="1"/>
  <c r="T88" i="11" s="1"/>
  <c r="U64" i="11" s="1"/>
  <c r="U88" i="11" s="1"/>
  <c r="V64" i="11" s="1"/>
  <c r="V88" i="11" s="1"/>
  <c r="W64" i="11" s="1"/>
  <c r="W88" i="11" s="1"/>
  <c r="X64" i="11" s="1"/>
  <c r="X88" i="11" s="1"/>
  <c r="Y64" i="11" s="1"/>
  <c r="Y88" i="11" s="1"/>
  <c r="Z64" i="11" s="1"/>
  <c r="Z88" i="11" s="1"/>
  <c r="AA64" i="11" s="1"/>
  <c r="AA88" i="11" s="1"/>
  <c r="AB64" i="11" s="1"/>
  <c r="AB88" i="11" s="1"/>
  <c r="AC64" i="11" s="1"/>
  <c r="AC88" i="11" s="1"/>
  <c r="AD64" i="11" s="1"/>
  <c r="AD88" i="11" s="1"/>
  <c r="AE64" i="11" s="1"/>
  <c r="AE88" i="11" s="1"/>
  <c r="AF64" i="11" s="1"/>
  <c r="K76" i="11"/>
  <c r="L52" i="11" s="1"/>
  <c r="L76" i="11" s="1"/>
  <c r="M52" i="11" s="1"/>
  <c r="M76" i="11" s="1"/>
  <c r="N52" i="11" s="1"/>
  <c r="N76" i="11" s="1"/>
  <c r="O52" i="11" s="1"/>
  <c r="O76" i="11" s="1"/>
  <c r="P52" i="11" s="1"/>
  <c r="P76" i="11" s="1"/>
  <c r="Q52" i="11" s="1"/>
  <c r="Q76" i="11" s="1"/>
  <c r="R52" i="11" s="1"/>
  <c r="R76" i="11" s="1"/>
  <c r="S52" i="11" s="1"/>
  <c r="S76" i="11" s="1"/>
  <c r="T52" i="11" s="1"/>
  <c r="T76" i="11" s="1"/>
  <c r="U52" i="11" s="1"/>
  <c r="U76" i="11" s="1"/>
  <c r="V52" i="11" s="1"/>
  <c r="V76" i="11" s="1"/>
  <c r="W52" i="11" s="1"/>
  <c r="W76" i="11" s="1"/>
  <c r="X52" i="11" s="1"/>
  <c r="X76" i="11" s="1"/>
  <c r="Y52" i="11" s="1"/>
  <c r="Y76" i="11" s="1"/>
  <c r="Z52" i="11" s="1"/>
  <c r="Z76" i="11" s="1"/>
  <c r="AA52" i="11" s="1"/>
  <c r="AA76" i="11" s="1"/>
  <c r="AB52" i="11" s="1"/>
  <c r="AB76" i="11" s="1"/>
  <c r="AC52" i="11" s="1"/>
  <c r="AC76" i="11" s="1"/>
  <c r="AD52" i="11" s="1"/>
  <c r="AD76" i="11" s="1"/>
  <c r="AE52" i="11" s="1"/>
  <c r="AE76" i="11" s="1"/>
  <c r="AF52" i="11" s="1"/>
  <c r="K80" i="11"/>
  <c r="L56" i="11" s="1"/>
  <c r="L80" i="11" s="1"/>
  <c r="M56" i="11" s="1"/>
  <c r="M80" i="11" s="1"/>
  <c r="N56" i="11" s="1"/>
  <c r="N80" i="11" s="1"/>
  <c r="O56" i="11" s="1"/>
  <c r="O80" i="11" s="1"/>
  <c r="P56" i="11" s="1"/>
  <c r="P80" i="11" s="1"/>
  <c r="Q56" i="11" s="1"/>
  <c r="Q80" i="11" s="1"/>
  <c r="R56" i="11" s="1"/>
  <c r="R80" i="11" s="1"/>
  <c r="S56" i="11" s="1"/>
  <c r="S80" i="11" s="1"/>
  <c r="T56" i="11" s="1"/>
  <c r="T80" i="11" s="1"/>
  <c r="U56" i="11" s="1"/>
  <c r="U80" i="11" s="1"/>
  <c r="V56" i="11" s="1"/>
  <c r="V80" i="11" s="1"/>
  <c r="W56" i="11" s="1"/>
  <c r="W80" i="11" s="1"/>
  <c r="X56" i="11" s="1"/>
  <c r="X80" i="11" s="1"/>
  <c r="Y56" i="11" s="1"/>
  <c r="Y80" i="11" s="1"/>
  <c r="Z56" i="11" s="1"/>
  <c r="Z80" i="11" s="1"/>
  <c r="AA56" i="11" s="1"/>
  <c r="AA80" i="11" s="1"/>
  <c r="AB56" i="11" s="1"/>
  <c r="AB80" i="11" s="1"/>
  <c r="AC56" i="11" s="1"/>
  <c r="AC80" i="11" s="1"/>
  <c r="AD56" i="11" s="1"/>
  <c r="AD80" i="11" s="1"/>
  <c r="AE56" i="11" s="1"/>
  <c r="AE80" i="11" s="1"/>
  <c r="AF56" i="11" s="1"/>
  <c r="Q31" i="12"/>
  <c r="Q52" i="12"/>
  <c r="J77" i="11"/>
  <c r="K53" i="11" s="1"/>
  <c r="K77" i="11" s="1"/>
  <c r="L53" i="11" s="1"/>
  <c r="L77" i="11" s="1"/>
  <c r="M53" i="11" s="1"/>
  <c r="M77" i="11" s="1"/>
  <c r="N53" i="11" s="1"/>
  <c r="N77" i="11" s="1"/>
  <c r="O53" i="11" s="1"/>
  <c r="O77" i="11" s="1"/>
  <c r="P53" i="11" s="1"/>
  <c r="P77" i="11" s="1"/>
  <c r="Q53" i="11" s="1"/>
  <c r="Q77" i="11" s="1"/>
  <c r="R53" i="11" s="1"/>
  <c r="R77" i="11" s="1"/>
  <c r="S53" i="11" s="1"/>
  <c r="S77" i="11" s="1"/>
  <c r="T53" i="11" s="1"/>
  <c r="T77" i="11" s="1"/>
  <c r="U53" i="11" s="1"/>
  <c r="U77" i="11" s="1"/>
  <c r="V53" i="11" s="1"/>
  <c r="V77" i="11" s="1"/>
  <c r="W53" i="11" s="1"/>
  <c r="W77" i="11" s="1"/>
  <c r="X53" i="11" s="1"/>
  <c r="X77" i="11" s="1"/>
  <c r="Y53" i="11" s="1"/>
  <c r="Y77" i="11" s="1"/>
  <c r="Z53" i="11" s="1"/>
  <c r="Z77" i="11" s="1"/>
  <c r="AA53" i="11" s="1"/>
  <c r="AA77" i="11" s="1"/>
  <c r="AB53" i="11" s="1"/>
  <c r="AB77" i="11" s="1"/>
  <c r="AC53" i="11" s="1"/>
  <c r="AC77" i="11" s="1"/>
  <c r="AD53" i="11" s="1"/>
  <c r="AD77" i="11" s="1"/>
  <c r="AE53" i="11" s="1"/>
  <c r="AE77" i="11" s="1"/>
  <c r="AF53" i="11" s="1"/>
  <c r="J87" i="11"/>
  <c r="K63" i="11" s="1"/>
  <c r="K87" i="11" s="1"/>
  <c r="L63" i="11" s="1"/>
  <c r="L87" i="11" s="1"/>
  <c r="M63" i="11" s="1"/>
  <c r="M87" i="11" s="1"/>
  <c r="N63" i="11" s="1"/>
  <c r="N87" i="11" s="1"/>
  <c r="O63" i="11" s="1"/>
  <c r="O87" i="11" s="1"/>
  <c r="P63" i="11" s="1"/>
  <c r="P87" i="11" s="1"/>
  <c r="Q63" i="11" s="1"/>
  <c r="Q87" i="11" s="1"/>
  <c r="R63" i="11" s="1"/>
  <c r="R87" i="11" s="1"/>
  <c r="S63" i="11" s="1"/>
  <c r="S87" i="11" s="1"/>
  <c r="T63" i="11" s="1"/>
  <c r="T87" i="11" s="1"/>
  <c r="U63" i="11" s="1"/>
  <c r="U87" i="11" s="1"/>
  <c r="V63" i="11" s="1"/>
  <c r="V87" i="11" s="1"/>
  <c r="W63" i="11" s="1"/>
  <c r="W87" i="11" s="1"/>
  <c r="X63" i="11" s="1"/>
  <c r="X87" i="11" s="1"/>
  <c r="Y63" i="11" s="1"/>
  <c r="Y87" i="11" s="1"/>
  <c r="Z63" i="11" s="1"/>
  <c r="Z87" i="11" s="1"/>
  <c r="AA63" i="11" s="1"/>
  <c r="AA87" i="11" s="1"/>
  <c r="AB63" i="11" s="1"/>
  <c r="AB87" i="11" s="1"/>
  <c r="AC63" i="11" s="1"/>
  <c r="AC87" i="11" s="1"/>
  <c r="AD63" i="11" s="1"/>
  <c r="AD87" i="11" s="1"/>
  <c r="AE63" i="11" s="1"/>
  <c r="AE87" i="11" s="1"/>
  <c r="AF63" i="11" s="1"/>
  <c r="J86" i="11"/>
  <c r="K62" i="11" s="1"/>
  <c r="K86" i="11" s="1"/>
  <c r="L62" i="11" s="1"/>
  <c r="L86" i="11" s="1"/>
  <c r="M62" i="11" s="1"/>
  <c r="M86" i="11" s="1"/>
  <c r="N62" i="11" s="1"/>
  <c r="N86" i="11" s="1"/>
  <c r="O62" i="11" s="1"/>
  <c r="O86" i="11" s="1"/>
  <c r="P62" i="11" s="1"/>
  <c r="P86" i="11" s="1"/>
  <c r="Q62" i="11" s="1"/>
  <c r="Q86" i="11" s="1"/>
  <c r="R62" i="11" s="1"/>
  <c r="R86" i="11" s="1"/>
  <c r="S62" i="11" s="1"/>
  <c r="S86" i="11" s="1"/>
  <c r="T62" i="11" s="1"/>
  <c r="T86" i="11" s="1"/>
  <c r="U62" i="11" s="1"/>
  <c r="U86" i="11" s="1"/>
  <c r="V62" i="11" s="1"/>
  <c r="V86" i="11" s="1"/>
  <c r="W62" i="11" s="1"/>
  <c r="W86" i="11" s="1"/>
  <c r="X62" i="11" s="1"/>
  <c r="X86" i="11" s="1"/>
  <c r="Y62" i="11" s="1"/>
  <c r="Y86" i="11" s="1"/>
  <c r="Z62" i="11" s="1"/>
  <c r="Z86" i="11" s="1"/>
  <c r="AA62" i="11" s="1"/>
  <c r="AA86" i="11" s="1"/>
  <c r="AB62" i="11" s="1"/>
  <c r="AB86" i="11" s="1"/>
  <c r="AC62" i="11" s="1"/>
  <c r="AC86" i="11" s="1"/>
  <c r="AD62" i="11" s="1"/>
  <c r="AD86" i="11" s="1"/>
  <c r="AE62" i="11" s="1"/>
  <c r="AE86" i="11" s="1"/>
  <c r="AF62" i="11" s="1"/>
  <c r="R1" i="13"/>
  <c r="T1" i="14"/>
  <c r="R1" i="9"/>
  <c r="R17" i="9" s="1"/>
  <c r="R1" i="11"/>
  <c r="R3" i="17"/>
  <c r="R1" i="10"/>
  <c r="S1" i="17"/>
  <c r="L93" i="11"/>
  <c r="M69" i="11" s="1"/>
  <c r="M93" i="11" s="1"/>
  <c r="N69" i="11" s="1"/>
  <c r="N93" i="11" s="1"/>
  <c r="O69" i="11" s="1"/>
  <c r="O93" i="11" s="1"/>
  <c r="P69" i="11" s="1"/>
  <c r="P93" i="11" s="1"/>
  <c r="Q69" i="11" s="1"/>
  <c r="Q93" i="11" s="1"/>
  <c r="R69" i="11" s="1"/>
  <c r="R93" i="11" s="1"/>
  <c r="S69" i="11" s="1"/>
  <c r="S93" i="11" s="1"/>
  <c r="T69" i="11" s="1"/>
  <c r="T93" i="11" s="1"/>
  <c r="U69" i="11" s="1"/>
  <c r="U93" i="11" s="1"/>
  <c r="V69" i="11" s="1"/>
  <c r="V93" i="11" s="1"/>
  <c r="W69" i="11" s="1"/>
  <c r="W93" i="11" s="1"/>
  <c r="X69" i="11" s="1"/>
  <c r="X93" i="11" s="1"/>
  <c r="Y69" i="11" s="1"/>
  <c r="Y93" i="11" s="1"/>
  <c r="Z69" i="11" s="1"/>
  <c r="Z93" i="11" s="1"/>
  <c r="AA69" i="11" s="1"/>
  <c r="AA93" i="11" s="1"/>
  <c r="AB69" i="11" s="1"/>
  <c r="AB93" i="11" s="1"/>
  <c r="AC69" i="11" s="1"/>
  <c r="AC93" i="11" s="1"/>
  <c r="AD69" i="11" s="1"/>
  <c r="AD93" i="11" s="1"/>
  <c r="AE69" i="11" s="1"/>
  <c r="AE93" i="11" s="1"/>
  <c r="AF69" i="11" s="1"/>
  <c r="R25" i="14"/>
  <c r="AH34" i="12"/>
  <c r="J54" i="11"/>
  <c r="I99" i="11"/>
  <c r="I96" i="11"/>
  <c r="H10" i="9"/>
  <c r="K83" i="11"/>
  <c r="N79" i="11" l="1"/>
  <c r="O55" i="11" s="1"/>
  <c r="O79" i="11" s="1"/>
  <c r="P55" i="11" s="1"/>
  <c r="P79" i="11" s="1"/>
  <c r="Q55" i="11" s="1"/>
  <c r="Q79" i="11" s="1"/>
  <c r="R55" i="11" s="1"/>
  <c r="R79" i="11" s="1"/>
  <c r="S55" i="11" s="1"/>
  <c r="S79" i="11" s="1"/>
  <c r="T55" i="11" s="1"/>
  <c r="T79" i="11" s="1"/>
  <c r="U55" i="11" s="1"/>
  <c r="U79" i="11" s="1"/>
  <c r="V55" i="11" s="1"/>
  <c r="V79" i="11" s="1"/>
  <c r="W55" i="11" s="1"/>
  <c r="W79" i="11" s="1"/>
  <c r="X55" i="11" s="1"/>
  <c r="X79" i="11" s="1"/>
  <c r="Y55" i="11" s="1"/>
  <c r="Y79" i="11" s="1"/>
  <c r="Z55" i="11" s="1"/>
  <c r="Z79" i="11" s="1"/>
  <c r="AA55" i="11" s="1"/>
  <c r="AA79" i="11" s="1"/>
  <c r="AB55" i="11" s="1"/>
  <c r="AB79" i="11" s="1"/>
  <c r="AC55" i="11" s="1"/>
  <c r="AC79" i="11" s="1"/>
  <c r="AD55" i="11" s="1"/>
  <c r="AD79" i="11" s="1"/>
  <c r="AE55" i="11" s="1"/>
  <c r="AE79" i="11" s="1"/>
  <c r="AF55" i="11" s="1"/>
  <c r="M85" i="11"/>
  <c r="N61" i="11" s="1"/>
  <c r="N85" i="11" s="1"/>
  <c r="O61" i="11" s="1"/>
  <c r="AG62" i="11"/>
  <c r="AF86" i="11"/>
  <c r="AG86" i="11" s="1"/>
  <c r="AF88" i="11"/>
  <c r="AG88" i="11" s="1"/>
  <c r="AG64" i="11"/>
  <c r="AF95" i="11"/>
  <c r="AG95" i="11" s="1"/>
  <c r="AG71" i="11"/>
  <c r="AG69" i="11"/>
  <c r="AF93" i="11"/>
  <c r="AG93" i="11" s="1"/>
  <c r="AF77" i="11"/>
  <c r="AG77" i="11" s="1"/>
  <c r="AG53" i="11"/>
  <c r="AG60" i="11"/>
  <c r="AF84" i="11"/>
  <c r="AG84" i="11" s="1"/>
  <c r="AF81" i="11"/>
  <c r="AG81" i="11" s="1"/>
  <c r="AG57" i="11"/>
  <c r="AG56" i="11"/>
  <c r="AF80" i="11"/>
  <c r="AG80" i="11" s="1"/>
  <c r="AG66" i="11"/>
  <c r="AF90" i="11"/>
  <c r="AG90" i="11" s="1"/>
  <c r="AF87" i="11"/>
  <c r="AG87" i="11" s="1"/>
  <c r="AG63" i="11"/>
  <c r="AF92" i="11"/>
  <c r="AG92" i="11" s="1"/>
  <c r="AG68" i="11"/>
  <c r="AG52" i="11"/>
  <c r="AF76" i="11"/>
  <c r="AG76" i="11" s="1"/>
  <c r="S25" i="14"/>
  <c r="R25" i="17"/>
  <c r="Q11" i="10"/>
  <c r="S3" i="17"/>
  <c r="T1" i="17"/>
  <c r="S1" i="13"/>
  <c r="S1" i="11"/>
  <c r="U1" i="14"/>
  <c r="T1" i="12"/>
  <c r="S1" i="9"/>
  <c r="S17" i="9" s="1"/>
  <c r="S1" i="10"/>
  <c r="R24" i="17"/>
  <c r="Q19" i="10"/>
  <c r="Q100" i="11"/>
  <c r="R52" i="12"/>
  <c r="R31" i="12"/>
  <c r="Q55" i="13"/>
  <c r="T2" i="14"/>
  <c r="S2" i="12"/>
  <c r="R2" i="10"/>
  <c r="R2" i="9"/>
  <c r="R2" i="11"/>
  <c r="R2" i="13"/>
  <c r="I101" i="11"/>
  <c r="I18" i="10"/>
  <c r="I20" i="10" s="1"/>
  <c r="I22" i="10" s="1"/>
  <c r="J72" i="11"/>
  <c r="J8" i="10" s="1"/>
  <c r="J7" i="9" s="1"/>
  <c r="J13" i="9" s="1"/>
  <c r="J78" i="11"/>
  <c r="L59" i="11"/>
  <c r="AF79" i="11" l="1"/>
  <c r="AG79" i="11" s="1"/>
  <c r="AG55" i="11"/>
  <c r="O85" i="11"/>
  <c r="P61" i="11" s="1"/>
  <c r="S24" i="17"/>
  <c r="R19" i="10"/>
  <c r="R100" i="11"/>
  <c r="U2" i="14"/>
  <c r="S2" i="9"/>
  <c r="S2" i="13"/>
  <c r="T2" i="12"/>
  <c r="S2" i="10"/>
  <c r="S2" i="11"/>
  <c r="T25" i="14"/>
  <c r="T1" i="9"/>
  <c r="T17" i="9" s="1"/>
  <c r="T3" i="17"/>
  <c r="V1" i="14"/>
  <c r="T1" i="10"/>
  <c r="T1" i="13"/>
  <c r="U1" i="12"/>
  <c r="T1" i="11"/>
  <c r="U1" i="17"/>
  <c r="S52" i="12"/>
  <c r="S31" i="12"/>
  <c r="R55" i="13"/>
  <c r="S25" i="17"/>
  <c r="R11" i="10"/>
  <c r="I10" i="9"/>
  <c r="K54" i="11"/>
  <c r="J99" i="11"/>
  <c r="J96" i="11"/>
  <c r="L83" i="11"/>
  <c r="P85" i="11" l="1"/>
  <c r="Q61" i="11" s="1"/>
  <c r="Q85" i="11" s="1"/>
  <c r="R61" i="11" s="1"/>
  <c r="R85" i="11" s="1"/>
  <c r="S61" i="11" s="1"/>
  <c r="S85" i="11" s="1"/>
  <c r="T61" i="11" s="1"/>
  <c r="T85" i="11" s="1"/>
  <c r="U61" i="11" s="1"/>
  <c r="U85" i="11" s="1"/>
  <c r="V61" i="11" s="1"/>
  <c r="V85" i="11" s="1"/>
  <c r="W61" i="11" s="1"/>
  <c r="W85" i="11" s="1"/>
  <c r="X61" i="11" s="1"/>
  <c r="X85" i="11" s="1"/>
  <c r="Y61" i="11" s="1"/>
  <c r="Y85" i="11" s="1"/>
  <c r="Z61" i="11" s="1"/>
  <c r="Z85" i="11" s="1"/>
  <c r="AA61" i="11" s="1"/>
  <c r="AA85" i="11" s="1"/>
  <c r="AB61" i="11" s="1"/>
  <c r="AB85" i="11" s="1"/>
  <c r="AC61" i="11" s="1"/>
  <c r="AC85" i="11" s="1"/>
  <c r="AD61" i="11" s="1"/>
  <c r="AD85" i="11" s="1"/>
  <c r="AE61" i="11" s="1"/>
  <c r="AE85" i="11" s="1"/>
  <c r="AF61" i="11" s="1"/>
  <c r="V2" i="14"/>
  <c r="T2" i="9"/>
  <c r="T2" i="10"/>
  <c r="U2" i="12"/>
  <c r="T2" i="11"/>
  <c r="T2" i="13"/>
  <c r="T55" i="13" s="1"/>
  <c r="U25" i="14"/>
  <c r="S19" i="10"/>
  <c r="T24" i="17"/>
  <c r="S100" i="11"/>
  <c r="U1" i="9"/>
  <c r="U17" i="9" s="1"/>
  <c r="U3" i="17"/>
  <c r="W1" i="14"/>
  <c r="U1" i="13"/>
  <c r="U1" i="10"/>
  <c r="V1" i="17"/>
  <c r="V1" i="12"/>
  <c r="U1" i="11"/>
  <c r="S55" i="13"/>
  <c r="T25" i="17"/>
  <c r="S11" i="10"/>
  <c r="T31" i="12"/>
  <c r="T52" i="12"/>
  <c r="J18" i="10"/>
  <c r="J20" i="10" s="1"/>
  <c r="J22" i="10" s="1"/>
  <c r="J101" i="11"/>
  <c r="K72" i="11"/>
  <c r="K8" i="10" s="1"/>
  <c r="K7" i="9" s="1"/>
  <c r="K13" i="9" s="1"/>
  <c r="K78" i="11"/>
  <c r="M59" i="11"/>
  <c r="AF85" i="11" l="1"/>
  <c r="AG85" i="11" s="1"/>
  <c r="AG61" i="11"/>
  <c r="U25" i="17"/>
  <c r="T11" i="10"/>
  <c r="U2" i="9"/>
  <c r="W2" i="14"/>
  <c r="U2" i="10"/>
  <c r="U2" i="13"/>
  <c r="U2" i="11"/>
  <c r="V2" i="12"/>
  <c r="V25" i="14"/>
  <c r="V3" i="17"/>
  <c r="X1" i="14"/>
  <c r="V1" i="10"/>
  <c r="V1" i="9"/>
  <c r="V17" i="9" s="1"/>
  <c r="W1" i="17"/>
  <c r="V1" i="11"/>
  <c r="V1" i="13"/>
  <c r="W1" i="12"/>
  <c r="U24" i="17"/>
  <c r="T100" i="11"/>
  <c r="T19" i="10"/>
  <c r="U31" i="12"/>
  <c r="U52" i="12"/>
  <c r="L54" i="11"/>
  <c r="K99" i="11"/>
  <c r="K96" i="11"/>
  <c r="J10" i="9"/>
  <c r="M83" i="11"/>
  <c r="U55" i="13" l="1"/>
  <c r="V25" i="17"/>
  <c r="U11" i="10"/>
  <c r="X1" i="17"/>
  <c r="W3" i="17"/>
  <c r="Y1" i="14"/>
  <c r="X1" i="12"/>
  <c r="W1" i="9"/>
  <c r="W17" i="9" s="1"/>
  <c r="W1" i="10"/>
  <c r="W1" i="11"/>
  <c r="W1" i="13"/>
  <c r="V31" i="12"/>
  <c r="V52" i="12"/>
  <c r="U100" i="11"/>
  <c r="V24" i="17"/>
  <c r="U19" i="10"/>
  <c r="X2" i="14"/>
  <c r="V2" i="9"/>
  <c r="V2" i="11"/>
  <c r="W2" i="12"/>
  <c r="V2" i="13"/>
  <c r="V55" i="13" s="1"/>
  <c r="V2" i="10"/>
  <c r="W25" i="14"/>
  <c r="K101" i="11"/>
  <c r="K18" i="10"/>
  <c r="K20" i="10" s="1"/>
  <c r="K22" i="10" s="1"/>
  <c r="L72" i="11"/>
  <c r="L8" i="10" s="1"/>
  <c r="L7" i="9" s="1"/>
  <c r="L78" i="11"/>
  <c r="N59" i="11"/>
  <c r="W52" i="12" l="1"/>
  <c r="W31" i="12"/>
  <c r="V11" i="10"/>
  <c r="W25" i="17"/>
  <c r="X25" i="14"/>
  <c r="W2" i="9"/>
  <c r="Y2" i="14"/>
  <c r="X2" i="12"/>
  <c r="W2" i="13"/>
  <c r="W55" i="13" s="1"/>
  <c r="W2" i="10"/>
  <c r="W2" i="11"/>
  <c r="W24" i="17"/>
  <c r="V19" i="10"/>
  <c r="V100" i="11"/>
  <c r="Z1" i="14"/>
  <c r="X3" i="17"/>
  <c r="Y1" i="17"/>
  <c r="X1" i="9"/>
  <c r="X17" i="9" s="1"/>
  <c r="X1" i="11"/>
  <c r="X1" i="10"/>
  <c r="Y1" i="12"/>
  <c r="X1" i="13"/>
  <c r="K10" i="9"/>
  <c r="M54" i="11"/>
  <c r="L99" i="11"/>
  <c r="L96" i="11"/>
  <c r="L13" i="9"/>
  <c r="N83" i="11"/>
  <c r="AA1" i="14" l="1"/>
  <c r="Y3" i="17"/>
  <c r="Y1" i="11"/>
  <c r="Y1" i="13"/>
  <c r="Y1" i="10"/>
  <c r="Z1" i="17"/>
  <c r="Y1" i="9"/>
  <c r="Y17" i="9" s="1"/>
  <c r="Z1" i="12"/>
  <c r="X52" i="12"/>
  <c r="X31" i="12"/>
  <c r="W100" i="11"/>
  <c r="X24" i="17"/>
  <c r="W19" i="10"/>
  <c r="Y25" i="14"/>
  <c r="X2" i="9"/>
  <c r="Z2" i="14"/>
  <c r="Y2" i="12"/>
  <c r="X2" i="10"/>
  <c r="X2" i="11"/>
  <c r="X2" i="13"/>
  <c r="X55" i="13" s="1"/>
  <c r="W11" i="10"/>
  <c r="X25" i="17"/>
  <c r="L101" i="11"/>
  <c r="L18" i="10"/>
  <c r="L20" i="10" s="1"/>
  <c r="L22" i="10" s="1"/>
  <c r="M78" i="11"/>
  <c r="M72" i="11"/>
  <c r="M8" i="10" s="1"/>
  <c r="M7" i="9" s="1"/>
  <c r="M13" i="9" s="1"/>
  <c r="O59" i="11"/>
  <c r="Y2" i="10" l="1"/>
  <c r="AA2" i="14"/>
  <c r="Y2" i="13"/>
  <c r="Y55" i="13" s="1"/>
  <c r="Y2" i="11"/>
  <c r="Y2" i="9"/>
  <c r="Z2" i="12"/>
  <c r="Z1" i="13"/>
  <c r="AB1" i="14"/>
  <c r="AA1" i="17"/>
  <c r="Z3" i="17"/>
  <c r="Z1" i="9"/>
  <c r="Z17" i="9" s="1"/>
  <c r="AA1" i="12"/>
  <c r="Z1" i="10"/>
  <c r="Z1" i="11"/>
  <c r="Z25" i="14"/>
  <c r="X19" i="10"/>
  <c r="Y24" i="17"/>
  <c r="X100" i="11"/>
  <c r="Y25" i="17"/>
  <c r="X11" i="10"/>
  <c r="Y52" i="12"/>
  <c r="Y31" i="12"/>
  <c r="N54" i="11"/>
  <c r="M99" i="11"/>
  <c r="M96" i="11"/>
  <c r="L10" i="9"/>
  <c r="O83" i="11"/>
  <c r="Y19" i="10" l="1"/>
  <c r="Z24" i="17"/>
  <c r="Y100" i="11"/>
  <c r="Z2" i="11"/>
  <c r="AB2" i="14"/>
  <c r="Z2" i="9"/>
  <c r="AA2" i="12"/>
  <c r="Z2" i="10"/>
  <c r="Z2" i="13"/>
  <c r="Z55" i="13" s="1"/>
  <c r="AA25" i="14"/>
  <c r="Y11" i="10"/>
  <c r="Z25" i="17"/>
  <c r="Z52" i="12"/>
  <c r="Z31" i="12"/>
  <c r="AA3" i="17"/>
  <c r="AC1" i="14"/>
  <c r="AA1" i="9"/>
  <c r="AA17" i="9" s="1"/>
  <c r="AA1" i="11"/>
  <c r="AA1" i="13"/>
  <c r="AB1" i="17"/>
  <c r="AB1" i="12"/>
  <c r="AA1" i="10"/>
  <c r="M101" i="11"/>
  <c r="M18" i="10"/>
  <c r="M20" i="10" s="1"/>
  <c r="M22" i="10" s="1"/>
  <c r="N78" i="11"/>
  <c r="N72" i="11"/>
  <c r="N8" i="10" s="1"/>
  <c r="N7" i="9" s="1"/>
  <c r="N13" i="9" s="1"/>
  <c r="P59" i="11"/>
  <c r="AA31" i="12" l="1"/>
  <c r="AA52" i="12"/>
  <c r="AB3" i="17"/>
  <c r="AD1" i="14"/>
  <c r="AB1" i="11"/>
  <c r="AB1" i="10"/>
  <c r="AC1" i="17"/>
  <c r="AB1" i="9"/>
  <c r="AB17" i="9" s="1"/>
  <c r="AC1" i="12"/>
  <c r="AB1" i="13"/>
  <c r="AA24" i="17"/>
  <c r="Z19" i="10"/>
  <c r="Z100" i="11"/>
  <c r="AB25" i="14"/>
  <c r="AC2" i="14"/>
  <c r="AB2" i="12"/>
  <c r="AA2" i="13"/>
  <c r="AA55" i="13" s="1"/>
  <c r="AA2" i="11"/>
  <c r="AA2" i="9"/>
  <c r="AA2" i="10"/>
  <c r="AA25" i="17"/>
  <c r="Z11" i="10"/>
  <c r="N99" i="11"/>
  <c r="O54" i="11"/>
  <c r="N96" i="11"/>
  <c r="M10" i="9"/>
  <c r="P83" i="11"/>
  <c r="AD2" i="14" l="1"/>
  <c r="AD25" i="14" s="1"/>
  <c r="AC2" i="12"/>
  <c r="AB2" i="13"/>
  <c r="AB55" i="13" s="1"/>
  <c r="AB2" i="9"/>
  <c r="AB2" i="10"/>
  <c r="AB2" i="11"/>
  <c r="AC3" i="17"/>
  <c r="AE1" i="14"/>
  <c r="AC1" i="13"/>
  <c r="AD1" i="12"/>
  <c r="AC1" i="10"/>
  <c r="AC1" i="11"/>
  <c r="AC1" i="9"/>
  <c r="AC17" i="9" s="1"/>
  <c r="AD1" i="17"/>
  <c r="AB52" i="12"/>
  <c r="AB31" i="12"/>
  <c r="AA19" i="10"/>
  <c r="AA100" i="11"/>
  <c r="AB24" i="17"/>
  <c r="AC25" i="14"/>
  <c r="AB25" i="17"/>
  <c r="AA11" i="10"/>
  <c r="O78" i="11"/>
  <c r="O72" i="11"/>
  <c r="O8" i="10" s="1"/>
  <c r="O7" i="9" s="1"/>
  <c r="N18" i="10"/>
  <c r="N20" i="10" s="1"/>
  <c r="N22" i="10" s="1"/>
  <c r="N101" i="11"/>
  <c r="Q59" i="11"/>
  <c r="AC25" i="17" l="1"/>
  <c r="AB11" i="10"/>
  <c r="AC52" i="12"/>
  <c r="AC31" i="12"/>
  <c r="AE2" i="14"/>
  <c r="AE25" i="14" s="1"/>
  <c r="AC2" i="9"/>
  <c r="AC2" i="11"/>
  <c r="AD2" i="12"/>
  <c r="AC2" i="13"/>
  <c r="AC55" i="13" s="1"/>
  <c r="AC2" i="10"/>
  <c r="AD3" i="17"/>
  <c r="AF1" i="14"/>
  <c r="AE1" i="17"/>
  <c r="AD1" i="11"/>
  <c r="AD1" i="10"/>
  <c r="AE1" i="12"/>
  <c r="AD1" i="13"/>
  <c r="AD1" i="9"/>
  <c r="AD17" i="9" s="1"/>
  <c r="AB100" i="11"/>
  <c r="AB19" i="10"/>
  <c r="AC24" i="17"/>
  <c r="N10" i="9"/>
  <c r="O99" i="11"/>
  <c r="P54" i="11"/>
  <c r="O96" i="11"/>
  <c r="O13" i="9"/>
  <c r="Q83" i="11"/>
  <c r="AD24" i="17" l="1"/>
  <c r="AC100" i="11"/>
  <c r="AC19" i="10"/>
  <c r="AE3" i="17"/>
  <c r="AG1" i="14"/>
  <c r="AF1" i="12"/>
  <c r="AE1" i="9"/>
  <c r="AE17" i="9" s="1"/>
  <c r="AE1" i="10"/>
  <c r="AE1" i="11"/>
  <c r="AF1" i="17"/>
  <c r="AE1" i="13"/>
  <c r="AF2" i="14"/>
  <c r="AF25" i="14" s="1"/>
  <c r="AD2" i="13"/>
  <c r="AD55" i="13" s="1"/>
  <c r="AD2" i="9"/>
  <c r="AD2" i="11"/>
  <c r="AD2" i="10"/>
  <c r="AE2" i="12"/>
  <c r="AD52" i="12"/>
  <c r="AD31" i="12"/>
  <c r="AD25" i="17"/>
  <c r="AC11" i="10"/>
  <c r="P78" i="11"/>
  <c r="P72" i="11"/>
  <c r="P8" i="10" s="1"/>
  <c r="P7" i="9" s="1"/>
  <c r="O18" i="10"/>
  <c r="O20" i="10" s="1"/>
  <c r="O22" i="10" s="1"/>
  <c r="O101" i="11"/>
  <c r="R59" i="11"/>
  <c r="AE25" i="17" l="1"/>
  <c r="AD11" i="10"/>
  <c r="AH1" i="14"/>
  <c r="AF3" i="17"/>
  <c r="AG1" i="12"/>
  <c r="AF1" i="9"/>
  <c r="AF17" i="9" s="1"/>
  <c r="AF1" i="10"/>
  <c r="AF1" i="13"/>
  <c r="AF1" i="11"/>
  <c r="AG2" i="14"/>
  <c r="AG25" i="14" s="1"/>
  <c r="AE2" i="9"/>
  <c r="AE2" i="13"/>
  <c r="AE55" i="13" s="1"/>
  <c r="AF2" i="12"/>
  <c r="AE2" i="10"/>
  <c r="AE2" i="11"/>
  <c r="AE31" i="12"/>
  <c r="AE52" i="12"/>
  <c r="AD100" i="11"/>
  <c r="AD19" i="10"/>
  <c r="AE24" i="17"/>
  <c r="O10" i="9"/>
  <c r="P13" i="9"/>
  <c r="Q54" i="11"/>
  <c r="P99" i="11"/>
  <c r="P96" i="11"/>
  <c r="R83" i="11"/>
  <c r="AH2" i="14" l="1"/>
  <c r="AF2" i="9"/>
  <c r="AF2" i="11"/>
  <c r="AF2" i="13"/>
  <c r="AF2" i="10"/>
  <c r="AG2" i="12"/>
  <c r="D33" i="23" s="1"/>
  <c r="AF52" i="12"/>
  <c r="AF31" i="12"/>
  <c r="AF24" i="17"/>
  <c r="AE19" i="10"/>
  <c r="AE100" i="11"/>
  <c r="AE11" i="10"/>
  <c r="AF25" i="17"/>
  <c r="AF11" i="10" s="1"/>
  <c r="P101" i="11"/>
  <c r="P18" i="10"/>
  <c r="P20" i="10" s="1"/>
  <c r="P22" i="10" s="1"/>
  <c r="Q78" i="11"/>
  <c r="Q72" i="11"/>
  <c r="Q8" i="10" s="1"/>
  <c r="Q7" i="9" s="1"/>
  <c r="Q13" i="9" s="1"/>
  <c r="S59" i="11"/>
  <c r="D14" i="23" l="1"/>
  <c r="E13" i="23"/>
  <c r="E10" i="23"/>
  <c r="D10" i="23"/>
  <c r="D13" i="23"/>
  <c r="E16" i="23"/>
  <c r="F13" i="23"/>
  <c r="E14" i="23"/>
  <c r="D12" i="23"/>
  <c r="D16" i="23"/>
  <c r="D15" i="23"/>
  <c r="E12" i="23"/>
  <c r="G15" i="23"/>
  <c r="F12" i="23"/>
  <c r="F10" i="23"/>
  <c r="E11" i="23"/>
  <c r="E15" i="23"/>
  <c r="D11" i="23"/>
  <c r="F11" i="23"/>
  <c r="I12" i="23"/>
  <c r="F15" i="23"/>
  <c r="I10" i="23"/>
  <c r="G13" i="23"/>
  <c r="I14" i="23"/>
  <c r="F14" i="23"/>
  <c r="G10" i="23"/>
  <c r="H12" i="23"/>
  <c r="H15" i="23"/>
  <c r="G12" i="23"/>
  <c r="G11" i="23"/>
  <c r="F16" i="23"/>
  <c r="G16" i="23"/>
  <c r="H11" i="23"/>
  <c r="I16" i="23"/>
  <c r="H16" i="23"/>
  <c r="I11" i="23"/>
  <c r="J14" i="23"/>
  <c r="H14" i="23"/>
  <c r="H13" i="23"/>
  <c r="J11" i="23"/>
  <c r="I15" i="23"/>
  <c r="G14" i="23"/>
  <c r="I13" i="23"/>
  <c r="J13" i="23"/>
  <c r="J12" i="23"/>
  <c r="J16" i="23"/>
  <c r="J15" i="23"/>
  <c r="H10" i="23"/>
  <c r="J10" i="23"/>
  <c r="E35" i="23"/>
  <c r="F35" i="23"/>
  <c r="D35" i="23"/>
  <c r="G35" i="23"/>
  <c r="H35" i="23"/>
  <c r="I35" i="23"/>
  <c r="J35" i="23"/>
  <c r="AG31" i="12"/>
  <c r="AG52" i="12"/>
  <c r="D34" i="23"/>
  <c r="F33" i="23"/>
  <c r="E34" i="23"/>
  <c r="F34" i="23"/>
  <c r="E33" i="23"/>
  <c r="D24" i="23"/>
  <c r="G34" i="23"/>
  <c r="D23" i="23"/>
  <c r="H34" i="23"/>
  <c r="G33" i="23"/>
  <c r="E24" i="23"/>
  <c r="I34" i="23"/>
  <c r="I33" i="23"/>
  <c r="F24" i="23"/>
  <c r="E23" i="23"/>
  <c r="H33" i="23"/>
  <c r="F23" i="23"/>
  <c r="G24" i="23"/>
  <c r="H23" i="23"/>
  <c r="G23" i="23"/>
  <c r="H24" i="23"/>
  <c r="I23" i="23"/>
  <c r="I24" i="23"/>
  <c r="J24" i="23"/>
  <c r="J33" i="23"/>
  <c r="J23" i="23"/>
  <c r="J34" i="23"/>
  <c r="J67" i="23"/>
  <c r="I67" i="23"/>
  <c r="H67" i="23"/>
  <c r="D67" i="23"/>
  <c r="E67" i="23"/>
  <c r="G67" i="23"/>
  <c r="F67" i="23"/>
  <c r="D58" i="23"/>
  <c r="D66" i="23" s="1"/>
  <c r="D59" i="23"/>
  <c r="E58" i="23"/>
  <c r="E66" i="23" s="1"/>
  <c r="E59" i="23"/>
  <c r="F58" i="23"/>
  <c r="F66" i="23" s="1"/>
  <c r="AF55" i="13"/>
  <c r="D42" i="23"/>
  <c r="D43" i="23"/>
  <c r="E43" i="23"/>
  <c r="E42" i="23"/>
  <c r="H43" i="23"/>
  <c r="F42" i="23"/>
  <c r="F43" i="23"/>
  <c r="I43" i="23"/>
  <c r="G42" i="23"/>
  <c r="G43" i="23"/>
  <c r="H42" i="23"/>
  <c r="I42" i="23"/>
  <c r="J42" i="23"/>
  <c r="J43" i="23"/>
  <c r="AF19" i="10"/>
  <c r="AF100" i="11"/>
  <c r="AH25" i="14"/>
  <c r="H7" i="23"/>
  <c r="D7" i="23"/>
  <c r="E7" i="23"/>
  <c r="H8" i="23"/>
  <c r="D8" i="23"/>
  <c r="F7" i="23"/>
  <c r="I7" i="23"/>
  <c r="F8" i="23"/>
  <c r="E8" i="23"/>
  <c r="G7" i="23"/>
  <c r="I8" i="23"/>
  <c r="G8" i="23"/>
  <c r="J7" i="23"/>
  <c r="J8" i="23"/>
  <c r="R54" i="11"/>
  <c r="Q99" i="11"/>
  <c r="Q96" i="11"/>
  <c r="P10" i="9"/>
  <c r="S83" i="11"/>
  <c r="K15" i="23" l="1"/>
  <c r="E37" i="23"/>
  <c r="K11" i="23"/>
  <c r="K16" i="23"/>
  <c r="K13" i="23"/>
  <c r="K14" i="23"/>
  <c r="K12" i="23"/>
  <c r="K10" i="23"/>
  <c r="D37" i="23"/>
  <c r="I37" i="23"/>
  <c r="G37" i="23"/>
  <c r="J37" i="23"/>
  <c r="F37" i="23"/>
  <c r="H37" i="23"/>
  <c r="D49" i="23"/>
  <c r="K35" i="23"/>
  <c r="I49" i="23"/>
  <c r="I28" i="23"/>
  <c r="E49" i="23"/>
  <c r="G28" i="23"/>
  <c r="J49" i="23"/>
  <c r="F49" i="23"/>
  <c r="D28" i="23"/>
  <c r="K23" i="23"/>
  <c r="E28" i="23"/>
  <c r="J28" i="23"/>
  <c r="K7" i="23"/>
  <c r="K43" i="23"/>
  <c r="H28" i="23"/>
  <c r="K8" i="23"/>
  <c r="H49" i="23"/>
  <c r="K42" i="23"/>
  <c r="G49" i="23"/>
  <c r="K67" i="23"/>
  <c r="K34" i="23"/>
  <c r="K24" i="23"/>
  <c r="F28" i="23"/>
  <c r="K33" i="23"/>
  <c r="Q18" i="10"/>
  <c r="Q20" i="10" s="1"/>
  <c r="Q22" i="10" s="1"/>
  <c r="Q101" i="11"/>
  <c r="R78" i="11"/>
  <c r="R72" i="11"/>
  <c r="R8" i="10" s="1"/>
  <c r="R7" i="9" s="1"/>
  <c r="R13" i="9" s="1"/>
  <c r="T59" i="11"/>
  <c r="K37" i="23" l="1"/>
  <c r="K28" i="23"/>
  <c r="K49" i="23"/>
  <c r="S54" i="11"/>
  <c r="R99" i="11"/>
  <c r="R96" i="11"/>
  <c r="Q10" i="9"/>
  <c r="T83" i="11"/>
  <c r="R101" i="11" l="1"/>
  <c r="R18" i="10"/>
  <c r="R20" i="10" s="1"/>
  <c r="R22" i="10" s="1"/>
  <c r="S78" i="11"/>
  <c r="S72" i="11"/>
  <c r="S8" i="10" s="1"/>
  <c r="S7" i="9" s="1"/>
  <c r="S13" i="9" s="1"/>
  <c r="U59" i="11"/>
  <c r="S99" i="11" l="1"/>
  <c r="T54" i="11"/>
  <c r="S96" i="11"/>
  <c r="R10" i="9"/>
  <c r="U83" i="11"/>
  <c r="T78" i="11" l="1"/>
  <c r="T72" i="11"/>
  <c r="T8" i="10" s="1"/>
  <c r="T7" i="9" s="1"/>
  <c r="S18" i="10"/>
  <c r="S20" i="10" s="1"/>
  <c r="S22" i="10" s="1"/>
  <c r="S101" i="11"/>
  <c r="V59" i="11"/>
  <c r="S10" i="9" l="1"/>
  <c r="U54" i="11"/>
  <c r="T99" i="11"/>
  <c r="T96" i="11"/>
  <c r="T13" i="9"/>
  <c r="G58" i="23"/>
  <c r="V83" i="11"/>
  <c r="T101" i="11" l="1"/>
  <c r="T18" i="10"/>
  <c r="T20" i="10" s="1"/>
  <c r="T22" i="10" s="1"/>
  <c r="U78" i="11"/>
  <c r="U72" i="11"/>
  <c r="U8" i="10" s="1"/>
  <c r="U7" i="9" s="1"/>
  <c r="U13" i="9" s="1"/>
  <c r="G66" i="23"/>
  <c r="K66" i="23" s="1"/>
  <c r="K58" i="23"/>
  <c r="W59" i="11"/>
  <c r="T10" i="9" l="1"/>
  <c r="U99" i="11"/>
  <c r="V54" i="11"/>
  <c r="U96" i="11"/>
  <c r="W83" i="11"/>
  <c r="U18" i="10" l="1"/>
  <c r="U20" i="10" s="1"/>
  <c r="U101" i="11"/>
  <c r="V78" i="11"/>
  <c r="V72" i="11"/>
  <c r="V8" i="10" s="1"/>
  <c r="V7" i="9" s="1"/>
  <c r="V13" i="9" s="1"/>
  <c r="X59" i="11"/>
  <c r="W54" i="11" l="1"/>
  <c r="V99" i="11"/>
  <c r="V96" i="11"/>
  <c r="U22" i="10"/>
  <c r="X83" i="11"/>
  <c r="U10" i="9" l="1"/>
  <c r="U9" i="10"/>
  <c r="U13" i="10" s="1"/>
  <c r="U9" i="9" s="1"/>
  <c r="V101" i="11"/>
  <c r="V18" i="10"/>
  <c r="V20" i="10" s="1"/>
  <c r="W78" i="11"/>
  <c r="W72" i="11"/>
  <c r="W8" i="10" s="1"/>
  <c r="W7" i="9" s="1"/>
  <c r="W13" i="9" s="1"/>
  <c r="Y59" i="11"/>
  <c r="U8" i="9" l="1"/>
  <c r="U11" i="9" s="1"/>
  <c r="U15" i="9" s="1"/>
  <c r="U19" i="9" s="1"/>
  <c r="X54" i="11"/>
  <c r="W99" i="11"/>
  <c r="W96" i="11"/>
  <c r="V22" i="10"/>
  <c r="Y83" i="11"/>
  <c r="V10" i="9" l="1"/>
  <c r="W101" i="11"/>
  <c r="W18" i="10"/>
  <c r="W20" i="10" s="1"/>
  <c r="X78" i="11"/>
  <c r="X72" i="11"/>
  <c r="X8" i="10" s="1"/>
  <c r="X7" i="9" s="1"/>
  <c r="Z59" i="11"/>
  <c r="X13" i="9" l="1"/>
  <c r="H58" i="23"/>
  <c r="X99" i="11"/>
  <c r="Y54" i="11"/>
  <c r="X96" i="11"/>
  <c r="W22" i="10"/>
  <c r="Z83" i="11"/>
  <c r="W10" i="9" l="1"/>
  <c r="Y78" i="11"/>
  <c r="Y72" i="11"/>
  <c r="Y8" i="10" s="1"/>
  <c r="Y7" i="9" s="1"/>
  <c r="Y13" i="9" s="1"/>
  <c r="X101" i="11"/>
  <c r="X18" i="10"/>
  <c r="X20" i="10" s="1"/>
  <c r="H66" i="23"/>
  <c r="AA59" i="11"/>
  <c r="Z54" i="11" l="1"/>
  <c r="Y99" i="11"/>
  <c r="Y96" i="11"/>
  <c r="X22" i="10"/>
  <c r="AA83" i="11"/>
  <c r="Y101" i="11" l="1"/>
  <c r="Y18" i="10"/>
  <c r="Y20" i="10" s="1"/>
  <c r="Y22" i="10" s="1"/>
  <c r="X10" i="9"/>
  <c r="Z78" i="11"/>
  <c r="Z72" i="11"/>
  <c r="Z8" i="10" s="1"/>
  <c r="Z7" i="9" s="1"/>
  <c r="Z13" i="9" s="1"/>
  <c r="AB59" i="11"/>
  <c r="H59" i="23" l="1"/>
  <c r="Y10" i="9"/>
  <c r="AA54" i="11"/>
  <c r="Z99" i="11"/>
  <c r="Z96" i="11"/>
  <c r="AB83" i="11"/>
  <c r="AA78" i="11" l="1"/>
  <c r="AA72" i="11"/>
  <c r="AA8" i="10" s="1"/>
  <c r="AA7" i="9" s="1"/>
  <c r="AA13" i="9" s="1"/>
  <c r="Z101" i="11"/>
  <c r="Z18" i="10"/>
  <c r="Z20" i="10" s="1"/>
  <c r="Z22" i="10" s="1"/>
  <c r="AC59" i="11"/>
  <c r="AB54" i="11" l="1"/>
  <c r="AA99" i="11"/>
  <c r="AA96" i="11"/>
  <c r="Z10" i="9"/>
  <c r="AC83" i="11"/>
  <c r="AA18" i="10" l="1"/>
  <c r="AA20" i="10" s="1"/>
  <c r="AA22" i="10" s="1"/>
  <c r="AA101" i="11"/>
  <c r="AB78" i="11"/>
  <c r="AB72" i="11"/>
  <c r="AB8" i="10" s="1"/>
  <c r="AB7" i="9" s="1"/>
  <c r="AD59" i="11"/>
  <c r="I58" i="23" l="1"/>
  <c r="AB13" i="9"/>
  <c r="AC54" i="11"/>
  <c r="AB99" i="11"/>
  <c r="AB96" i="11"/>
  <c r="AA10" i="9"/>
  <c r="AD83" i="11"/>
  <c r="AB18" i="10" l="1"/>
  <c r="AB20" i="10" s="1"/>
  <c r="AB22" i="10" s="1"/>
  <c r="AB101" i="11"/>
  <c r="AC78" i="11"/>
  <c r="AC72" i="11"/>
  <c r="AC8" i="10" s="1"/>
  <c r="AC7" i="9" s="1"/>
  <c r="AC13" i="9" s="1"/>
  <c r="I66" i="23"/>
  <c r="AE59" i="11"/>
  <c r="AD54" i="11" l="1"/>
  <c r="AC99" i="11"/>
  <c r="AC96" i="11"/>
  <c r="AB10" i="9"/>
  <c r="AE83" i="11"/>
  <c r="AC18" i="10" l="1"/>
  <c r="AC20" i="10" s="1"/>
  <c r="AC22" i="10" s="1"/>
  <c r="AC101" i="11"/>
  <c r="AD78" i="11"/>
  <c r="AD72" i="11"/>
  <c r="AD8" i="10" s="1"/>
  <c r="AD7" i="9" s="1"/>
  <c r="AD13" i="9" s="1"/>
  <c r="AF59" i="11"/>
  <c r="AC10" i="9" l="1"/>
  <c r="AD99" i="11"/>
  <c r="AE54" i="11"/>
  <c r="AD96" i="11"/>
  <c r="AG59" i="11"/>
  <c r="AF83" i="11"/>
  <c r="AE78" i="11" l="1"/>
  <c r="AE72" i="11"/>
  <c r="AE8" i="10" s="1"/>
  <c r="AE7" i="9" s="1"/>
  <c r="AE13" i="9" s="1"/>
  <c r="AD101" i="11"/>
  <c r="AD18" i="10"/>
  <c r="AD20" i="10" s="1"/>
  <c r="AD22" i="10" s="1"/>
  <c r="AG83" i="11"/>
  <c r="AD10" i="9" l="1"/>
  <c r="AF54" i="11"/>
  <c r="AE99" i="11"/>
  <c r="AE96" i="11"/>
  <c r="AE101" i="11" l="1"/>
  <c r="AE18" i="10"/>
  <c r="AE20" i="10" s="1"/>
  <c r="AE22" i="10" s="1"/>
  <c r="AG54" i="11"/>
  <c r="AG72" i="11" s="1"/>
  <c r="AF78" i="11"/>
  <c r="AF72" i="11"/>
  <c r="AF8" i="10" s="1"/>
  <c r="AF99" i="11" l="1"/>
  <c r="AG78" i="11"/>
  <c r="AG96" i="11" s="1"/>
  <c r="AF96" i="11"/>
  <c r="AG8" i="10"/>
  <c r="AF7" i="9"/>
  <c r="AE10" i="9"/>
  <c r="AG7" i="9" l="1"/>
  <c r="J58" i="23"/>
  <c r="AF13" i="9"/>
  <c r="AG13" i="9" s="1"/>
  <c r="AF101" i="11"/>
  <c r="AG101" i="11" s="1"/>
  <c r="AF18" i="10"/>
  <c r="AF20" i="10" s="1"/>
  <c r="AF22" i="10" l="1"/>
  <c r="AG20" i="10"/>
  <c r="J66" i="23"/>
  <c r="AF10" i="9" l="1"/>
  <c r="AG22" i="10"/>
  <c r="F59" i="23" l="1"/>
  <c r="G59" i="23"/>
  <c r="AG10" i="9"/>
  <c r="I59" i="23"/>
  <c r="J59" i="23"/>
  <c r="K59" i="23" l="1"/>
  <c r="M5" i="14" l="1"/>
  <c r="M15" i="14" s="1"/>
  <c r="L8" i="12" s="1"/>
  <c r="L4" i="12" s="1"/>
  <c r="N5" i="14"/>
  <c r="N15" i="14" s="1"/>
  <c r="M8" i="12" s="1"/>
  <c r="M4" i="12" s="1"/>
  <c r="I5" i="14"/>
  <c r="I15" i="14" s="1"/>
  <c r="H8" i="12" s="1"/>
  <c r="H4" i="12" s="1"/>
  <c r="W5" i="14"/>
  <c r="W15" i="14" s="1"/>
  <c r="Q5" i="14"/>
  <c r="Q15" i="14" s="1"/>
  <c r="P8" i="12" s="1"/>
  <c r="P4" i="12" s="1"/>
  <c r="AC5" i="14"/>
  <c r="AC15" i="14" s="1"/>
  <c r="AB8" i="12" s="1"/>
  <c r="AB4" i="12" s="1"/>
  <c r="O5" i="14"/>
  <c r="O15" i="14" s="1"/>
  <c r="N8" i="12" s="1"/>
  <c r="N4" i="12" s="1"/>
  <c r="AF5" i="14"/>
  <c r="AF15" i="14" s="1"/>
  <c r="AE8" i="12" s="1"/>
  <c r="AE4" i="12" s="1"/>
  <c r="AG5" i="14"/>
  <c r="AG15" i="14" s="1"/>
  <c r="AF8" i="12" s="1"/>
  <c r="AF4" i="12" s="1"/>
  <c r="G5" i="14"/>
  <c r="G15" i="14" s="1"/>
  <c r="F8" i="12" s="1"/>
  <c r="F4" i="12" s="1"/>
  <c r="F24" i="12" s="1"/>
  <c r="AB5" i="14"/>
  <c r="AB15" i="14" s="1"/>
  <c r="AA8" i="12" s="1"/>
  <c r="AA4" i="12" s="1"/>
  <c r="P5" i="14"/>
  <c r="P15" i="14" s="1"/>
  <c r="O8" i="12" s="1"/>
  <c r="O4" i="12" s="1"/>
  <c r="X5" i="14"/>
  <c r="X15" i="14" s="1"/>
  <c r="W8" i="12" s="1"/>
  <c r="W4" i="12" s="1"/>
  <c r="S5" i="14"/>
  <c r="S15" i="14" s="1"/>
  <c r="R8" i="12" s="1"/>
  <c r="R4" i="12" s="1"/>
  <c r="K5" i="14"/>
  <c r="K15" i="14" s="1"/>
  <c r="J8" i="12" s="1"/>
  <c r="J4" i="12" s="1"/>
  <c r="U5" i="14"/>
  <c r="U15" i="14" s="1"/>
  <c r="T8" i="12" s="1"/>
  <c r="T4" i="12" s="1"/>
  <c r="R5" i="14"/>
  <c r="R15" i="14" s="1"/>
  <c r="Q8" i="12" s="1"/>
  <c r="Q4" i="12" s="1"/>
  <c r="H5" i="14"/>
  <c r="H15" i="14" s="1"/>
  <c r="G8" i="12" s="1"/>
  <c r="G4" i="12" s="1"/>
  <c r="Y5" i="14"/>
  <c r="Y15" i="14" s="1"/>
  <c r="X8" i="12" s="1"/>
  <c r="X4" i="12" s="1"/>
  <c r="AA5" i="14"/>
  <c r="AA15" i="14" s="1"/>
  <c r="Z8" i="12" s="1"/>
  <c r="Z4" i="12" s="1"/>
  <c r="AD5" i="14"/>
  <c r="AD15" i="14" s="1"/>
  <c r="AC8" i="12" s="1"/>
  <c r="AC4" i="12" s="1"/>
  <c r="Z5" i="14"/>
  <c r="Z15" i="14" s="1"/>
  <c r="Y8" i="12" s="1"/>
  <c r="Y4" i="12" s="1"/>
  <c r="AE5" i="14"/>
  <c r="AE15" i="14" s="1"/>
  <c r="AD8" i="12" s="1"/>
  <c r="AD4" i="12" s="1"/>
  <c r="L5" i="14"/>
  <c r="L15" i="14" s="1"/>
  <c r="K8" i="12" s="1"/>
  <c r="K4" i="12" s="1"/>
  <c r="T5" i="14"/>
  <c r="T15" i="14" s="1"/>
  <c r="S8" i="12" s="1"/>
  <c r="S4" i="12" s="1"/>
  <c r="J5" i="14"/>
  <c r="J15" i="14" s="1"/>
  <c r="I8" i="12" s="1"/>
  <c r="I4" i="12" s="1"/>
  <c r="V5" i="14"/>
  <c r="V15" i="14" s="1"/>
  <c r="U8" i="12" s="1"/>
  <c r="U4" i="12" s="1"/>
  <c r="D9" i="23" l="1"/>
  <c r="D18" i="23" s="1"/>
  <c r="AB17" i="14"/>
  <c r="I9" i="23"/>
  <c r="I18" i="23" s="1"/>
  <c r="J9" i="23"/>
  <c r="J18" i="23" s="1"/>
  <c r="O4" i="9"/>
  <c r="G9" i="23"/>
  <c r="G18" i="23" s="1"/>
  <c r="G4" i="9"/>
  <c r="E9" i="23"/>
  <c r="E18" i="23" s="1"/>
  <c r="X17" i="14"/>
  <c r="H9" i="23"/>
  <c r="H18" i="23" s="1"/>
  <c r="P17" i="14"/>
  <c r="F9" i="23"/>
  <c r="F18" i="23" s="1"/>
  <c r="AF17" i="14"/>
  <c r="AI5" i="14"/>
  <c r="AI15" i="14" s="1"/>
  <c r="X4" i="9"/>
  <c r="AB4" i="9"/>
  <c r="V4" i="9"/>
  <c r="AK5" i="14"/>
  <c r="N4" i="9"/>
  <c r="T4" i="9"/>
  <c r="Z4" i="9"/>
  <c r="H4" i="9"/>
  <c r="F4" i="9"/>
  <c r="L4" i="9"/>
  <c r="AJ5" i="14"/>
  <c r="P4" i="9"/>
  <c r="AE4" i="9"/>
  <c r="AF4" i="9"/>
  <c r="R4" i="9"/>
  <c r="J4" i="9"/>
  <c r="AD4" i="9"/>
  <c r="K4" i="9" l="1"/>
  <c r="AA4" i="9"/>
  <c r="S4" i="9"/>
  <c r="S6" i="10" s="1"/>
  <c r="T24" i="12"/>
  <c r="S5" i="9" s="1"/>
  <c r="W4" i="9"/>
  <c r="W6" i="10" s="1"/>
  <c r="X24" i="12"/>
  <c r="W5" i="9" s="1"/>
  <c r="T17" i="14"/>
  <c r="H24" i="12"/>
  <c r="G5" i="9" s="1"/>
  <c r="P24" i="12"/>
  <c r="O5" i="9" s="1"/>
  <c r="L17" i="14"/>
  <c r="H17" i="14"/>
  <c r="AB24" i="12"/>
  <c r="AA5" i="9" s="1"/>
  <c r="Q24" i="12"/>
  <c r="P5" i="9" s="1"/>
  <c r="U24" i="12"/>
  <c r="T5" i="9" s="1"/>
  <c r="AC24" i="12"/>
  <c r="AB5" i="9" s="1"/>
  <c r="L24" i="12"/>
  <c r="K5" i="9" s="1"/>
  <c r="K24" i="12"/>
  <c r="J5" i="9" s="1"/>
  <c r="J7" i="10" s="1"/>
  <c r="I24" i="12"/>
  <c r="H5" i="9" s="1"/>
  <c r="S24" i="12"/>
  <c r="R5" i="9" s="1"/>
  <c r="W24" i="12"/>
  <c r="V5" i="9" s="1"/>
  <c r="AE24" i="12"/>
  <c r="AD5" i="9" s="1"/>
  <c r="AG24" i="12"/>
  <c r="AF5" i="9" s="1"/>
  <c r="M24" i="12"/>
  <c r="L5" i="9" s="1"/>
  <c r="AA24" i="12"/>
  <c r="Z5" i="9" s="1"/>
  <c r="Y24" i="12"/>
  <c r="X5" i="9" s="1"/>
  <c r="O24" i="12"/>
  <c r="N5" i="9" s="1"/>
  <c r="AF24" i="12"/>
  <c r="AE5" i="9" s="1"/>
  <c r="G24" i="12"/>
  <c r="F5" i="9" s="1"/>
  <c r="I4" i="9"/>
  <c r="O6" i="10"/>
  <c r="L6" i="10"/>
  <c r="AE6" i="10"/>
  <c r="G6" i="10"/>
  <c r="V6" i="10"/>
  <c r="AA6" i="10"/>
  <c r="N6" i="10"/>
  <c r="K9" i="23"/>
  <c r="K18" i="23" s="1"/>
  <c r="Z6" i="10"/>
  <c r="J6" i="10"/>
  <c r="P6" i="10"/>
  <c r="AB6" i="10"/>
  <c r="Q4" i="9"/>
  <c r="AD6" i="10"/>
  <c r="AF6" i="10"/>
  <c r="K6" i="10"/>
  <c r="R6" i="10"/>
  <c r="F6" i="10"/>
  <c r="X6" i="10"/>
  <c r="H6" i="10"/>
  <c r="T6" i="10"/>
  <c r="M4" i="9"/>
  <c r="H55" i="23" s="1"/>
  <c r="P7" i="10" l="1"/>
  <c r="P9" i="10" s="1"/>
  <c r="P13" i="10" s="1"/>
  <c r="P9" i="9" s="1"/>
  <c r="P8" i="9" s="1"/>
  <c r="P6" i="9"/>
  <c r="S7" i="10"/>
  <c r="S6" i="9"/>
  <c r="G7" i="10"/>
  <c r="G9" i="10" s="1"/>
  <c r="G13" i="10" s="1"/>
  <c r="G9" i="9" s="1"/>
  <c r="G8" i="9" s="1"/>
  <c r="G6" i="9"/>
  <c r="J9" i="10"/>
  <c r="J13" i="10" s="1"/>
  <c r="J9" i="9" s="1"/>
  <c r="J8" i="9" s="1"/>
  <c r="L7" i="10"/>
  <c r="L9" i="10" s="1"/>
  <c r="L13" i="10" s="1"/>
  <c r="L9" i="9" s="1"/>
  <c r="L8" i="9" s="1"/>
  <c r="L6" i="9"/>
  <c r="AE7" i="10"/>
  <c r="AE9" i="10" s="1"/>
  <c r="AE13" i="10" s="1"/>
  <c r="AE9" i="9" s="1"/>
  <c r="AE8" i="9" s="1"/>
  <c r="AE6" i="9"/>
  <c r="AF7" i="10"/>
  <c r="AF9" i="10" s="1"/>
  <c r="AF13" i="10" s="1"/>
  <c r="AF9" i="9" s="1"/>
  <c r="AF8" i="9" s="1"/>
  <c r="AF6" i="9"/>
  <c r="AD7" i="10"/>
  <c r="AD9" i="10" s="1"/>
  <c r="AD13" i="10" s="1"/>
  <c r="AD9" i="9" s="1"/>
  <c r="AD8" i="9" s="1"/>
  <c r="AD6" i="9"/>
  <c r="AB7" i="10"/>
  <c r="AB9" i="10" s="1"/>
  <c r="AB13" i="10" s="1"/>
  <c r="AB9" i="9" s="1"/>
  <c r="AB8" i="9" s="1"/>
  <c r="AB6" i="9"/>
  <c r="V6" i="9"/>
  <c r="V7" i="10"/>
  <c r="V9" i="10" s="1"/>
  <c r="V13" i="10" s="1"/>
  <c r="V9" i="9" s="1"/>
  <c r="Z7" i="10"/>
  <c r="Z9" i="10" s="1"/>
  <c r="Z13" i="10" s="1"/>
  <c r="Z9" i="9" s="1"/>
  <c r="Z8" i="9" s="1"/>
  <c r="Z6" i="9"/>
  <c r="K7" i="10"/>
  <c r="K9" i="10" s="1"/>
  <c r="K13" i="10" s="1"/>
  <c r="K9" i="9" s="1"/>
  <c r="K8" i="9" s="1"/>
  <c r="K6" i="9"/>
  <c r="N7" i="10"/>
  <c r="N9" i="10" s="1"/>
  <c r="N13" i="10" s="1"/>
  <c r="N9" i="9" s="1"/>
  <c r="N8" i="9" s="1"/>
  <c r="N6" i="9"/>
  <c r="X7" i="10"/>
  <c r="X6" i="9"/>
  <c r="T7" i="10"/>
  <c r="T9" i="10" s="1"/>
  <c r="T13" i="10" s="1"/>
  <c r="T9" i="9" s="1"/>
  <c r="T8" i="9" s="1"/>
  <c r="T6" i="9"/>
  <c r="R7" i="10"/>
  <c r="R9" i="10" s="1"/>
  <c r="R13" i="10" s="1"/>
  <c r="R9" i="9" s="1"/>
  <c r="R8" i="9" s="1"/>
  <c r="R6" i="9"/>
  <c r="W7" i="10"/>
  <c r="W9" i="10" s="1"/>
  <c r="W13" i="10" s="1"/>
  <c r="W9" i="9" s="1"/>
  <c r="W8" i="9" s="1"/>
  <c r="W6" i="9"/>
  <c r="O7" i="10"/>
  <c r="O9" i="10" s="1"/>
  <c r="O13" i="10" s="1"/>
  <c r="O9" i="9" s="1"/>
  <c r="O8" i="9" s="1"/>
  <c r="O6" i="9"/>
  <c r="F7" i="10"/>
  <c r="F9" i="10" s="1"/>
  <c r="F13" i="10" s="1"/>
  <c r="F9" i="9" s="1"/>
  <c r="F8" i="9" s="1"/>
  <c r="F6" i="9"/>
  <c r="H7" i="10"/>
  <c r="H9" i="10" s="1"/>
  <c r="H13" i="10" s="1"/>
  <c r="H9" i="9" s="1"/>
  <c r="H8" i="9" s="1"/>
  <c r="H6" i="9"/>
  <c r="AA7" i="10"/>
  <c r="AA9" i="10" s="1"/>
  <c r="AA13" i="10" s="1"/>
  <c r="AA9" i="9" s="1"/>
  <c r="AA8" i="9" s="1"/>
  <c r="AA6" i="9"/>
  <c r="J6" i="9"/>
  <c r="J24" i="12"/>
  <c r="I5" i="9" s="1"/>
  <c r="X9" i="10"/>
  <c r="X13" i="10" s="1"/>
  <c r="X9" i="9" s="1"/>
  <c r="X8" i="9" s="1"/>
  <c r="S9" i="10"/>
  <c r="S13" i="10" s="1"/>
  <c r="S9" i="9" s="1"/>
  <c r="S8" i="9" s="1"/>
  <c r="N24" i="12"/>
  <c r="M5" i="9" s="1"/>
  <c r="R24" i="12"/>
  <c r="Q5" i="9" s="1"/>
  <c r="Y4" i="9"/>
  <c r="E4" i="9"/>
  <c r="F55" i="23"/>
  <c r="M6" i="10"/>
  <c r="I6" i="10"/>
  <c r="E55" i="23"/>
  <c r="AC4" i="9"/>
  <c r="Q6" i="10"/>
  <c r="G55" i="23"/>
  <c r="X11" i="9" l="1"/>
  <c r="X15" i="9" s="1"/>
  <c r="X19" i="9" s="1"/>
  <c r="P11" i="9"/>
  <c r="P15" i="9" s="1"/>
  <c r="P19" i="9" s="1"/>
  <c r="S11" i="9"/>
  <c r="S15" i="9" s="1"/>
  <c r="S19" i="9" s="1"/>
  <c r="T11" i="9"/>
  <c r="T15" i="9" s="1"/>
  <c r="T19" i="9" s="1"/>
  <c r="AE11" i="9"/>
  <c r="AE15" i="9" s="1"/>
  <c r="AE19" i="9" s="1"/>
  <c r="G11" i="9"/>
  <c r="G15" i="9" s="1"/>
  <c r="G19" i="9" s="1"/>
  <c r="L11" i="9"/>
  <c r="L15" i="9" s="1"/>
  <c r="L19" i="9" s="1"/>
  <c r="Z11" i="9"/>
  <c r="Z15" i="9" s="1"/>
  <c r="Z19" i="9" s="1"/>
  <c r="AB11" i="9"/>
  <c r="AB15" i="9" s="1"/>
  <c r="AB19" i="9" s="1"/>
  <c r="F11" i="9"/>
  <c r="F15" i="9" s="1"/>
  <c r="F19" i="9" s="1"/>
  <c r="O11" i="9"/>
  <c r="O15" i="9" s="1"/>
  <c r="O19" i="9" s="1"/>
  <c r="N11" i="9"/>
  <c r="N15" i="9" s="1"/>
  <c r="N19" i="9" s="1"/>
  <c r="AF11" i="9"/>
  <c r="AF15" i="9" s="1"/>
  <c r="AF19" i="9" s="1"/>
  <c r="AA11" i="9"/>
  <c r="AA15" i="9" s="1"/>
  <c r="AA19" i="9" s="1"/>
  <c r="W11" i="9"/>
  <c r="W15" i="9" s="1"/>
  <c r="W19" i="9" s="1"/>
  <c r="R11" i="9"/>
  <c r="R15" i="9" s="1"/>
  <c r="R19" i="9" s="1"/>
  <c r="AD11" i="9"/>
  <c r="AD15" i="9" s="1"/>
  <c r="AD19" i="9" s="1"/>
  <c r="J11" i="9"/>
  <c r="J15" i="9" s="1"/>
  <c r="J19" i="9" s="1"/>
  <c r="K11" i="9"/>
  <c r="K15" i="9" s="1"/>
  <c r="K19" i="9" s="1"/>
  <c r="H11" i="9"/>
  <c r="H15" i="9" s="1"/>
  <c r="H19" i="9" s="1"/>
  <c r="M7" i="10"/>
  <c r="M9" i="10" s="1"/>
  <c r="M13" i="10" s="1"/>
  <c r="M9" i="9" s="1"/>
  <c r="F56" i="23"/>
  <c r="F57" i="23" s="1"/>
  <c r="F60" i="23" s="1"/>
  <c r="H56" i="23"/>
  <c r="H57" i="23" s="1"/>
  <c r="H60" i="23" s="1"/>
  <c r="M6" i="9"/>
  <c r="Q6" i="9"/>
  <c r="G56" i="23"/>
  <c r="G57" i="23" s="1"/>
  <c r="G60" i="23" s="1"/>
  <c r="Q7" i="10"/>
  <c r="Q9" i="10" s="1"/>
  <c r="Q13" i="10" s="1"/>
  <c r="Q9" i="9" s="1"/>
  <c r="G61" i="23" s="1"/>
  <c r="I6" i="9"/>
  <c r="E56" i="23"/>
  <c r="E57" i="23" s="1"/>
  <c r="E60" i="23" s="1"/>
  <c r="I7" i="10"/>
  <c r="I9" i="10" s="1"/>
  <c r="I13" i="10" s="1"/>
  <c r="I9" i="9" s="1"/>
  <c r="Z24" i="12"/>
  <c r="Y5" i="9" s="1"/>
  <c r="I56" i="23" s="1"/>
  <c r="AD24" i="12"/>
  <c r="AC5" i="9" s="1"/>
  <c r="J56" i="23" s="1"/>
  <c r="J55" i="23"/>
  <c r="AC6" i="10"/>
  <c r="AH8" i="12"/>
  <c r="I55" i="23"/>
  <c r="Y6" i="10"/>
  <c r="AG4" i="9"/>
  <c r="D55" i="23"/>
  <c r="E6" i="10"/>
  <c r="V8" i="9"/>
  <c r="V11" i="9" s="1"/>
  <c r="V15" i="9" s="1"/>
  <c r="M8" i="9" l="1"/>
  <c r="M11" i="9" s="1"/>
  <c r="M15" i="9" s="1"/>
  <c r="M19" i="9" s="1"/>
  <c r="F71" i="23" s="1"/>
  <c r="H61" i="23"/>
  <c r="H62" i="23" s="1"/>
  <c r="H65" i="23" s="1"/>
  <c r="F61" i="23"/>
  <c r="F62" i="23" s="1"/>
  <c r="F65" i="23" s="1"/>
  <c r="AC7" i="10"/>
  <c r="AC9" i="10" s="1"/>
  <c r="AC13" i="10" s="1"/>
  <c r="AC9" i="9" s="1"/>
  <c r="AC8" i="9" s="1"/>
  <c r="AC6" i="9"/>
  <c r="Y7" i="10"/>
  <c r="Y9" i="10" s="1"/>
  <c r="Y13" i="10" s="1"/>
  <c r="Y9" i="9" s="1"/>
  <c r="Y6" i="9"/>
  <c r="G62" i="23"/>
  <c r="G65" i="23" s="1"/>
  <c r="Q8" i="9"/>
  <c r="Q11" i="9" s="1"/>
  <c r="Q15" i="9" s="1"/>
  <c r="Q19" i="9" s="1"/>
  <c r="G71" i="23" s="1"/>
  <c r="J57" i="23"/>
  <c r="J60" i="23" s="1"/>
  <c r="I57" i="23"/>
  <c r="I60" i="23" s="1"/>
  <c r="K55" i="23"/>
  <c r="AG6" i="10"/>
  <c r="AH4" i="12"/>
  <c r="V19" i="9"/>
  <c r="I8" i="9"/>
  <c r="I11" i="9" s="1"/>
  <c r="I15" i="9" s="1"/>
  <c r="E61" i="23"/>
  <c r="E62" i="23" s="1"/>
  <c r="E65" i="23" s="1"/>
  <c r="AC11" i="9" l="1"/>
  <c r="AC15" i="9" s="1"/>
  <c r="AC19" i="9" s="1"/>
  <c r="J71" i="23" s="1"/>
  <c r="H68" i="23"/>
  <c r="F68" i="23"/>
  <c r="G68" i="23"/>
  <c r="H71" i="23"/>
  <c r="J61" i="23"/>
  <c r="J62" i="23" s="1"/>
  <c r="J65" i="23" s="1"/>
  <c r="AH24" i="12"/>
  <c r="E5" i="9"/>
  <c r="I19" i="9"/>
  <c r="E71" i="23" s="1"/>
  <c r="E68" i="23"/>
  <c r="I61" i="23"/>
  <c r="I62" i="23" s="1"/>
  <c r="I65" i="23" s="1"/>
  <c r="Y8" i="9"/>
  <c r="Y11" i="9" s="1"/>
  <c r="Y15" i="9" s="1"/>
  <c r="J68" i="23" l="1"/>
  <c r="Y19" i="9"/>
  <c r="I71" i="23" s="1"/>
  <c r="I68" i="23"/>
  <c r="AG5" i="9"/>
  <c r="AG6" i="9" s="1"/>
  <c r="D56" i="23"/>
  <c r="E7" i="10"/>
  <c r="E6" i="9"/>
  <c r="AG7" i="10" l="1"/>
  <c r="E9" i="10"/>
  <c r="K56" i="23"/>
  <c r="D57" i="23"/>
  <c r="K57" i="23" l="1"/>
  <c r="D60" i="23"/>
  <c r="AG9" i="10"/>
  <c r="E13" i="10"/>
  <c r="E9" i="9" l="1"/>
  <c r="AG13" i="10"/>
  <c r="K60" i="23"/>
  <c r="D61" i="23" l="1"/>
  <c r="E8" i="9"/>
  <c r="AG9" i="9"/>
  <c r="K61" i="23" l="1"/>
  <c r="D62" i="23"/>
  <c r="AG8" i="9"/>
  <c r="AG11" i="9" s="1"/>
  <c r="E11" i="9"/>
  <c r="E15" i="9" s="1"/>
  <c r="AG15" i="9" l="1"/>
  <c r="D79" i="23"/>
  <c r="E7" i="15" s="1"/>
  <c r="D68" i="23"/>
  <c r="K68" i="23" s="1"/>
  <c r="E19" i="9"/>
  <c r="D65" i="23"/>
  <c r="K65" i="23" s="1"/>
  <c r="K62" i="23"/>
  <c r="D71" i="23" l="1"/>
  <c r="AG19" i="9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AB20" i="9" s="1"/>
  <c r="AC20" i="9" s="1"/>
  <c r="AD20" i="9" s="1"/>
  <c r="AE20" i="9" s="1"/>
  <c r="AF20" i="9" s="1"/>
  <c r="D78" i="23" l="1"/>
  <c r="D81" i="23" s="1"/>
  <c r="E6" i="15"/>
  <c r="E72" i="23"/>
  <c r="F72" i="23"/>
  <c r="G72" i="23"/>
  <c r="I72" i="23"/>
  <c r="J72" i="23"/>
  <c r="H72" i="23"/>
  <c r="K71" i="23"/>
  <c r="D80" i="23" s="1"/>
  <c r="E9" i="15" s="1"/>
  <c r="D72" i="23"/>
  <c r="E8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Теслин С.</author>
  </authors>
  <commentList>
    <comment ref="D8" authorId="0" shapeId="0" xr:uid="{00000000-0006-0000-0400-000001000000}">
      <text>
        <r>
          <rPr>
            <b/>
            <sz val="9"/>
            <color rgb="FF000000"/>
            <rFont val="Tahoma"/>
            <family val="2"/>
            <charset val="204"/>
          </rPr>
          <t>Доля от доходов проекта.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Коэффициент расcчитывается в ДФК КЦ: прочие операционные расходы компании, относимые на инвестиционные проекты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D2" authorId="0" shapeId="0" xr:uid="{00000000-0006-0000-0500-000001000000}">
      <text>
        <r>
          <rPr>
            <sz val="9"/>
            <color indexed="81"/>
            <rFont val="Tahoma"/>
            <family val="2"/>
            <charset val="204"/>
          </rPr>
          <t>в т.ч. оборудование со склада</t>
        </r>
      </text>
    </comment>
    <comment ref="C54" authorId="0" shapeId="0" xr:uid="{00000000-0006-0000-0500-000002000000}">
      <text>
        <r>
          <rPr>
            <sz val="9"/>
            <color indexed="81"/>
            <rFont val="Tahoma"/>
            <family val="2"/>
            <charset val="204"/>
          </rPr>
          <t xml:space="preserve">Курс бюджетирования 
</t>
        </r>
      </text>
    </comment>
    <comment ref="D55" authorId="0" shapeId="0" xr:uid="{00000000-0006-0000-0500-000003000000}">
      <text>
        <r>
          <rPr>
            <sz val="9"/>
            <color indexed="81"/>
            <rFont val="Tahoma"/>
            <family val="2"/>
            <charset val="204"/>
          </rPr>
          <t>в т.ч. оборудование со склада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D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в т.ч. оборудование со склада</t>
        </r>
      </text>
    </comment>
  </commentList>
</comments>
</file>

<file path=xl/sharedStrings.xml><?xml version="1.0" encoding="utf-8"?>
<sst xmlns="http://schemas.openxmlformats.org/spreadsheetml/2006/main" count="581" uniqueCount="244">
  <si>
    <t>Всего</t>
  </si>
  <si>
    <t>Период</t>
  </si>
  <si>
    <t>Единица измерения</t>
  </si>
  <si>
    <t>%</t>
  </si>
  <si>
    <t>Налог на имущество</t>
  </si>
  <si>
    <t>Процент налога на имущество</t>
  </si>
  <si>
    <t>Итого совокупный расход по налогу на имущество</t>
  </si>
  <si>
    <t>Итого совокупные капитальные затраты</t>
  </si>
  <si>
    <t>Налогооблагаемая база налога на прибыль</t>
  </si>
  <si>
    <t>Совокупные доходы</t>
  </si>
  <si>
    <t>Совокупные операционные расходы</t>
  </si>
  <si>
    <t>Итого налогооблагаемая база налога на прибыль</t>
  </si>
  <si>
    <t>Ставка налога на прибыль</t>
  </si>
  <si>
    <t>Сумма налога на прибыль</t>
  </si>
  <si>
    <t>Доходы</t>
  </si>
  <si>
    <t>Операционные расходы</t>
  </si>
  <si>
    <t>Налог на прибыль</t>
  </si>
  <si>
    <t>Свободный денежный поток</t>
  </si>
  <si>
    <t>Фактор дисконтирования</t>
  </si>
  <si>
    <t>Приведенная стоимость требующихся инвестиций</t>
  </si>
  <si>
    <t>Остаточная стоимость</t>
  </si>
  <si>
    <t>Итого остаточная стоимость</t>
  </si>
  <si>
    <t>База для расчета расхода налога на имущество (остаточная стоимость капитализируемых инвестиций)</t>
  </si>
  <si>
    <t>Ставка дисконтирования</t>
  </si>
  <si>
    <t>Общие предположения</t>
  </si>
  <si>
    <t>Амортизационные отчисления</t>
  </si>
  <si>
    <t>Итого совокупные амортизационные отчисления</t>
  </si>
  <si>
    <t>Название</t>
  </si>
  <si>
    <t>Валюта</t>
  </si>
  <si>
    <t>Базовые предположения модели</t>
  </si>
  <si>
    <t>Итого прочие налоги</t>
  </si>
  <si>
    <t>Прочие налоги</t>
  </si>
  <si>
    <t>Амортизация</t>
  </si>
  <si>
    <t>Налоги</t>
  </si>
  <si>
    <t>Чистая прибыль</t>
  </si>
  <si>
    <t>Индекс рентабельности (PI)</t>
  </si>
  <si>
    <t>Внутренняя норма рентабельности (IRR)</t>
  </si>
  <si>
    <t>%*налоговая база</t>
  </si>
  <si>
    <t>Амортизация (по реальным капзатратам)</t>
  </si>
  <si>
    <t>Средний срок амортизации по типам капзатрат</t>
  </si>
  <si>
    <t>Капитальные расходы (на основе графика платежей)</t>
  </si>
  <si>
    <t>Чистая текущая стоимость (NPV)</t>
  </si>
  <si>
    <t>Итого по проекту</t>
  </si>
  <si>
    <t>Growth rate</t>
  </si>
  <si>
    <t>кварталы</t>
  </si>
  <si>
    <t>…</t>
  </si>
  <si>
    <t>IN платформа</t>
  </si>
  <si>
    <t>Административная инфраструктура</t>
  </si>
  <si>
    <t>Биллинговая система</t>
  </si>
  <si>
    <t>Внедрение функциональной ИТ системы</t>
  </si>
  <si>
    <t xml:space="preserve">Энергетика, метрология и эксплуатация </t>
  </si>
  <si>
    <t>Фиксированная связь</t>
  </si>
  <si>
    <t>Закупка офисного оборудования и вычислительной техники</t>
  </si>
  <si>
    <t>Коммутационная подсистема</t>
  </si>
  <si>
    <t>Корпоративная сеть</t>
  </si>
  <si>
    <t>Лицензии на услуги и РЧ</t>
  </si>
  <si>
    <t>НИОКР</t>
  </si>
  <si>
    <t>Обслуживание абонентов</t>
  </si>
  <si>
    <t>Проекты СОРМ</t>
  </si>
  <si>
    <t>Развитие непрофильных бизнесов</t>
  </si>
  <si>
    <t>Развитие радиоподсистемы</t>
  </si>
  <si>
    <t>Рекламные объекты</t>
  </si>
  <si>
    <t>Система передачи</t>
  </si>
  <si>
    <t>Тестирование новых технологических платформ</t>
  </si>
  <si>
    <t>Управление сетью</t>
  </si>
  <si>
    <t>Услуги добавленной стоимости VAS</t>
  </si>
  <si>
    <t>ФОТ</t>
  </si>
  <si>
    <t>Руб.</t>
  </si>
  <si>
    <t>Версия регламента РП 199</t>
  </si>
  <si>
    <t>Эффективная квартальная ставка</t>
  </si>
  <si>
    <t>WACC</t>
  </si>
  <si>
    <t>руб.</t>
  </si>
  <si>
    <t>Капитальные затраты по типам оборудования Ввод</t>
  </si>
  <si>
    <t>Лицензии на ПО</t>
  </si>
  <si>
    <t>Годы проекта</t>
  </si>
  <si>
    <t>Ед. изм.</t>
  </si>
  <si>
    <t>ИТОГО</t>
  </si>
  <si>
    <t>Статья CAPEX</t>
  </si>
  <si>
    <t>Статья OPEX</t>
  </si>
  <si>
    <t>ИТОГО OPEX</t>
  </si>
  <si>
    <t xml:space="preserve">Статья </t>
  </si>
  <si>
    <t>1. ПРИБЫЛИ И УБЫТКИ</t>
  </si>
  <si>
    <t>Выручка</t>
  </si>
  <si>
    <t>Валовая прибыль/(убыток)</t>
  </si>
  <si>
    <t>Операционная прибыль/(убыток)</t>
  </si>
  <si>
    <t>Чистая прибыль/(убыток)</t>
  </si>
  <si>
    <t>2. ДЕНЕЖНЫЙ ПОТОК</t>
  </si>
  <si>
    <t>Капитальные затраты</t>
  </si>
  <si>
    <t>3. ДИСКОНТИРОВАННЫЙ ДЕНЕЖНЫЙ ПОТОК</t>
  </si>
  <si>
    <t>Дисконтированный денежный поток (DCF)</t>
  </si>
  <si>
    <t>Накопленный дисконтир. денежный поток</t>
  </si>
  <si>
    <t>Показатель</t>
  </si>
  <si>
    <t>Чистая приведенная стоимость проекта (NPV)</t>
  </si>
  <si>
    <t>Период окупаемости (DPBP)</t>
  </si>
  <si>
    <t>лет</t>
  </si>
  <si>
    <t>Рентабельность инвестиций (PI)</t>
  </si>
  <si>
    <t xml:space="preserve">Стоимость работ, материалов и оборудования по проекту </t>
  </si>
  <si>
    <t>Операционные затраты проекта</t>
  </si>
  <si>
    <t>Денежный поток</t>
  </si>
  <si>
    <t>Стоимость за ед, руб.</t>
  </si>
  <si>
    <t>CAPEX-платежи - ИТОГО:</t>
  </si>
  <si>
    <t>Предыдущие периоды</t>
  </si>
  <si>
    <t>Количество</t>
  </si>
  <si>
    <t>Доходная часть</t>
  </si>
  <si>
    <t>Основные финансовые показатели проекта</t>
  </si>
  <si>
    <t>Источник информации</t>
  </si>
  <si>
    <t>ПРОЕКТ:</t>
  </si>
  <si>
    <t>Основные показатели модели:</t>
  </si>
  <si>
    <t>Срок окупаемости (DPBP)</t>
  </si>
  <si>
    <t>CAPEX проекта</t>
  </si>
  <si>
    <t>КАПИТАЛЬНЫЕ ЗАТРАТЫ Cash</t>
  </si>
  <si>
    <t>КАПИТАЛЬНЫЕ ЗАТРАТЫ ввод</t>
  </si>
  <si>
    <t>ВСЕГО ДОХОДЫ</t>
  </si>
  <si>
    <t>ВСЕГО ОПЕРАЦИОННЫЕ РАСХОДЫ</t>
  </si>
  <si>
    <t>Наименование статей не изменять ↓</t>
  </si>
  <si>
    <t>Наименование статей не изменять ↑</t>
  </si>
  <si>
    <t>Себестоимость трафика</t>
  </si>
  <si>
    <t>Себестоимость товаров и комплектов</t>
  </si>
  <si>
    <t>Расходы на транспортировку и логистику</t>
  </si>
  <si>
    <t>Доля партнера</t>
  </si>
  <si>
    <t>Значения</t>
  </si>
  <si>
    <t>Лист не корректируется ↓</t>
  </si>
  <si>
    <t>Конкретное наименование CAPEX</t>
  </si>
  <si>
    <t>DCF нарастающим итогом</t>
  </si>
  <si>
    <t>Свободный денежный поток (Cash Flow)</t>
  </si>
  <si>
    <t>Предположения раздела Доходы</t>
  </si>
  <si>
    <t>Предположения раздела OPEX</t>
  </si>
  <si>
    <t>Предположения раздела CAPEX</t>
  </si>
  <si>
    <t>Предположения раздела Налоги</t>
  </si>
  <si>
    <t>Дата начала проекта</t>
  </si>
  <si>
    <t>Лист не корректируется, за исключением цветных ячеек ↓</t>
  </si>
  <si>
    <t>Прочие операционные расходы</t>
  </si>
  <si>
    <t>Эффект от сокращения операционных затрат</t>
  </si>
  <si>
    <t>Эффект от сокращения операционных затрат:</t>
  </si>
  <si>
    <t xml:space="preserve">Эффект от сокращения расходов . . . </t>
  </si>
  <si>
    <t>Наименование расходов до проекта (НЕВВЕДЕНИЕ)</t>
  </si>
  <si>
    <t>Наименование расходов после проекта (ВВЕДЕНИЕ)</t>
  </si>
  <si>
    <t>Себестоимость и операционные расходы:</t>
  </si>
  <si>
    <t>Расчет себестоимости и операционных расходов:</t>
  </si>
  <si>
    <t>Расчет доходов:</t>
  </si>
  <si>
    <t>Доходы проекта</t>
  </si>
  <si>
    <t xml:space="preserve">. . . </t>
  </si>
  <si>
    <t>Сумма налога на имущество</t>
  </si>
  <si>
    <t>Тех. поддержка ИТ-оборудования</t>
  </si>
  <si>
    <t>Поддержка и сопровождение ПО</t>
  </si>
  <si>
    <t>Расчет эффекта от сокращения операционных затрат*:</t>
  </si>
  <si>
    <t>* Заполнять поля только в случае наличия эффекта. Если в результате реализации проекта сокращения операционных затрат не происходит, то поля заполнять не нужно.</t>
  </si>
  <si>
    <t>Решение ИКК КЦ</t>
  </si>
  <si>
    <t xml:space="preserve">Курсы валют </t>
  </si>
  <si>
    <t xml:space="preserve">RUR/USD </t>
  </si>
  <si>
    <t>RUR/EUR</t>
  </si>
  <si>
    <t>БФИ КЦ</t>
  </si>
  <si>
    <t>Департамент  налогового администрирования</t>
  </si>
  <si>
    <t>Курс €/руб.</t>
  </si>
  <si>
    <t>Курс $/руб.</t>
  </si>
  <si>
    <t>Норматив прочего OPEX</t>
  </si>
  <si>
    <t>ДФК КЦ</t>
  </si>
  <si>
    <t>Резервное копирование физического сервера</t>
  </si>
  <si>
    <t>Резервное копирование виртуальной машины</t>
  </si>
  <si>
    <t>Резервное копирование рабочей станций</t>
  </si>
  <si>
    <t>Пространство для хранения бэкапов</t>
  </si>
  <si>
    <t>Маржа</t>
  </si>
  <si>
    <t>Стоимость, 
руб./мес. без НДС</t>
  </si>
  <si>
    <t>Себестоимость руб/мес</t>
  </si>
  <si>
    <t>шт.</t>
  </si>
  <si>
    <t>Гб.</t>
  </si>
  <si>
    <t xml:space="preserve">Текущие значения (за август 2019) по услуге на базе Veeam </t>
  </si>
  <si>
    <t>Стоимость единц предоставления услуги</t>
  </si>
  <si>
    <t>Себестоимость</t>
  </si>
  <si>
    <t>Расширение (в 2 раза)</t>
  </si>
  <si>
    <t xml:space="preserve">Резервное копирование Сервера/ВМ с консистентным резервным копированием файловой системы </t>
  </si>
  <si>
    <t>Резервное копирование Сервера/ВМ с консистентным резервным копированием файловой системы, приложений и баз данных</t>
  </si>
  <si>
    <t xml:space="preserve">Резервное копирование ВМ в Elastic Cloud с консистентным резервным копированием файловой системы </t>
  </si>
  <si>
    <t>Резервное копирование ВМ в Elastic Cloud  с консистентным резервным копированием файловой системы, приложений и баз данных</t>
  </si>
  <si>
    <t>Процент прироста в квартал</t>
  </si>
  <si>
    <t>Продакт</t>
  </si>
  <si>
    <t>Архитектор</t>
  </si>
  <si>
    <t>Инженер поддержки</t>
  </si>
  <si>
    <t>Средняя применяемая скидка</t>
  </si>
  <si>
    <t>Заложить ресурсы на dev/test</t>
  </si>
  <si>
    <t>vCPU </t>
  </si>
  <si>
    <t>vRAM</t>
  </si>
  <si>
    <t>vCPU</t>
  </si>
  <si>
    <t>шт</t>
  </si>
  <si>
    <t>RAM</t>
  </si>
  <si>
    <t>Гб</t>
  </si>
  <si>
    <t>vHDD NL SAS  (до 100 IOPS)</t>
  </si>
  <si>
    <t>vHDD SAS  (до 500 IOPS)</t>
  </si>
  <si>
    <t>vHDD SAS Fast (до 1000 IOPS)</t>
  </si>
  <si>
    <t>vHDD SSD (до 5000 IOPS)</t>
  </si>
  <si>
    <t>vHDD SSD Fast (до 10000 IOPS)</t>
  </si>
  <si>
    <t>vHDD SSD Ultra (до 20000 IOPS)</t>
  </si>
  <si>
    <t>Значения на старте</t>
  </si>
  <si>
    <t>Ресусры под кластер</t>
  </si>
  <si>
    <t>Работы подрядчика по реализации кластера</t>
  </si>
  <si>
    <t>SAS</t>
  </si>
  <si>
    <t>Server</t>
  </si>
  <si>
    <t>CPU</t>
  </si>
  <si>
    <t>RAM, GB</t>
  </si>
  <si>
    <t>HDD, GB</t>
  </si>
  <si>
    <t>FN-G-VM-SaaS-DC1-Active</t>
  </si>
  <si>
    <t>FN-G-VM-SaaS-DC3-Slave</t>
  </si>
  <si>
    <t>OFSAAS-DC01</t>
  </si>
  <si>
    <t>OFSAAS-DC02</t>
  </si>
  <si>
    <t>OFSAAS-EX01</t>
  </si>
  <si>
    <t>OFSAAS-EX02</t>
  </si>
  <si>
    <t>OFSAAS-RP01</t>
  </si>
  <si>
    <t>OFSAAS-RP02</t>
  </si>
  <si>
    <t>OFSAAS-SA01</t>
  </si>
  <si>
    <t>OFSAAS-SA02</t>
  </si>
  <si>
    <t>OFSAAS-OO01</t>
  </si>
  <si>
    <t>OFSAAS-QM01</t>
  </si>
  <si>
    <t>OFSAAS-MP01</t>
  </si>
  <si>
    <t>OFSAAS-MP02</t>
  </si>
  <si>
    <t>Microsoft Windows Server 2019 Standard</t>
  </si>
  <si>
    <t>Kaspersky Endpoint Security for Windows Server</t>
  </si>
  <si>
    <t>Microsoft Windows Server 2022 Standard</t>
  </si>
  <si>
    <t>Kaspersky Endpoint Security for Linux</t>
  </si>
  <si>
    <t>Microsoft Windows Server 2016 Standard</t>
  </si>
  <si>
    <t>Microsoft Office Online Server 2016</t>
  </si>
  <si>
    <t>MachPanel Automation Module for Microsoft Exchange</t>
  </si>
  <si>
    <t>ExchgEntSAL ALNG LicSAPk MVL</t>
  </si>
  <si>
    <t>ExchgStdSAL ALNG LicSAPk MVL</t>
  </si>
  <si>
    <t>Кол-во</t>
  </si>
  <si>
    <t>Тип лицензии</t>
  </si>
  <si>
    <t>Технические лицензии</t>
  </si>
  <si>
    <t>Ресурсы под инсталяцию</t>
  </si>
  <si>
    <t>MachPanel</t>
  </si>
  <si>
    <t>Почтовый ящик Standart 10 GB</t>
  </si>
  <si>
    <t>Почтовый ящик Standart 5 GB</t>
  </si>
  <si>
    <t>Почтовый ящик Standart 25 GB</t>
  </si>
  <si>
    <t>Почтовый ящик Standart 40 GB</t>
  </si>
  <si>
    <t>Почтовый ящик Standart 50 GB</t>
  </si>
  <si>
    <t>Почтовый ящик Enterprise 10 GB</t>
  </si>
  <si>
    <t>Почтовый ящик Enterprise 5 GB</t>
  </si>
  <si>
    <t>Почтовый ящик Enterprise 25 GB</t>
  </si>
  <si>
    <t>Почтовый ящик Enterprise 40 GB</t>
  </si>
  <si>
    <t>Почтовый ящик Enterprise 50 GB</t>
  </si>
  <si>
    <t>Стоимость инфры</t>
  </si>
  <si>
    <t>2000 - кол-во email купленных в рамках лицензии MaxhPanel</t>
  </si>
  <si>
    <t>Стоимость ресусров на 1 email из 2000-х тысячной инсталяции</t>
  </si>
  <si>
    <t>Стоимость лицензии на 1 email из 2000-х тысячной инсталяции</t>
  </si>
  <si>
    <t>Было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</si>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</sst>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_р_._-;\-* #,##0.00_р_._-;_-* &quot;-&quot;??_р_._-;_-@_-"/>
    <numFmt numFmtId="165" formatCode="&quot;$&quot;#,##0_);\(&quot;$&quot;#,##0\)"/>
    <numFmt numFmtId="166" formatCode="_(* #,##0.00_);_(* \(#,##0.00\);_(* &quot;-&quot;??_);_(@_)"/>
    <numFmt numFmtId="167" formatCode="_-* #,##0_р_._-;\-* #,##0_р_._-;_-* &quot;-&quot;??_р_._-;_-@_-"/>
    <numFmt numFmtId="168" formatCode="0.0%"/>
    <numFmt numFmtId="169" formatCode="[$-409]mmm\-yy;@"/>
    <numFmt numFmtId="170" formatCode="#,##0_ ;[Red]\-#,##0\ "/>
    <numFmt numFmtId="171" formatCode="mmmm\ &quot;$&quot;\,\ yyyy"/>
    <numFmt numFmtId="172" formatCode="0.0000"/>
    <numFmt numFmtId="173" formatCode="#,##0&quot;р.&quot;"/>
    <numFmt numFmtId="174" formatCode="#,##0.00_ ;[Red]\-#,##0.00\ "/>
    <numFmt numFmtId="175" formatCode="#,##0.00\ &quot;₽&quot;"/>
    <numFmt numFmtId="176" formatCode="_-[$$-409]* #,##0.00_ ;_-[$$-409]* \-#,##0.00\ ;_-[$$-409]* &quot;-&quot;??_ ;_-@_ "/>
    <numFmt numFmtId="177" formatCode="_-[$£-809]* #,##0.00_-;\-[$£-809]* #,##0.00_-;_-[$£-809]* &quot;-&quot;??_-;_-@_-"/>
  </numFmts>
  <fonts count="69">
    <font>
      <sz val="10"/>
      <name val="Arial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Helv"/>
      <charset val="204"/>
    </font>
    <font>
      <sz val="10"/>
      <name val="Arial Cyr"/>
      <charset val="204"/>
    </font>
    <font>
      <sz val="10"/>
      <name val="MS Sans Serif"/>
      <family val="2"/>
      <charset val="204"/>
    </font>
    <font>
      <sz val="10"/>
      <name val="Helv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12"/>
      <name val="Arial"/>
      <family val="2"/>
      <charset val="204"/>
    </font>
    <font>
      <b/>
      <sz val="12"/>
      <color rgb="FF808080"/>
      <name val="Arial"/>
      <family val="2"/>
      <charset val="204"/>
    </font>
    <font>
      <b/>
      <sz val="12"/>
      <color rgb="FF000000"/>
      <name val="Arial"/>
      <family val="2"/>
      <charset val="204"/>
    </font>
    <font>
      <i/>
      <sz val="12"/>
      <name val="Arial"/>
      <family val="2"/>
      <charset val="204"/>
    </font>
    <font>
      <b/>
      <sz val="12"/>
      <color rgb="FFFFFFFF"/>
      <name val="Arial"/>
      <family val="2"/>
      <charset val="204"/>
    </font>
    <font>
      <sz val="12"/>
      <color rgb="FFFFFFFF"/>
      <name val="Arial"/>
      <family val="2"/>
      <charset val="204"/>
    </font>
    <font>
      <sz val="12"/>
      <color rgb="FF00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u/>
      <sz val="12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  <font>
      <sz val="16"/>
      <color rgb="FF0070C0"/>
      <name val="Calibri"/>
      <family val="2"/>
      <charset val="204"/>
      <scheme val="minor"/>
    </font>
    <font>
      <sz val="10"/>
      <color theme="0" tint="-0.34998626667073579"/>
      <name val="Calibri"/>
      <family val="2"/>
      <charset val="204"/>
      <scheme val="minor"/>
    </font>
    <font>
      <b/>
      <u/>
      <sz val="24"/>
      <color rgb="FFE30611"/>
      <name val="Calibri"/>
      <family val="2"/>
      <charset val="204"/>
      <scheme val="minor"/>
    </font>
    <font>
      <b/>
      <sz val="16"/>
      <color rgb="FFE30611"/>
      <name val="Calibri"/>
      <family val="2"/>
      <charset val="204"/>
      <scheme val="minor"/>
    </font>
    <font>
      <sz val="11"/>
      <color rgb="FFE30611"/>
      <name val="Calibri"/>
      <family val="2"/>
      <charset val="204"/>
      <scheme val="minor"/>
    </font>
    <font>
      <sz val="14"/>
      <color rgb="FFE30611"/>
      <name val="Calibri"/>
      <family val="2"/>
      <charset val="204"/>
      <scheme val="minor"/>
    </font>
    <font>
      <sz val="20"/>
      <color rgb="FF0070C0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1"/>
      <color theme="0" tint="-0.499984740745262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sz val="14"/>
      <color rgb="FFE306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8"/>
      <color theme="0" tint="-0.499984740745262"/>
      <name val="Arial"/>
      <family val="2"/>
      <charset val="204"/>
    </font>
    <font>
      <b/>
      <u/>
      <sz val="20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sz val="11"/>
      <color rgb="FF1F497D"/>
      <name val="Calibri"/>
      <family val="2"/>
      <charset val="204"/>
    </font>
    <font>
      <b/>
      <i/>
      <u/>
      <sz val="14"/>
      <name val="Calibri"/>
      <family val="2"/>
      <charset val="204"/>
      <scheme val="minor"/>
    </font>
    <font>
      <b/>
      <i/>
      <u/>
      <sz val="11"/>
      <name val="Calibri"/>
      <family val="2"/>
      <charset val="204"/>
      <scheme val="minor"/>
    </font>
    <font>
      <i/>
      <u/>
      <sz val="1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E30611"/>
        <bgColor rgb="FF000000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4">
    <xf numFmtId="0" fontId="0" fillId="0" borderId="0"/>
    <xf numFmtId="0" fontId="3" fillId="0" borderId="0"/>
    <xf numFmtId="0" fontId="6" fillId="0" borderId="0"/>
    <xf numFmtId="0" fontId="6" fillId="0" borderId="0"/>
    <xf numFmtId="166" fontId="2" fillId="0" borderId="0" applyFont="0" applyFill="0" applyBorder="0" applyAlignment="0" applyProtection="0"/>
    <xf numFmtId="37" fontId="2" fillId="0" borderId="0" applyFill="0" applyBorder="0" applyAlignment="0" applyProtection="0"/>
    <xf numFmtId="165" fontId="2" fillId="0" borderId="0" applyFill="0" applyBorder="0" applyAlignment="0" applyProtection="0"/>
    <xf numFmtId="171" fontId="2" fillId="0" borderId="0" applyFill="0" applyBorder="0" applyAlignment="0" applyProtection="0"/>
    <xf numFmtId="2" fontId="2" fillId="0" borderId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5" fillId="0" borderId="0"/>
    <xf numFmtId="0" fontId="2" fillId="0" borderId="1" applyNumberFormat="0" applyFill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9" fillId="0" borderId="0"/>
    <xf numFmtId="0" fontId="9" fillId="0" borderId="0"/>
    <xf numFmtId="0" fontId="1" fillId="0" borderId="0"/>
    <xf numFmtId="0" fontId="21" fillId="0" borderId="0"/>
  </cellStyleXfs>
  <cellXfs count="419">
    <xf numFmtId="0" fontId="0" fillId="0" borderId="0" xfId="0"/>
    <xf numFmtId="0" fontId="8" fillId="0" borderId="2" xfId="21" applyFont="1" applyBorder="1" applyAlignment="1">
      <alignment horizontal="center"/>
    </xf>
    <xf numFmtId="0" fontId="11" fillId="0" borderId="0" xfId="21" applyFont="1"/>
    <xf numFmtId="0" fontId="11" fillId="0" borderId="0" xfId="21" applyFont="1" applyAlignment="1">
      <alignment horizontal="left"/>
    </xf>
    <xf numFmtId="49" fontId="12" fillId="0" borderId="0" xfId="11" applyNumberFormat="1" applyFont="1" applyAlignment="1">
      <alignment horizontal="center" vertical="center"/>
    </xf>
    <xf numFmtId="1" fontId="13" fillId="0" borderId="0" xfId="11" applyNumberFormat="1" applyFont="1" applyAlignment="1">
      <alignment horizontal="center" vertical="center"/>
    </xf>
    <xf numFmtId="0" fontId="11" fillId="0" borderId="0" xfId="21" applyFont="1" applyAlignment="1">
      <alignment horizontal="justify" vertical="top" wrapText="1"/>
    </xf>
    <xf numFmtId="0" fontId="14" fillId="0" borderId="0" xfId="21" applyFont="1" applyAlignment="1">
      <alignment horizontal="center" vertical="top" wrapText="1"/>
    </xf>
    <xf numFmtId="3" fontId="11" fillId="0" borderId="0" xfId="21" applyNumberFormat="1" applyFont="1"/>
    <xf numFmtId="0" fontId="17" fillId="0" borderId="0" xfId="21" applyFont="1" applyAlignment="1">
      <alignment horizontal="left"/>
    </xf>
    <xf numFmtId="10" fontId="11" fillId="0" borderId="0" xfId="21" applyNumberFormat="1" applyFont="1"/>
    <xf numFmtId="0" fontId="8" fillId="0" borderId="0" xfId="21" applyFont="1" applyAlignment="1">
      <alignment horizontal="left"/>
    </xf>
    <xf numFmtId="0" fontId="8" fillId="0" borderId="0" xfId="21" applyFont="1"/>
    <xf numFmtId="0" fontId="11" fillId="0" borderId="2" xfId="21" applyFont="1" applyBorder="1" applyAlignment="1">
      <alignment horizontal="justify" vertical="center" wrapText="1"/>
    </xf>
    <xf numFmtId="0" fontId="8" fillId="0" borderId="2" xfId="21" applyFont="1" applyBorder="1" applyAlignment="1">
      <alignment horizontal="justify" vertical="center" wrapText="1"/>
    </xf>
    <xf numFmtId="0" fontId="8" fillId="0" borderId="2" xfId="21" applyFont="1" applyBorder="1" applyAlignment="1">
      <alignment horizontal="left" vertical="center" wrapText="1"/>
    </xf>
    <xf numFmtId="0" fontId="15" fillId="2" borderId="2" xfId="21" applyFont="1" applyFill="1" applyBorder="1" applyAlignment="1">
      <alignment horizontal="center" vertical="center" wrapText="1"/>
    </xf>
    <xf numFmtId="0" fontId="16" fillId="2" borderId="2" xfId="21" applyFont="1" applyFill="1" applyBorder="1" applyAlignment="1">
      <alignment horizontal="center" vertical="center" wrapText="1"/>
    </xf>
    <xf numFmtId="1" fontId="15" fillId="2" borderId="2" xfId="21" applyNumberFormat="1" applyFont="1" applyFill="1" applyBorder="1" applyAlignment="1">
      <alignment horizontal="center" vertical="center"/>
    </xf>
    <xf numFmtId="49" fontId="15" fillId="2" borderId="2" xfId="21" applyNumberFormat="1" applyFont="1" applyFill="1" applyBorder="1" applyAlignment="1">
      <alignment horizontal="center" vertical="center"/>
    </xf>
    <xf numFmtId="0" fontId="11" fillId="0" borderId="2" xfId="21" applyFont="1" applyBorder="1" applyAlignment="1">
      <alignment horizontal="center" vertical="center" wrapText="1"/>
    </xf>
    <xf numFmtId="0" fontId="11" fillId="0" borderId="2" xfId="21" applyFont="1" applyBorder="1" applyAlignment="1">
      <alignment horizontal="left" vertical="center" wrapText="1"/>
    </xf>
    <xf numFmtId="0" fontId="11" fillId="3" borderId="2" xfId="21" applyFont="1" applyFill="1" applyBorder="1" applyAlignment="1">
      <alignment horizontal="center" vertical="center" wrapText="1"/>
    </xf>
    <xf numFmtId="0" fontId="8" fillId="3" borderId="2" xfId="21" applyFont="1" applyFill="1" applyBorder="1" applyAlignment="1">
      <alignment horizontal="justify" vertical="center" wrapText="1"/>
    </xf>
    <xf numFmtId="0" fontId="8" fillId="3" borderId="2" xfId="21" applyFont="1" applyFill="1" applyBorder="1" applyAlignment="1">
      <alignment horizontal="center" vertical="center" wrapText="1"/>
    </xf>
    <xf numFmtId="0" fontId="11" fillId="3" borderId="2" xfId="21" applyFont="1" applyFill="1" applyBorder="1" applyAlignment="1">
      <alignment horizontal="justify" vertical="center" wrapText="1"/>
    </xf>
    <xf numFmtId="0" fontId="11" fillId="3" borderId="2" xfId="21" applyFont="1" applyFill="1" applyBorder="1" applyAlignment="1">
      <alignment horizontal="left" vertical="center" wrapText="1"/>
    </xf>
    <xf numFmtId="3" fontId="11" fillId="0" borderId="2" xfId="21" applyNumberFormat="1" applyFont="1" applyBorder="1" applyAlignment="1">
      <alignment vertical="center"/>
    </xf>
    <xf numFmtId="3" fontId="8" fillId="0" borderId="2" xfId="21" applyNumberFormat="1" applyFont="1" applyBorder="1" applyAlignment="1">
      <alignment vertical="center"/>
    </xf>
    <xf numFmtId="0" fontId="11" fillId="0" borderId="0" xfId="21" applyFont="1" applyAlignment="1">
      <alignment vertical="center"/>
    </xf>
    <xf numFmtId="3" fontId="11" fillId="3" borderId="2" xfId="21" applyNumberFormat="1" applyFont="1" applyFill="1" applyBorder="1" applyAlignment="1">
      <alignment vertical="center"/>
    </xf>
    <xf numFmtId="3" fontId="8" fillId="3" borderId="2" xfId="21" applyNumberFormat="1" applyFont="1" applyFill="1" applyBorder="1" applyAlignment="1">
      <alignment vertical="center"/>
    </xf>
    <xf numFmtId="0" fontId="8" fillId="0" borderId="0" xfId="21" applyFont="1" applyAlignment="1">
      <alignment vertical="center"/>
    </xf>
    <xf numFmtId="0" fontId="17" fillId="0" borderId="2" xfId="21" applyFont="1" applyBorder="1" applyAlignment="1">
      <alignment vertical="center" wrapText="1"/>
    </xf>
    <xf numFmtId="0" fontId="17" fillId="3" borderId="2" xfId="21" applyFont="1" applyFill="1" applyBorder="1" applyAlignment="1">
      <alignment vertical="center" wrapText="1"/>
    </xf>
    <xf numFmtId="0" fontId="13" fillId="3" borderId="2" xfId="21" applyFont="1" applyFill="1" applyBorder="1" applyAlignment="1">
      <alignment vertical="center" wrapText="1"/>
    </xf>
    <xf numFmtId="3" fontId="11" fillId="0" borderId="2" xfId="21" applyNumberFormat="1" applyFont="1" applyBorder="1" applyAlignment="1">
      <alignment horizontal="left" vertical="center" wrapText="1"/>
    </xf>
    <xf numFmtId="0" fontId="14" fillId="0" borderId="2" xfId="21" applyFont="1" applyBorder="1" applyAlignment="1">
      <alignment horizontal="center" vertical="center" wrapText="1"/>
    </xf>
    <xf numFmtId="168" fontId="11" fillId="0" borderId="2" xfId="21" applyNumberFormat="1" applyFont="1" applyBorder="1" applyAlignment="1">
      <alignment vertical="center"/>
    </xf>
    <xf numFmtId="0" fontId="14" fillId="3" borderId="2" xfId="21" applyFont="1" applyFill="1" applyBorder="1" applyAlignment="1">
      <alignment horizontal="center" vertical="center" wrapText="1"/>
    </xf>
    <xf numFmtId="170" fontId="11" fillId="3" borderId="2" xfId="21" applyNumberFormat="1" applyFont="1" applyFill="1" applyBorder="1" applyAlignment="1">
      <alignment vertical="center"/>
    </xf>
    <xf numFmtId="9" fontId="11" fillId="0" borderId="2" xfId="17" applyFont="1" applyFill="1" applyBorder="1" applyAlignment="1">
      <alignment vertical="center"/>
    </xf>
    <xf numFmtId="0" fontId="14" fillId="0" borderId="2" xfId="21" applyFont="1" applyBorder="1" applyAlignment="1">
      <alignment vertical="center"/>
    </xf>
    <xf numFmtId="170" fontId="11" fillId="0" borderId="2" xfId="21" applyNumberFormat="1" applyFont="1" applyBorder="1" applyAlignment="1">
      <alignment vertical="center"/>
    </xf>
    <xf numFmtId="0" fontId="11" fillId="0" borderId="2" xfId="21" applyFont="1" applyBorder="1" applyAlignment="1">
      <alignment vertical="center"/>
    </xf>
    <xf numFmtId="0" fontId="22" fillId="0" borderId="0" xfId="12" applyFont="1"/>
    <xf numFmtId="0" fontId="24" fillId="0" borderId="0" xfId="12" applyFont="1" applyAlignment="1">
      <alignment wrapText="1"/>
    </xf>
    <xf numFmtId="0" fontId="24" fillId="0" borderId="0" xfId="12" applyFont="1" applyAlignment="1">
      <alignment vertical="center" wrapText="1"/>
    </xf>
    <xf numFmtId="0" fontId="27" fillId="0" borderId="0" xfId="12" applyFont="1"/>
    <xf numFmtId="0" fontId="25" fillId="0" borderId="0" xfId="12" applyFont="1"/>
    <xf numFmtId="0" fontId="26" fillId="0" borderId="0" xfId="12" applyFont="1"/>
    <xf numFmtId="0" fontId="31" fillId="0" borderId="0" xfId="12" applyFont="1" applyAlignment="1">
      <alignment wrapText="1"/>
    </xf>
    <xf numFmtId="0" fontId="31" fillId="0" borderId="0" xfId="12" applyFont="1" applyAlignment="1">
      <alignment vertical="center" wrapText="1"/>
    </xf>
    <xf numFmtId="10" fontId="25" fillId="0" borderId="0" xfId="12" applyNumberFormat="1" applyFont="1" applyAlignment="1">
      <alignment horizontal="right" vertical="center" shrinkToFit="1"/>
    </xf>
    <xf numFmtId="0" fontId="25" fillId="0" borderId="0" xfId="12" applyFont="1" applyAlignment="1">
      <alignment vertical="center"/>
    </xf>
    <xf numFmtId="0" fontId="31" fillId="0" borderId="0" xfId="12" applyFont="1" applyAlignment="1">
      <alignment vertical="center"/>
    </xf>
    <xf numFmtId="0" fontId="25" fillId="0" borderId="0" xfId="12" applyFont="1" applyAlignment="1">
      <alignment vertical="center" wrapText="1"/>
    </xf>
    <xf numFmtId="168" fontId="25" fillId="0" borderId="0" xfId="12" applyNumberFormat="1" applyFont="1" applyAlignment="1">
      <alignment vertical="center"/>
    </xf>
    <xf numFmtId="0" fontId="31" fillId="0" borderId="0" xfId="12" applyFont="1"/>
    <xf numFmtId="168" fontId="25" fillId="0" borderId="0" xfId="12" applyNumberFormat="1" applyFont="1" applyAlignment="1">
      <alignment horizontal="right" vertical="center" shrinkToFit="1"/>
    </xf>
    <xf numFmtId="0" fontId="25" fillId="0" borderId="0" xfId="11" applyFont="1" applyAlignment="1">
      <alignment vertical="center" wrapText="1"/>
    </xf>
    <xf numFmtId="0" fontId="25" fillId="0" borderId="0" xfId="11" applyFont="1" applyAlignment="1">
      <alignment horizontal="left" vertical="center" wrapText="1"/>
    </xf>
    <xf numFmtId="0" fontId="25" fillId="0" borderId="0" xfId="11" applyFont="1" applyAlignment="1">
      <alignment vertical="center"/>
    </xf>
    <xf numFmtId="0" fontId="34" fillId="0" borderId="0" xfId="11" applyFont="1"/>
    <xf numFmtId="0" fontId="35" fillId="0" borderId="0" xfId="21" applyFont="1"/>
    <xf numFmtId="167" fontId="35" fillId="0" borderId="0" xfId="18" applyNumberFormat="1" applyFont="1" applyBorder="1" applyAlignment="1">
      <alignment horizontal="right" wrapText="1"/>
    </xf>
    <xf numFmtId="0" fontId="32" fillId="0" borderId="0" xfId="11" applyFont="1" applyAlignment="1">
      <alignment vertical="center"/>
    </xf>
    <xf numFmtId="0" fontId="25" fillId="0" borderId="0" xfId="11" applyFont="1" applyAlignment="1">
      <alignment horizontal="left" vertical="center"/>
    </xf>
    <xf numFmtId="0" fontId="33" fillId="0" borderId="0" xfId="11" applyFont="1" applyAlignment="1">
      <alignment vertical="center"/>
    </xf>
    <xf numFmtId="0" fontId="32" fillId="0" borderId="0" xfId="11" applyFont="1"/>
    <xf numFmtId="0" fontId="34" fillId="0" borderId="0" xfId="11" applyFont="1" applyAlignment="1">
      <alignment vertical="center"/>
    </xf>
    <xf numFmtId="0" fontId="25" fillId="0" borderId="0" xfId="12" applyFont="1" applyAlignment="1">
      <alignment horizontal="center" vertical="center"/>
    </xf>
    <xf numFmtId="0" fontId="41" fillId="0" borderId="0" xfId="14" applyFont="1"/>
    <xf numFmtId="166" fontId="42" fillId="0" borderId="0" xfId="4" applyFont="1" applyFill="1" applyBorder="1" applyAlignment="1">
      <alignment wrapText="1"/>
    </xf>
    <xf numFmtId="0" fontId="28" fillId="0" borderId="0" xfId="14" applyFont="1"/>
    <xf numFmtId="3" fontId="28" fillId="0" borderId="0" xfId="14" applyNumberFormat="1" applyFont="1"/>
    <xf numFmtId="3" fontId="29" fillId="0" borderId="0" xfId="0" applyNumberFormat="1" applyFont="1" applyAlignment="1">
      <alignment horizontal="left"/>
    </xf>
    <xf numFmtId="3" fontId="28" fillId="0" borderId="0" xfId="0" applyNumberFormat="1" applyFont="1" applyAlignment="1">
      <alignment horizontal="center" vertical="center"/>
    </xf>
    <xf numFmtId="3" fontId="28" fillId="0" borderId="0" xfId="4" applyNumberFormat="1" applyFont="1" applyFill="1" applyBorder="1" applyAlignment="1">
      <alignment vertical="center"/>
    </xf>
    <xf numFmtId="3" fontId="29" fillId="0" borderId="2" xfId="4" applyNumberFormat="1" applyFont="1" applyFill="1" applyBorder="1" applyAlignment="1">
      <alignment vertical="center"/>
    </xf>
    <xf numFmtId="3" fontId="28" fillId="0" borderId="0" xfId="13" applyNumberFormat="1" applyFont="1"/>
    <xf numFmtId="3" fontId="28" fillId="0" borderId="0" xfId="18" applyNumberFormat="1" applyFont="1" applyAlignment="1">
      <alignment vertical="center"/>
    </xf>
    <xf numFmtId="3" fontId="28" fillId="0" borderId="0" xfId="19" applyNumberFormat="1" applyFont="1" applyFill="1" applyBorder="1" applyAlignment="1"/>
    <xf numFmtId="3" fontId="28" fillId="0" borderId="0" xfId="19" applyNumberFormat="1" applyFont="1" applyFill="1" applyBorder="1" applyAlignment="1">
      <alignment wrapText="1"/>
    </xf>
    <xf numFmtId="3" fontId="28" fillId="0" borderId="0" xfId="18" applyNumberFormat="1" applyFont="1" applyFill="1" applyBorder="1" applyAlignment="1">
      <alignment vertical="center"/>
    </xf>
    <xf numFmtId="164" fontId="28" fillId="0" borderId="0" xfId="18" applyFont="1" applyAlignment="1">
      <alignment vertical="center"/>
    </xf>
    <xf numFmtId="167" fontId="29" fillId="0" borderId="0" xfId="19" applyNumberFormat="1" applyFont="1" applyFill="1" applyBorder="1" applyAlignment="1"/>
    <xf numFmtId="164" fontId="28" fillId="0" borderId="0" xfId="18" applyFont="1" applyFill="1" applyBorder="1" applyAlignment="1">
      <alignment vertical="center"/>
    </xf>
    <xf numFmtId="167" fontId="28" fillId="0" borderId="0" xfId="18" applyNumberFormat="1" applyFont="1" applyFill="1" applyBorder="1" applyAlignment="1">
      <alignment vertical="center"/>
    </xf>
    <xf numFmtId="0" fontId="41" fillId="0" borderId="0" xfId="0" applyFont="1" applyAlignment="1">
      <alignment horizontal="right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167" fontId="28" fillId="0" borderId="0" xfId="18" applyNumberFormat="1" applyFont="1" applyAlignment="1">
      <alignment horizont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/>
    </xf>
    <xf numFmtId="3" fontId="29" fillId="0" borderId="8" xfId="4" applyNumberFormat="1" applyFont="1" applyFill="1" applyBorder="1" applyAlignment="1">
      <alignment vertical="center"/>
    </xf>
    <xf numFmtId="0" fontId="28" fillId="0" borderId="0" xfId="0" applyFont="1" applyAlignment="1">
      <alignment wrapText="1"/>
    </xf>
    <xf numFmtId="0" fontId="28" fillId="0" borderId="3" xfId="0" applyFont="1" applyBorder="1"/>
    <xf numFmtId="0" fontId="28" fillId="0" borderId="3" xfId="0" applyFont="1" applyBorder="1" applyAlignment="1">
      <alignment horizontal="center"/>
    </xf>
    <xf numFmtId="3" fontId="28" fillId="0" borderId="3" xfId="4" applyNumberFormat="1" applyFont="1" applyFill="1" applyBorder="1" applyAlignment="1">
      <alignment vertical="center"/>
    </xf>
    <xf numFmtId="3" fontId="29" fillId="0" borderId="7" xfId="4" applyNumberFormat="1" applyFont="1" applyFill="1" applyBorder="1" applyAlignment="1">
      <alignment vertical="center"/>
    </xf>
    <xf numFmtId="0" fontId="28" fillId="0" borderId="3" xfId="0" applyFont="1" applyBorder="1" applyAlignment="1">
      <alignment horizontal="left"/>
    </xf>
    <xf numFmtId="167" fontId="28" fillId="0" borderId="0" xfId="18" applyNumberFormat="1" applyFont="1"/>
    <xf numFmtId="167" fontId="28" fillId="0" borderId="0" xfId="18" applyNumberFormat="1" applyFont="1" applyBorder="1"/>
    <xf numFmtId="167" fontId="28" fillId="0" borderId="0" xfId="18" applyNumberFormat="1" applyFont="1" applyFill="1" applyBorder="1"/>
    <xf numFmtId="3" fontId="28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0" fontId="38" fillId="0" borderId="0" xfId="0" applyFont="1"/>
    <xf numFmtId="0" fontId="28" fillId="0" borderId="11" xfId="0" applyFont="1" applyBorder="1"/>
    <xf numFmtId="0" fontId="28" fillId="0" borderId="12" xfId="0" applyFont="1" applyBorder="1"/>
    <xf numFmtId="0" fontId="28" fillId="0" borderId="10" xfId="0" applyFont="1" applyBorder="1"/>
    <xf numFmtId="167" fontId="28" fillId="0" borderId="4" xfId="18" applyNumberFormat="1" applyFont="1" applyBorder="1"/>
    <xf numFmtId="3" fontId="20" fillId="0" borderId="3" xfId="23" applyNumberFormat="1" applyFont="1" applyBorder="1" applyAlignment="1">
      <alignment vertical="center"/>
    </xf>
    <xf numFmtId="3" fontId="20" fillId="0" borderId="3" xfId="23" applyNumberFormat="1" applyFont="1" applyBorder="1" applyAlignment="1">
      <alignment horizontal="center" vertical="center"/>
    </xf>
    <xf numFmtId="0" fontId="20" fillId="0" borderId="0" xfId="0" applyFont="1"/>
    <xf numFmtId="167" fontId="28" fillId="0" borderId="2" xfId="18" applyNumberFormat="1" applyFont="1" applyBorder="1"/>
    <xf numFmtId="0" fontId="45" fillId="0" borderId="0" xfId="0" applyFont="1"/>
    <xf numFmtId="0" fontId="29" fillId="0" borderId="0" xfId="0" applyFont="1"/>
    <xf numFmtId="0" fontId="46" fillId="0" borderId="0" xfId="0" applyFont="1" applyAlignment="1">
      <alignment horizontal="center" wrapText="1"/>
    </xf>
    <xf numFmtId="0" fontId="47" fillId="0" borderId="0" xfId="0" applyFont="1" applyAlignment="1">
      <alignment horizontal="center" wrapText="1"/>
    </xf>
    <xf numFmtId="167" fontId="28" fillId="0" borderId="13" xfId="18" applyNumberFormat="1" applyFont="1" applyBorder="1"/>
    <xf numFmtId="3" fontId="29" fillId="0" borderId="0" xfId="18" applyNumberFormat="1" applyFont="1" applyBorder="1" applyAlignment="1">
      <alignment horizontal="right"/>
    </xf>
    <xf numFmtId="167" fontId="28" fillId="0" borderId="8" xfId="18" applyNumberFormat="1" applyFont="1" applyBorder="1"/>
    <xf numFmtId="9" fontId="28" fillId="0" borderId="0" xfId="17" applyFont="1" applyBorder="1"/>
    <xf numFmtId="0" fontId="28" fillId="0" borderId="8" xfId="0" applyFont="1" applyBorder="1"/>
    <xf numFmtId="0" fontId="28" fillId="0" borderId="7" xfId="0" applyFont="1" applyBorder="1"/>
    <xf numFmtId="3" fontId="29" fillId="0" borderId="0" xfId="23" applyNumberFormat="1" applyFont="1" applyAlignment="1">
      <alignment vertical="center"/>
    </xf>
    <xf numFmtId="10" fontId="28" fillId="0" borderId="0" xfId="17" applyNumberFormat="1" applyFont="1" applyBorder="1"/>
    <xf numFmtId="3" fontId="28" fillId="0" borderId="0" xfId="18" applyNumberFormat="1" applyFont="1" applyBorder="1" applyAlignment="1">
      <alignment horizontal="right"/>
    </xf>
    <xf numFmtId="1" fontId="28" fillId="0" borderId="0" xfId="18" applyNumberFormat="1" applyFont="1"/>
    <xf numFmtId="3" fontId="28" fillId="5" borderId="0" xfId="0" applyNumberFormat="1" applyFont="1" applyFill="1"/>
    <xf numFmtId="3" fontId="23" fillId="0" borderId="0" xfId="0" applyNumberFormat="1" applyFont="1" applyAlignment="1">
      <alignment horizontal="left"/>
    </xf>
    <xf numFmtId="3" fontId="48" fillId="0" borderId="0" xfId="0" applyNumberFormat="1" applyFont="1" applyAlignment="1">
      <alignment horizontal="left"/>
    </xf>
    <xf numFmtId="3" fontId="28" fillId="5" borderId="0" xfId="23" applyNumberFormat="1" applyFont="1" applyFill="1" applyAlignment="1">
      <alignment vertical="center"/>
    </xf>
    <xf numFmtId="3" fontId="28" fillId="5" borderId="0" xfId="23" applyNumberFormat="1" applyFont="1" applyFill="1" applyAlignment="1">
      <alignment horizontal="center" vertical="center"/>
    </xf>
    <xf numFmtId="0" fontId="28" fillId="0" borderId="13" xfId="0" applyFont="1" applyBorder="1"/>
    <xf numFmtId="3" fontId="29" fillId="0" borderId="8" xfId="0" applyNumberFormat="1" applyFont="1" applyBorder="1"/>
    <xf numFmtId="3" fontId="29" fillId="5" borderId="8" xfId="0" applyNumberFormat="1" applyFont="1" applyFill="1" applyBorder="1"/>
    <xf numFmtId="167" fontId="29" fillId="0" borderId="8" xfId="18" applyNumberFormat="1" applyFont="1" applyBorder="1"/>
    <xf numFmtId="3" fontId="28" fillId="0" borderId="0" xfId="18" applyNumberFormat="1" applyFont="1" applyBorder="1"/>
    <xf numFmtId="1" fontId="28" fillId="0" borderId="0" xfId="18" applyNumberFormat="1" applyFont="1" applyBorder="1"/>
    <xf numFmtId="0" fontId="28" fillId="0" borderId="0" xfId="0" applyFont="1" applyAlignment="1">
      <alignment horizontal="center" vertical="center"/>
    </xf>
    <xf numFmtId="164" fontId="29" fillId="0" borderId="0" xfId="18" applyFont="1" applyBorder="1"/>
    <xf numFmtId="164" fontId="28" fillId="0" borderId="0" xfId="18" applyFont="1" applyBorder="1" applyAlignment="1">
      <alignment horizontal="center" vertical="center"/>
    </xf>
    <xf numFmtId="164" fontId="28" fillId="0" borderId="0" xfId="18" applyFont="1" applyBorder="1"/>
    <xf numFmtId="0" fontId="23" fillId="0" borderId="0" xfId="0" applyFont="1"/>
    <xf numFmtId="0" fontId="48" fillId="0" borderId="0" xfId="0" applyFont="1"/>
    <xf numFmtId="3" fontId="28" fillId="0" borderId="0" xfId="18" applyNumberFormat="1" applyFont="1" applyFill="1" applyBorder="1" applyAlignment="1">
      <alignment horizontal="right"/>
    </xf>
    <xf numFmtId="4" fontId="28" fillId="0" borderId="0" xfId="0" applyNumberFormat="1" applyFont="1"/>
    <xf numFmtId="0" fontId="48" fillId="0" borderId="0" xfId="0" applyFont="1" applyAlignment="1">
      <alignment horizontal="left" indent="3"/>
    </xf>
    <xf numFmtId="0" fontId="45" fillId="0" borderId="0" xfId="0" applyFont="1" applyAlignment="1">
      <alignment horizontal="center" vertical="center"/>
    </xf>
    <xf numFmtId="0" fontId="29" fillId="0" borderId="13" xfId="0" applyFont="1" applyBorder="1"/>
    <xf numFmtId="3" fontId="29" fillId="0" borderId="8" xfId="18" applyNumberFormat="1" applyFont="1" applyBorder="1" applyAlignment="1">
      <alignment horizontal="right"/>
    </xf>
    <xf numFmtId="4" fontId="28" fillId="0" borderId="8" xfId="0" applyNumberFormat="1" applyFont="1" applyBorder="1"/>
    <xf numFmtId="0" fontId="49" fillId="0" borderId="0" xfId="21" applyFont="1" applyAlignment="1">
      <alignment horizontal="center" vertical="top"/>
    </xf>
    <xf numFmtId="0" fontId="36" fillId="0" borderId="0" xfId="11" applyFont="1" applyAlignment="1">
      <alignment vertical="center" wrapText="1"/>
    </xf>
    <xf numFmtId="0" fontId="32" fillId="0" borderId="14" xfId="11" applyFont="1" applyBorder="1" applyAlignment="1">
      <alignment horizontal="right" vertical="center"/>
    </xf>
    <xf numFmtId="0" fontId="36" fillId="0" borderId="15" xfId="11" applyFont="1" applyBorder="1" applyAlignment="1">
      <alignment vertical="center" wrapText="1"/>
    </xf>
    <xf numFmtId="0" fontId="25" fillId="0" borderId="16" xfId="11" applyFont="1" applyBorder="1" applyAlignment="1">
      <alignment vertical="center"/>
    </xf>
    <xf numFmtId="0" fontId="25" fillId="0" borderId="17" xfId="11" applyFont="1" applyBorder="1" applyAlignment="1">
      <alignment vertical="center"/>
    </xf>
    <xf numFmtId="0" fontId="37" fillId="0" borderId="0" xfId="11" applyFont="1"/>
    <xf numFmtId="0" fontId="50" fillId="0" borderId="0" xfId="11" applyFont="1" applyAlignment="1">
      <alignment vertical="center"/>
    </xf>
    <xf numFmtId="0" fontId="51" fillId="0" borderId="0" xfId="11" applyFont="1" applyAlignment="1">
      <alignment vertical="center"/>
    </xf>
    <xf numFmtId="0" fontId="51" fillId="0" borderId="0" xfId="11" applyFont="1" applyAlignment="1">
      <alignment horizontal="left" vertical="center"/>
    </xf>
    <xf numFmtId="0" fontId="40" fillId="0" borderId="17" xfId="11" applyFont="1" applyBorder="1" applyAlignment="1">
      <alignment vertical="center"/>
    </xf>
    <xf numFmtId="0" fontId="32" fillId="0" borderId="16" xfId="11" applyFont="1" applyBorder="1"/>
    <xf numFmtId="0" fontId="53" fillId="0" borderId="0" xfId="11" applyFont="1" applyAlignment="1">
      <alignment horizontal="center" vertical="center"/>
    </xf>
    <xf numFmtId="0" fontId="34" fillId="0" borderId="17" xfId="11" applyFont="1" applyBorder="1" applyAlignment="1">
      <alignment vertical="center"/>
    </xf>
    <xf numFmtId="0" fontId="34" fillId="0" borderId="17" xfId="11" applyFont="1" applyBorder="1"/>
    <xf numFmtId="0" fontId="25" fillId="0" borderId="16" xfId="11" applyFont="1" applyBorder="1" applyAlignment="1">
      <alignment vertical="center" wrapText="1"/>
    </xf>
    <xf numFmtId="0" fontId="25" fillId="0" borderId="17" xfId="11" applyFont="1" applyBorder="1" applyAlignment="1">
      <alignment vertical="center" wrapText="1"/>
    </xf>
    <xf numFmtId="0" fontId="39" fillId="0" borderId="0" xfId="11" applyFont="1"/>
    <xf numFmtId="0" fontId="39" fillId="0" borderId="0" xfId="11" applyFont="1" applyAlignment="1">
      <alignment horizontal="center"/>
    </xf>
    <xf numFmtId="3" fontId="39" fillId="0" borderId="0" xfId="11" applyNumberFormat="1" applyFont="1" applyAlignment="1">
      <alignment horizontal="right"/>
    </xf>
    <xf numFmtId="0" fontId="25" fillId="0" borderId="18" xfId="11" applyFont="1" applyBorder="1" applyAlignment="1">
      <alignment vertical="center" wrapText="1"/>
    </xf>
    <xf numFmtId="0" fontId="25" fillId="0" borderId="19" xfId="11" applyFont="1" applyBorder="1" applyAlignment="1">
      <alignment vertical="center" wrapText="1"/>
    </xf>
    <xf numFmtId="0" fontId="25" fillId="0" borderId="19" xfId="11" applyFont="1" applyBorder="1" applyAlignment="1">
      <alignment horizontal="left" vertical="center" wrapText="1"/>
    </xf>
    <xf numFmtId="0" fontId="25" fillId="0" borderId="20" xfId="11" applyFont="1" applyBorder="1" applyAlignment="1">
      <alignment vertical="center" wrapText="1"/>
    </xf>
    <xf numFmtId="0" fontId="52" fillId="0" borderId="27" xfId="11" applyFont="1" applyBorder="1" applyAlignment="1">
      <alignment vertical="center"/>
    </xf>
    <xf numFmtId="0" fontId="53" fillId="0" borderId="28" xfId="11" applyFont="1" applyBorder="1" applyAlignment="1">
      <alignment horizontal="center" vertical="center"/>
    </xf>
    <xf numFmtId="168" fontId="52" fillId="0" borderId="29" xfId="17" applyNumberFormat="1" applyFont="1" applyBorder="1" applyAlignment="1">
      <alignment horizontal="right" vertical="center"/>
    </xf>
    <xf numFmtId="0" fontId="52" fillId="0" borderId="30" xfId="11" applyFont="1" applyBorder="1" applyAlignment="1">
      <alignment vertical="center"/>
    </xf>
    <xf numFmtId="3" fontId="52" fillId="0" borderId="31" xfId="11" applyNumberFormat="1" applyFont="1" applyBorder="1" applyAlignment="1">
      <alignment horizontal="right" vertical="center"/>
    </xf>
    <xf numFmtId="9" fontId="52" fillId="0" borderId="31" xfId="17" applyFont="1" applyBorder="1" applyAlignment="1">
      <alignment horizontal="right" vertical="center"/>
    </xf>
    <xf numFmtId="0" fontId="52" fillId="0" borderId="30" xfId="11" applyFont="1" applyBorder="1" applyAlignment="1">
      <alignment vertical="center" wrapText="1"/>
    </xf>
    <xf numFmtId="4" fontId="52" fillId="0" borderId="31" xfId="11" applyNumberFormat="1" applyFont="1" applyBorder="1" applyAlignment="1">
      <alignment horizontal="right" vertical="center"/>
    </xf>
    <xf numFmtId="0" fontId="52" fillId="0" borderId="32" xfId="11" applyFont="1" applyBorder="1" applyAlignment="1">
      <alignment vertical="center"/>
    </xf>
    <xf numFmtId="0" fontId="53" fillId="0" borderId="33" xfId="11" applyFont="1" applyBorder="1" applyAlignment="1">
      <alignment horizontal="center" vertical="center"/>
    </xf>
    <xf numFmtId="3" fontId="52" fillId="0" borderId="34" xfId="11" applyNumberFormat="1" applyFont="1" applyBorder="1" applyAlignment="1">
      <alignment horizontal="right" vertical="center"/>
    </xf>
    <xf numFmtId="0" fontId="27" fillId="0" borderId="0" xfId="12" applyFont="1" applyAlignment="1">
      <alignment vertical="center" wrapText="1"/>
    </xf>
    <xf numFmtId="10" fontId="25" fillId="0" borderId="0" xfId="12" applyNumberFormat="1" applyFont="1" applyAlignment="1">
      <alignment vertical="center"/>
    </xf>
    <xf numFmtId="0" fontId="27" fillId="0" borderId="0" xfId="12" applyFont="1" applyAlignment="1">
      <alignment vertical="center"/>
    </xf>
    <xf numFmtId="164" fontId="25" fillId="0" borderId="0" xfId="18" applyFont="1" applyAlignment="1">
      <alignment vertical="center"/>
    </xf>
    <xf numFmtId="172" fontId="25" fillId="0" borderId="0" xfId="12" applyNumberFormat="1" applyFont="1" applyAlignment="1">
      <alignment vertical="center"/>
    </xf>
    <xf numFmtId="0" fontId="25" fillId="0" borderId="0" xfId="12" applyFont="1" applyAlignment="1">
      <alignment vertical="center" wrapText="1" shrinkToFit="1"/>
    </xf>
    <xf numFmtId="3" fontId="25" fillId="0" borderId="0" xfId="0" applyNumberFormat="1" applyFont="1" applyAlignment="1">
      <alignment vertical="center"/>
    </xf>
    <xf numFmtId="169" fontId="29" fillId="0" borderId="21" xfId="0" applyNumberFormat="1" applyFont="1" applyBorder="1" applyAlignment="1">
      <alignment horizontal="center" vertical="center" wrapText="1"/>
    </xf>
    <xf numFmtId="0" fontId="28" fillId="4" borderId="21" xfId="0" applyFont="1" applyFill="1" applyBorder="1" applyAlignment="1">
      <alignment wrapText="1"/>
    </xf>
    <xf numFmtId="0" fontId="30" fillId="4" borderId="21" xfId="0" applyFont="1" applyFill="1" applyBorder="1" applyAlignment="1">
      <alignment horizontal="center" wrapText="1"/>
    </xf>
    <xf numFmtId="3" fontId="28" fillId="4" borderId="21" xfId="0" applyNumberFormat="1" applyFont="1" applyFill="1" applyBorder="1" applyAlignment="1">
      <alignment horizontal="right" wrapText="1"/>
    </xf>
    <xf numFmtId="173" fontId="29" fillId="4" borderId="21" xfId="0" applyNumberFormat="1" applyFont="1" applyFill="1" applyBorder="1" applyAlignment="1">
      <alignment wrapText="1"/>
    </xf>
    <xf numFmtId="3" fontId="29" fillId="4" borderId="21" xfId="0" applyNumberFormat="1" applyFont="1" applyFill="1" applyBorder="1" applyAlignment="1">
      <alignment horizontal="right" wrapText="1"/>
    </xf>
    <xf numFmtId="0" fontId="29" fillId="0" borderId="21" xfId="0" applyFont="1" applyBorder="1" applyAlignment="1">
      <alignment horizontal="left" vertical="top" wrapText="1"/>
    </xf>
    <xf numFmtId="0" fontId="44" fillId="4" borderId="21" xfId="0" applyFont="1" applyFill="1" applyBorder="1" applyAlignment="1">
      <alignment horizontal="center" vertical="top" wrapText="1"/>
    </xf>
    <xf numFmtId="3" fontId="29" fillId="4" borderId="21" xfId="0" applyNumberFormat="1" applyFont="1" applyFill="1" applyBorder="1" applyAlignment="1">
      <alignment horizontal="center" vertical="top" wrapText="1"/>
    </xf>
    <xf numFmtId="0" fontId="28" fillId="4" borderId="21" xfId="0" applyFont="1" applyFill="1" applyBorder="1"/>
    <xf numFmtId="3" fontId="28" fillId="4" borderId="21" xfId="0" applyNumberFormat="1" applyFont="1" applyFill="1" applyBorder="1" applyAlignment="1">
      <alignment horizontal="center" wrapText="1"/>
    </xf>
    <xf numFmtId="0" fontId="29" fillId="4" borderId="21" xfId="0" applyFont="1" applyFill="1" applyBorder="1" applyAlignment="1">
      <alignment horizontal="center" wrapText="1"/>
    </xf>
    <xf numFmtId="0" fontId="29" fillId="0" borderId="21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3" fontId="29" fillId="0" borderId="21" xfId="0" applyNumberFormat="1" applyFont="1" applyBorder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54" fillId="0" borderId="0" xfId="0" applyFont="1"/>
    <xf numFmtId="3" fontId="29" fillId="0" borderId="5" xfId="0" applyNumberFormat="1" applyFont="1" applyBorder="1" applyAlignment="1">
      <alignment horizontal="left"/>
    </xf>
    <xf numFmtId="0" fontId="28" fillId="0" borderId="5" xfId="0" applyFont="1" applyBorder="1"/>
    <xf numFmtId="3" fontId="28" fillId="0" borderId="5" xfId="4" applyNumberFormat="1" applyFont="1" applyFill="1" applyBorder="1" applyAlignment="1">
      <alignment vertical="center"/>
    </xf>
    <xf numFmtId="3" fontId="29" fillId="0" borderId="3" xfId="0" applyNumberFormat="1" applyFont="1" applyBorder="1" applyAlignment="1">
      <alignment horizontal="left"/>
    </xf>
    <xf numFmtId="3" fontId="48" fillId="0" borderId="3" xfId="0" applyNumberFormat="1" applyFont="1" applyBorder="1" applyAlignment="1">
      <alignment horizontal="left"/>
    </xf>
    <xf numFmtId="3" fontId="28" fillId="0" borderId="3" xfId="0" applyNumberFormat="1" applyFont="1" applyBorder="1" applyAlignment="1">
      <alignment horizontal="center" vertical="center"/>
    </xf>
    <xf numFmtId="164" fontId="57" fillId="0" borderId="0" xfId="18" applyFont="1" applyFill="1" applyBorder="1" applyAlignment="1">
      <alignment vertical="center"/>
    </xf>
    <xf numFmtId="49" fontId="55" fillId="0" borderId="0" xfId="19" applyNumberFormat="1" applyFont="1" applyFill="1" applyBorder="1" applyAlignment="1">
      <alignment horizontal="left" vertical="center"/>
    </xf>
    <xf numFmtId="167" fontId="56" fillId="0" borderId="0" xfId="19" applyNumberFormat="1" applyFont="1" applyFill="1" applyBorder="1" applyAlignment="1">
      <alignment vertical="center"/>
    </xf>
    <xf numFmtId="0" fontId="56" fillId="0" borderId="21" xfId="0" applyFont="1" applyBorder="1" applyAlignment="1">
      <alignment horizontal="left" vertical="center" wrapText="1"/>
    </xf>
    <xf numFmtId="3" fontId="11" fillId="0" borderId="2" xfId="21" applyNumberFormat="1" applyFont="1" applyBorder="1" applyAlignment="1">
      <alignment horizontal="justify" vertical="center" wrapText="1"/>
    </xf>
    <xf numFmtId="3" fontId="11" fillId="3" borderId="2" xfId="21" applyNumberFormat="1" applyFont="1" applyFill="1" applyBorder="1" applyAlignment="1">
      <alignment horizontal="justify" vertical="center" wrapText="1"/>
    </xf>
    <xf numFmtId="10" fontId="28" fillId="0" borderId="0" xfId="17" applyNumberFormat="1" applyFont="1"/>
    <xf numFmtId="3" fontId="29" fillId="0" borderId="0" xfId="23" applyNumberFormat="1" applyFont="1" applyAlignment="1">
      <alignment horizontal="center" vertical="center"/>
    </xf>
    <xf numFmtId="167" fontId="29" fillId="0" borderId="0" xfId="18" applyNumberFormat="1" applyFont="1" applyFill="1" applyBorder="1"/>
    <xf numFmtId="0" fontId="30" fillId="0" borderId="0" xfId="12" applyFont="1" applyAlignment="1">
      <alignment vertical="center" wrapText="1"/>
    </xf>
    <xf numFmtId="169" fontId="19" fillId="7" borderId="9" xfId="4" applyNumberFormat="1" applyFont="1" applyFill="1" applyBorder="1" applyAlignment="1">
      <alignment horizontal="center" vertical="center" wrapText="1"/>
    </xf>
    <xf numFmtId="166" fontId="20" fillId="7" borderId="9" xfId="4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169" fontId="20" fillId="7" borderId="9" xfId="4" applyNumberFormat="1" applyFont="1" applyFill="1" applyBorder="1" applyAlignment="1">
      <alignment horizontal="center" vertical="center" wrapText="1"/>
    </xf>
    <xf numFmtId="0" fontId="58" fillId="7" borderId="22" xfId="20" applyFont="1" applyFill="1" applyBorder="1" applyAlignment="1">
      <alignment horizontal="center" vertical="center"/>
    </xf>
    <xf numFmtId="0" fontId="58" fillId="7" borderId="23" xfId="20" applyFont="1" applyFill="1" applyBorder="1" applyAlignment="1">
      <alignment horizontal="center" vertical="center"/>
    </xf>
    <xf numFmtId="0" fontId="41" fillId="0" borderId="0" xfId="0" applyFont="1" applyAlignment="1">
      <alignment horizontal="right"/>
    </xf>
    <xf numFmtId="166" fontId="41" fillId="0" borderId="0" xfId="4" applyFont="1" applyBorder="1" applyAlignment="1">
      <alignment horizontal="right"/>
    </xf>
    <xf numFmtId="0" fontId="28" fillId="0" borderId="0" xfId="0" applyFont="1" applyAlignment="1">
      <alignment horizontal="right"/>
    </xf>
    <xf numFmtId="0" fontId="41" fillId="0" borderId="0" xfId="0" applyFont="1" applyAlignment="1">
      <alignment vertical="center"/>
    </xf>
    <xf numFmtId="169" fontId="19" fillId="7" borderId="36" xfId="4" applyNumberFormat="1" applyFont="1" applyFill="1" applyBorder="1" applyAlignment="1">
      <alignment horizontal="center" vertical="center" wrapText="1"/>
    </xf>
    <xf numFmtId="169" fontId="19" fillId="7" borderId="35" xfId="4" applyNumberFormat="1" applyFont="1" applyFill="1" applyBorder="1" applyAlignment="1">
      <alignment horizontal="center" vertical="center" wrapText="1"/>
    </xf>
    <xf numFmtId="169" fontId="19" fillId="7" borderId="0" xfId="4" applyNumberFormat="1" applyFont="1" applyFill="1" applyBorder="1" applyAlignment="1">
      <alignment horizontal="center" vertical="center" wrapText="1"/>
    </xf>
    <xf numFmtId="169" fontId="43" fillId="7" borderId="36" xfId="4" applyNumberFormat="1" applyFont="1" applyFill="1" applyBorder="1" applyAlignment="1">
      <alignment horizontal="center" vertical="center"/>
    </xf>
    <xf numFmtId="166" fontId="20" fillId="7" borderId="36" xfId="4" applyFont="1" applyFill="1" applyBorder="1" applyAlignment="1">
      <alignment horizontal="center" vertical="center" wrapText="1"/>
    </xf>
    <xf numFmtId="169" fontId="43" fillId="7" borderId="35" xfId="4" applyNumberFormat="1" applyFont="1" applyFill="1" applyBorder="1" applyAlignment="1">
      <alignment horizontal="center" vertical="center"/>
    </xf>
    <xf numFmtId="169" fontId="43" fillId="7" borderId="0" xfId="4" applyNumberFormat="1" applyFont="1" applyFill="1" applyBorder="1" applyAlignment="1">
      <alignment horizontal="center" vertical="center"/>
    </xf>
    <xf numFmtId="0" fontId="29" fillId="8" borderId="5" xfId="0" applyFont="1" applyFill="1" applyBorder="1"/>
    <xf numFmtId="0" fontId="23" fillId="8" borderId="5" xfId="0" applyFont="1" applyFill="1" applyBorder="1"/>
    <xf numFmtId="0" fontId="28" fillId="8" borderId="5" xfId="0" applyFont="1" applyFill="1" applyBorder="1" applyAlignment="1">
      <alignment horizontal="center" vertical="center"/>
    </xf>
    <xf numFmtId="3" fontId="28" fillId="8" borderId="5" xfId="0" applyNumberFormat="1" applyFont="1" applyFill="1" applyBorder="1"/>
    <xf numFmtId="3" fontId="29" fillId="8" borderId="5" xfId="0" applyNumberFormat="1" applyFont="1" applyFill="1" applyBorder="1"/>
    <xf numFmtId="3" fontId="29" fillId="8" borderId="2" xfId="0" applyNumberFormat="1" applyFont="1" applyFill="1" applyBorder="1"/>
    <xf numFmtId="3" fontId="28" fillId="8" borderId="5" xfId="18" applyNumberFormat="1" applyFont="1" applyFill="1" applyBorder="1" applyAlignment="1">
      <alignment horizontal="right"/>
    </xf>
    <xf numFmtId="3" fontId="29" fillId="8" borderId="5" xfId="18" applyNumberFormat="1" applyFont="1" applyFill="1" applyBorder="1" applyAlignment="1">
      <alignment horizontal="right"/>
    </xf>
    <xf numFmtId="3" fontId="29" fillId="8" borderId="2" xfId="18" applyNumberFormat="1" applyFont="1" applyFill="1" applyBorder="1" applyAlignment="1">
      <alignment horizontal="right"/>
    </xf>
    <xf numFmtId="3" fontId="29" fillId="8" borderId="5" xfId="23" applyNumberFormat="1" applyFont="1" applyFill="1" applyBorder="1" applyAlignment="1">
      <alignment vertical="center"/>
    </xf>
    <xf numFmtId="3" fontId="23" fillId="8" borderId="5" xfId="23" applyNumberFormat="1" applyFont="1" applyFill="1" applyBorder="1" applyAlignment="1">
      <alignment vertical="center"/>
    </xf>
    <xf numFmtId="0" fontId="28" fillId="8" borderId="5" xfId="0" applyFont="1" applyFill="1" applyBorder="1"/>
    <xf numFmtId="0" fontId="28" fillId="8" borderId="6" xfId="0" applyFont="1" applyFill="1" applyBorder="1"/>
    <xf numFmtId="3" fontId="29" fillId="8" borderId="5" xfId="23" applyNumberFormat="1" applyFont="1" applyFill="1" applyBorder="1" applyAlignment="1">
      <alignment horizontal="center" vertical="center"/>
    </xf>
    <xf numFmtId="167" fontId="28" fillId="8" borderId="5" xfId="18" applyNumberFormat="1" applyFont="1" applyFill="1" applyBorder="1"/>
    <xf numFmtId="3" fontId="29" fillId="8" borderId="6" xfId="23" applyNumberFormat="1" applyFont="1" applyFill="1" applyBorder="1" applyAlignment="1">
      <alignment vertical="center"/>
    </xf>
    <xf numFmtId="167" fontId="29" fillId="8" borderId="5" xfId="18" applyNumberFormat="1" applyFont="1" applyFill="1" applyBorder="1"/>
    <xf numFmtId="167" fontId="29" fillId="8" borderId="2" xfId="18" applyNumberFormat="1" applyFont="1" applyFill="1" applyBorder="1"/>
    <xf numFmtId="167" fontId="28" fillId="8" borderId="6" xfId="18" applyNumberFormat="1" applyFont="1" applyFill="1" applyBorder="1"/>
    <xf numFmtId="3" fontId="29" fillId="8" borderId="3" xfId="23" applyNumberFormat="1" applyFont="1" applyFill="1" applyBorder="1" applyAlignment="1">
      <alignment vertical="center"/>
    </xf>
    <xf numFmtId="167" fontId="42" fillId="8" borderId="12" xfId="18" applyNumberFormat="1" applyFont="1" applyFill="1" applyBorder="1"/>
    <xf numFmtId="3" fontId="29" fillId="8" borderId="2" xfId="23" applyNumberFormat="1" applyFont="1" applyFill="1" applyBorder="1" applyAlignment="1">
      <alignment vertical="center"/>
    </xf>
    <xf numFmtId="3" fontId="28" fillId="0" borderId="0" xfId="14" applyNumberFormat="1" applyFont="1" applyAlignment="1">
      <alignment vertical="center"/>
    </xf>
    <xf numFmtId="4" fontId="28" fillId="6" borderId="0" xfId="0" applyNumberFormat="1" applyFont="1" applyFill="1" applyAlignment="1">
      <alignment horizontal="center"/>
    </xf>
    <xf numFmtId="0" fontId="23" fillId="0" borderId="0" xfId="12" applyFont="1" applyAlignment="1">
      <alignment vertical="center"/>
    </xf>
    <xf numFmtId="0" fontId="23" fillId="0" borderId="0" xfId="22" applyFont="1" applyAlignment="1">
      <alignment horizontal="left" vertical="center"/>
    </xf>
    <xf numFmtId="14" fontId="23" fillId="9" borderId="0" xfId="12" applyNumberFormat="1" applyFont="1" applyFill="1" applyAlignment="1">
      <alignment horizontal="center" vertical="center"/>
    </xf>
    <xf numFmtId="9" fontId="25" fillId="9" borderId="0" xfId="12" applyNumberFormat="1" applyFont="1" applyFill="1" applyAlignment="1">
      <alignment vertical="center"/>
    </xf>
    <xf numFmtId="10" fontId="26" fillId="9" borderId="0" xfId="12" applyNumberFormat="1" applyFont="1" applyFill="1" applyAlignment="1">
      <alignment vertical="center"/>
    </xf>
    <xf numFmtId="168" fontId="26" fillId="9" borderId="0" xfId="12" applyNumberFormat="1" applyFont="1" applyFill="1" applyAlignment="1">
      <alignment vertical="center"/>
    </xf>
    <xf numFmtId="10" fontId="29" fillId="9" borderId="0" xfId="17" applyNumberFormat="1" applyFont="1" applyFill="1" applyBorder="1" applyAlignment="1">
      <alignment horizontal="right"/>
    </xf>
    <xf numFmtId="3" fontId="11" fillId="0" borderId="2" xfId="21" applyNumberFormat="1" applyFont="1" applyBorder="1" applyAlignment="1">
      <alignment horizontal="center" vertical="top" wrapText="1"/>
    </xf>
    <xf numFmtId="174" fontId="11" fillId="3" borderId="2" xfId="21" applyNumberFormat="1" applyFont="1" applyFill="1" applyBorder="1" applyAlignment="1">
      <alignment vertical="center" wrapText="1"/>
    </xf>
    <xf numFmtId="9" fontId="28" fillId="0" borderId="0" xfId="14" applyNumberFormat="1" applyFont="1"/>
    <xf numFmtId="9" fontId="28" fillId="0" borderId="0" xfId="13" applyNumberFormat="1" applyFont="1"/>
    <xf numFmtId="0" fontId="25" fillId="10" borderId="0" xfId="12" applyFont="1" applyFill="1"/>
    <xf numFmtId="175" fontId="0" fillId="0" borderId="2" xfId="0" applyNumberFormat="1" applyBorder="1" applyAlignment="1">
      <alignment horizontal="center" vertical="center"/>
    </xf>
    <xf numFmtId="175" fontId="28" fillId="0" borderId="0" xfId="4" applyNumberFormat="1" applyFont="1" applyFill="1" applyBorder="1" applyAlignment="1">
      <alignment vertical="center"/>
    </xf>
    <xf numFmtId="9" fontId="0" fillId="0" borderId="2" xfId="17" applyFont="1" applyBorder="1" applyAlignment="1">
      <alignment horizontal="center" vertical="center"/>
    </xf>
    <xf numFmtId="0" fontId="29" fillId="0" borderId="51" xfId="0" applyFont="1" applyBorder="1" applyAlignment="1">
      <alignment horizontal="left" vertical="center" wrapText="1"/>
    </xf>
    <xf numFmtId="0" fontId="28" fillId="4" borderId="52" xfId="0" applyFont="1" applyFill="1" applyBorder="1" applyAlignment="1">
      <alignment horizontal="center" wrapText="1"/>
    </xf>
    <xf numFmtId="49" fontId="29" fillId="0" borderId="0" xfId="19" applyNumberFormat="1" applyFont="1" applyFill="1" applyBorder="1" applyAlignment="1">
      <alignment horizontal="center" vertical="center" wrapText="1"/>
    </xf>
    <xf numFmtId="164" fontId="57" fillId="0" borderId="0" xfId="18" applyFont="1" applyFill="1" applyBorder="1" applyAlignment="1">
      <alignment horizontal="center" vertical="center" wrapText="1"/>
    </xf>
    <xf numFmtId="164" fontId="57" fillId="0" borderId="0" xfId="18" applyFont="1" applyFill="1" applyBorder="1" applyAlignment="1">
      <alignment horizontal="center" vertical="center"/>
    </xf>
    <xf numFmtId="9" fontId="28" fillId="0" borderId="0" xfId="17" applyFont="1" applyFill="1" applyBorder="1" applyAlignment="1">
      <alignment vertical="center"/>
    </xf>
    <xf numFmtId="1" fontId="28" fillId="0" borderId="21" xfId="0" applyNumberFormat="1" applyFont="1" applyBorder="1" applyAlignment="1">
      <alignment horizontal="center" vertical="center" wrapText="1"/>
    </xf>
    <xf numFmtId="0" fontId="61" fillId="12" borderId="0" xfId="0" applyFont="1" applyFill="1" applyAlignment="1">
      <alignment horizontal="center" vertical="center" wrapText="1"/>
    </xf>
    <xf numFmtId="3" fontId="11" fillId="0" borderId="0" xfId="21" applyNumberFormat="1" applyFont="1" applyAlignment="1">
      <alignment vertical="center"/>
    </xf>
    <xf numFmtId="3" fontId="29" fillId="0" borderId="0" xfId="4" applyNumberFormat="1" applyFont="1" applyFill="1" applyBorder="1" applyAlignment="1">
      <alignment vertical="center"/>
    </xf>
    <xf numFmtId="169" fontId="29" fillId="0" borderId="51" xfId="0" applyNumberFormat="1" applyFont="1" applyBorder="1" applyAlignment="1">
      <alignment horizontal="center" vertical="center" wrapText="1"/>
    </xf>
    <xf numFmtId="1" fontId="30" fillId="4" borderId="2" xfId="0" applyNumberFormat="1" applyFont="1" applyFill="1" applyBorder="1" applyAlignment="1">
      <alignment horizontal="center" wrapText="1"/>
    </xf>
    <xf numFmtId="3" fontId="23" fillId="0" borderId="39" xfId="0" applyNumberFormat="1" applyFont="1" applyBorder="1" applyAlignment="1">
      <alignment horizontal="left"/>
    </xf>
    <xf numFmtId="1" fontId="30" fillId="4" borderId="45" xfId="0" applyNumberFormat="1" applyFont="1" applyFill="1" applyBorder="1" applyAlignment="1">
      <alignment horizontal="center" wrapText="1"/>
    </xf>
    <xf numFmtId="1" fontId="30" fillId="4" borderId="46" xfId="0" applyNumberFormat="1" applyFont="1" applyFill="1" applyBorder="1" applyAlignment="1">
      <alignment horizontal="center" wrapText="1"/>
    </xf>
    <xf numFmtId="1" fontId="30" fillId="4" borderId="40" xfId="0" applyNumberFormat="1" applyFont="1" applyFill="1" applyBorder="1" applyAlignment="1">
      <alignment horizontal="center" wrapText="1"/>
    </xf>
    <xf numFmtId="1" fontId="30" fillId="4" borderId="42" xfId="0" applyNumberFormat="1" applyFont="1" applyFill="1" applyBorder="1" applyAlignment="1">
      <alignment horizontal="center" wrapText="1"/>
    </xf>
    <xf numFmtId="1" fontId="30" fillId="4" borderId="43" xfId="0" applyNumberFormat="1" applyFont="1" applyFill="1" applyBorder="1" applyAlignment="1">
      <alignment horizontal="center" wrapText="1"/>
    </xf>
    <xf numFmtId="0" fontId="28" fillId="4" borderId="2" xfId="0" applyFont="1" applyFill="1" applyBorder="1" applyAlignment="1">
      <alignment wrapText="1"/>
    </xf>
    <xf numFmtId="0" fontId="30" fillId="4" borderId="2" xfId="0" applyFont="1" applyFill="1" applyBorder="1" applyAlignment="1">
      <alignment horizontal="center" wrapText="1"/>
    </xf>
    <xf numFmtId="0" fontId="28" fillId="4" borderId="44" xfId="0" applyFont="1" applyFill="1" applyBorder="1" applyAlignment="1">
      <alignment wrapText="1"/>
    </xf>
    <xf numFmtId="0" fontId="28" fillId="4" borderId="45" xfId="0" applyFont="1" applyFill="1" applyBorder="1" applyAlignment="1">
      <alignment wrapText="1"/>
    </xf>
    <xf numFmtId="0" fontId="30" fillId="4" borderId="45" xfId="0" applyFont="1" applyFill="1" applyBorder="1" applyAlignment="1">
      <alignment horizontal="center" wrapText="1"/>
    </xf>
    <xf numFmtId="0" fontId="28" fillId="4" borderId="39" xfId="0" applyFont="1" applyFill="1" applyBorder="1" applyAlignment="1">
      <alignment wrapText="1"/>
    </xf>
    <xf numFmtId="164" fontId="28" fillId="0" borderId="39" xfId="18" applyFont="1" applyBorder="1" applyAlignment="1">
      <alignment vertical="center"/>
    </xf>
    <xf numFmtId="0" fontId="28" fillId="4" borderId="41" xfId="0" applyFont="1" applyFill="1" applyBorder="1" applyAlignment="1">
      <alignment wrapText="1"/>
    </xf>
    <xf numFmtId="0" fontId="28" fillId="4" borderId="42" xfId="0" applyFont="1" applyFill="1" applyBorder="1" applyAlignment="1">
      <alignment wrapText="1"/>
    </xf>
    <xf numFmtId="0" fontId="28" fillId="4" borderId="56" xfId="0" applyFont="1" applyFill="1" applyBorder="1" applyAlignment="1">
      <alignment wrapText="1"/>
    </xf>
    <xf numFmtId="1" fontId="30" fillId="4" borderId="7" xfId="0" applyNumberFormat="1" applyFont="1" applyFill="1" applyBorder="1" applyAlignment="1">
      <alignment horizontal="center" wrapText="1"/>
    </xf>
    <xf numFmtId="3" fontId="28" fillId="0" borderId="38" xfId="0" applyNumberFormat="1" applyFont="1" applyBorder="1" applyAlignment="1">
      <alignment horizontal="center" vertical="center"/>
    </xf>
    <xf numFmtId="3" fontId="28" fillId="0" borderId="62" xfId="0" applyNumberFormat="1" applyFont="1" applyBorder="1" applyAlignment="1">
      <alignment horizontal="center" vertical="center"/>
    </xf>
    <xf numFmtId="169" fontId="19" fillId="7" borderId="37" xfId="4" applyNumberFormat="1" applyFont="1" applyFill="1" applyBorder="1" applyAlignment="1">
      <alignment horizontal="center" vertical="center" wrapText="1"/>
    </xf>
    <xf numFmtId="169" fontId="19" fillId="7" borderId="55" xfId="4" applyNumberFormat="1" applyFont="1" applyFill="1" applyBorder="1" applyAlignment="1">
      <alignment horizontal="center" vertical="center" wrapText="1"/>
    </xf>
    <xf numFmtId="3" fontId="28" fillId="0" borderId="55" xfId="14" applyNumberFormat="1" applyFont="1" applyBorder="1"/>
    <xf numFmtId="3" fontId="29" fillId="0" borderId="0" xfId="13" applyNumberFormat="1" applyFont="1"/>
    <xf numFmtId="4" fontId="28" fillId="0" borderId="60" xfId="0" applyNumberFormat="1" applyFont="1" applyBorder="1" applyAlignment="1">
      <alignment horizontal="center" vertical="center"/>
    </xf>
    <xf numFmtId="175" fontId="29" fillId="8" borderId="5" xfId="23" applyNumberFormat="1" applyFont="1" applyFill="1" applyBorder="1" applyAlignment="1">
      <alignment vertical="center"/>
    </xf>
    <xf numFmtId="175" fontId="28" fillId="0" borderId="0" xfId="14" applyNumberFormat="1" applyFont="1"/>
    <xf numFmtId="0" fontId="44" fillId="4" borderId="22" xfId="0" applyFont="1" applyFill="1" applyBorder="1" applyAlignment="1">
      <alignment horizontal="center" vertical="top" wrapText="1"/>
    </xf>
    <xf numFmtId="3" fontId="29" fillId="4" borderId="51" xfId="0" applyNumberFormat="1" applyFont="1" applyFill="1" applyBorder="1" applyAlignment="1">
      <alignment horizontal="center" vertical="top" wrapText="1"/>
    </xf>
    <xf numFmtId="0" fontId="29" fillId="0" borderId="51" xfId="0" applyFont="1" applyBorder="1" applyAlignment="1">
      <alignment horizontal="left" vertical="top" wrapText="1"/>
    </xf>
    <xf numFmtId="0" fontId="44" fillId="4" borderId="51" xfId="0" applyFont="1" applyFill="1" applyBorder="1" applyAlignment="1">
      <alignment horizontal="center" vertical="top" wrapText="1"/>
    </xf>
    <xf numFmtId="0" fontId="28" fillId="4" borderId="52" xfId="0" applyFont="1" applyFill="1" applyBorder="1"/>
    <xf numFmtId="0" fontId="44" fillId="4" borderId="52" xfId="0" applyFont="1" applyFill="1" applyBorder="1" applyAlignment="1">
      <alignment horizontal="center" vertical="top" wrapText="1"/>
    </xf>
    <xf numFmtId="0" fontId="30" fillId="4" borderId="63" xfId="0" applyFont="1" applyFill="1" applyBorder="1" applyAlignment="1">
      <alignment horizontal="center" wrapText="1"/>
    </xf>
    <xf numFmtId="1" fontId="28" fillId="0" borderId="23" xfId="0" applyNumberFormat="1" applyFont="1" applyBorder="1" applyAlignment="1">
      <alignment horizontal="center" vertical="center" wrapText="1"/>
    </xf>
    <xf numFmtId="1" fontId="29" fillId="0" borderId="21" xfId="0" applyNumberFormat="1" applyFont="1" applyBorder="1" applyAlignment="1">
      <alignment horizontal="center" vertical="center" wrapText="1"/>
    </xf>
    <xf numFmtId="175" fontId="28" fillId="0" borderId="2" xfId="4" applyNumberFormat="1" applyFont="1" applyFill="1" applyBorder="1" applyAlignment="1">
      <alignment vertical="center"/>
    </xf>
    <xf numFmtId="175" fontId="28" fillId="0" borderId="45" xfId="4" applyNumberFormat="1" applyFont="1" applyFill="1" applyBorder="1" applyAlignment="1">
      <alignment vertical="center"/>
    </xf>
    <xf numFmtId="175" fontId="28" fillId="0" borderId="42" xfId="4" applyNumberFormat="1" applyFont="1" applyFill="1" applyBorder="1" applyAlignment="1">
      <alignment vertical="center"/>
    </xf>
    <xf numFmtId="3" fontId="29" fillId="0" borderId="54" xfId="4" applyNumberFormat="1" applyFont="1" applyFill="1" applyBorder="1" applyAlignment="1">
      <alignment vertical="center"/>
    </xf>
    <xf numFmtId="175" fontId="28" fillId="0" borderId="2" xfId="0" applyNumberFormat="1" applyFont="1" applyBorder="1" applyAlignment="1">
      <alignment horizontal="center" vertical="center"/>
    </xf>
    <xf numFmtId="0" fontId="30" fillId="4" borderId="58" xfId="0" applyFont="1" applyFill="1" applyBorder="1" applyAlignment="1">
      <alignment horizontal="center" wrapText="1"/>
    </xf>
    <xf numFmtId="0" fontId="30" fillId="4" borderId="6" xfId="0" applyFont="1" applyFill="1" applyBorder="1" applyAlignment="1">
      <alignment horizontal="center" wrapText="1"/>
    </xf>
    <xf numFmtId="0" fontId="29" fillId="0" borderId="51" xfId="0" applyFont="1" applyBorder="1" applyAlignment="1">
      <alignment horizontal="center" vertical="center" wrapText="1"/>
    </xf>
    <xf numFmtId="0" fontId="28" fillId="4" borderId="53" xfId="0" applyFont="1" applyFill="1" applyBorder="1" applyAlignment="1">
      <alignment wrapText="1"/>
    </xf>
    <xf numFmtId="0" fontId="28" fillId="4" borderId="61" xfId="0" applyFont="1" applyFill="1" applyBorder="1" applyAlignment="1">
      <alignment wrapText="1"/>
    </xf>
    <xf numFmtId="9" fontId="28" fillId="0" borderId="2" xfId="17" applyFont="1" applyBorder="1" applyAlignment="1">
      <alignment horizontal="center" vertical="center"/>
    </xf>
    <xf numFmtId="3" fontId="29" fillId="0" borderId="6" xfId="4" applyNumberFormat="1" applyFont="1" applyFill="1" applyBorder="1" applyAlignment="1">
      <alignment vertical="center"/>
    </xf>
    <xf numFmtId="9" fontId="28" fillId="0" borderId="49" xfId="17" applyFont="1" applyBorder="1" applyAlignment="1">
      <alignment horizontal="center" vertical="center"/>
    </xf>
    <xf numFmtId="9" fontId="28" fillId="0" borderId="48" xfId="17" applyFont="1" applyBorder="1" applyAlignment="1">
      <alignment horizontal="center" vertical="center"/>
    </xf>
    <xf numFmtId="9" fontId="28" fillId="0" borderId="50" xfId="17" applyFont="1" applyBorder="1" applyAlignment="1">
      <alignment horizontal="center" vertical="center"/>
    </xf>
    <xf numFmtId="0" fontId="28" fillId="4" borderId="48" xfId="0" applyFont="1" applyFill="1" applyBorder="1" applyAlignment="1">
      <alignment wrapText="1"/>
    </xf>
    <xf numFmtId="0" fontId="28" fillId="4" borderId="50" xfId="0" applyFont="1" applyFill="1" applyBorder="1" applyAlignment="1">
      <alignment wrapText="1"/>
    </xf>
    <xf numFmtId="1" fontId="30" fillId="4" borderId="64" xfId="0" applyNumberFormat="1" applyFont="1" applyFill="1" applyBorder="1" applyAlignment="1">
      <alignment horizontal="center" wrapText="1"/>
    </xf>
    <xf numFmtId="1" fontId="28" fillId="4" borderId="2" xfId="0" applyNumberFormat="1" applyFont="1" applyFill="1" applyBorder="1" applyAlignment="1">
      <alignment horizontal="center" wrapText="1"/>
    </xf>
    <xf numFmtId="9" fontId="28" fillId="0" borderId="57" xfId="17" applyFont="1" applyBorder="1" applyAlignment="1">
      <alignment horizontal="center" vertical="center"/>
    </xf>
    <xf numFmtId="3" fontId="28" fillId="4" borderId="23" xfId="0" applyNumberFormat="1" applyFont="1" applyFill="1" applyBorder="1" applyAlignment="1">
      <alignment horizontal="right" wrapText="1"/>
    </xf>
    <xf numFmtId="3" fontId="29" fillId="0" borderId="0" xfId="13" applyNumberFormat="1" applyFont="1" applyAlignment="1">
      <alignment horizontal="center" vertical="center" wrapText="1"/>
    </xf>
    <xf numFmtId="0" fontId="0" fillId="0" borderId="2" xfId="0" applyBorder="1" applyAlignment="1">
      <alignment wrapText="1"/>
    </xf>
    <xf numFmtId="9" fontId="0" fillId="0" borderId="2" xfId="17" applyFont="1" applyFill="1" applyBorder="1" applyAlignment="1">
      <alignment horizontal="center" vertical="center"/>
    </xf>
    <xf numFmtId="1" fontId="30" fillId="4" borderId="57" xfId="0" applyNumberFormat="1" applyFont="1" applyFill="1" applyBorder="1" applyAlignment="1">
      <alignment horizontal="center" wrapText="1"/>
    </xf>
    <xf numFmtId="3" fontId="23" fillId="0" borderId="47" xfId="0" applyNumberFormat="1" applyFont="1" applyBorder="1" applyAlignment="1">
      <alignment horizontal="left"/>
    </xf>
    <xf numFmtId="3" fontId="23" fillId="0" borderId="2" xfId="0" applyNumberFormat="1" applyFont="1" applyBorder="1" applyAlignment="1">
      <alignment horizontal="left"/>
    </xf>
    <xf numFmtId="175" fontId="28" fillId="4" borderId="21" xfId="0" applyNumberFormat="1" applyFont="1" applyFill="1" applyBorder="1" applyAlignment="1">
      <alignment horizontal="right" wrapText="1"/>
    </xf>
    <xf numFmtId="3" fontId="23" fillId="0" borderId="59" xfId="0" applyNumberFormat="1" applyFont="1" applyBorder="1" applyAlignment="1">
      <alignment horizontal="left"/>
    </xf>
    <xf numFmtId="9" fontId="0" fillId="0" borderId="42" xfId="17" applyFont="1" applyFill="1" applyBorder="1" applyAlignment="1">
      <alignment horizontal="center" vertical="center"/>
    </xf>
    <xf numFmtId="175" fontId="0" fillId="0" borderId="42" xfId="0" applyNumberFormat="1" applyBorder="1" applyAlignment="1">
      <alignment horizontal="center" vertical="center"/>
    </xf>
    <xf numFmtId="3" fontId="23" fillId="8" borderId="4" xfId="23" applyNumberFormat="1" applyFont="1" applyFill="1" applyBorder="1" applyAlignment="1">
      <alignment vertical="center"/>
    </xf>
    <xf numFmtId="9" fontId="29" fillId="0" borderId="0" xfId="17" applyFont="1" applyFill="1" applyBorder="1" applyAlignment="1">
      <alignment horizontal="left"/>
    </xf>
    <xf numFmtId="175" fontId="48" fillId="0" borderId="0" xfId="0" applyNumberFormat="1" applyFont="1" applyAlignment="1">
      <alignment horizontal="left"/>
    </xf>
    <xf numFmtId="3" fontId="63" fillId="0" borderId="0" xfId="4" applyNumberFormat="1" applyFont="1" applyFill="1" applyBorder="1" applyAlignment="1">
      <alignment vertical="center"/>
    </xf>
    <xf numFmtId="0" fontId="62" fillId="0" borderId="2" xfId="0" applyFont="1" applyBorder="1" applyAlignment="1">
      <alignment horizontal="center" vertical="center" wrapText="1"/>
    </xf>
    <xf numFmtId="1" fontId="30" fillId="4" borderId="49" xfId="0" applyNumberFormat="1" applyFont="1" applyFill="1" applyBorder="1" applyAlignment="1">
      <alignment horizontal="center" wrapText="1"/>
    </xf>
    <xf numFmtId="1" fontId="30" fillId="4" borderId="65" xfId="0" applyNumberFormat="1" applyFont="1" applyFill="1" applyBorder="1" applyAlignment="1">
      <alignment horizontal="center" wrapText="1"/>
    </xf>
    <xf numFmtId="0" fontId="28" fillId="4" borderId="66" xfId="0" applyFont="1" applyFill="1" applyBorder="1" applyAlignment="1">
      <alignment wrapText="1"/>
    </xf>
    <xf numFmtId="0" fontId="30" fillId="4" borderId="42" xfId="0" applyFont="1" applyFill="1" applyBorder="1" applyAlignment="1">
      <alignment horizontal="center" wrapText="1"/>
    </xf>
    <xf numFmtId="0" fontId="30" fillId="4" borderId="67" xfId="0" applyFont="1" applyFill="1" applyBorder="1" applyAlignment="1">
      <alignment horizontal="center" wrapText="1"/>
    </xf>
    <xf numFmtId="1" fontId="30" fillId="4" borderId="68" xfId="0" applyNumberFormat="1" applyFont="1" applyFill="1" applyBorder="1" applyAlignment="1">
      <alignment horizontal="center" wrapText="1"/>
    </xf>
    <xf numFmtId="1" fontId="30" fillId="4" borderId="69" xfId="0" applyNumberFormat="1" applyFont="1" applyFill="1" applyBorder="1" applyAlignment="1">
      <alignment horizontal="center" wrapText="1"/>
    </xf>
    <xf numFmtId="9" fontId="28" fillId="0" borderId="37" xfId="17" applyFont="1" applyFill="1" applyBorder="1" applyAlignment="1">
      <alignment horizontal="center" vertical="center"/>
    </xf>
    <xf numFmtId="9" fontId="28" fillId="0" borderId="55" xfId="17" applyFont="1" applyFill="1" applyBorder="1" applyAlignment="1">
      <alignment horizontal="center" vertical="center"/>
    </xf>
    <xf numFmtId="168" fontId="26" fillId="11" borderId="0" xfId="12" applyNumberFormat="1" applyFont="1" applyFill="1" applyAlignment="1">
      <alignment vertical="center"/>
    </xf>
    <xf numFmtId="10" fontId="25" fillId="11" borderId="0" xfId="12" applyNumberFormat="1" applyFont="1" applyFill="1" applyAlignment="1">
      <alignment vertical="center"/>
    </xf>
    <xf numFmtId="167" fontId="64" fillId="11" borderId="0" xfId="18" applyNumberFormat="1" applyFont="1" applyFill="1"/>
    <xf numFmtId="0" fontId="65" fillId="0" borderId="0" xfId="0" applyFont="1"/>
    <xf numFmtId="9" fontId="0" fillId="0" borderId="0" xfId="17" applyFont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175" fontId="67" fillId="0" borderId="2" xfId="0" applyNumberFormat="1" applyFont="1" applyBorder="1" applyAlignment="1">
      <alignment horizontal="right" vertical="center"/>
    </xf>
    <xf numFmtId="175" fontId="0" fillId="0" borderId="0" xfId="0" applyNumberFormat="1"/>
    <xf numFmtId="0" fontId="65" fillId="0" borderId="2" xfId="0" applyFont="1" applyBorder="1" applyAlignment="1">
      <alignment wrapText="1"/>
    </xf>
    <xf numFmtId="175" fontId="66" fillId="0" borderId="0" xfId="0" applyNumberFormat="1" applyFont="1" applyAlignment="1">
      <alignment horizontal="center"/>
    </xf>
    <xf numFmtId="0" fontId="67" fillId="0" borderId="2" xfId="0" applyFont="1" applyBorder="1" applyAlignment="1">
      <alignment horizontal="right" vertical="center"/>
    </xf>
    <xf numFmtId="0" fontId="66" fillId="0" borderId="0" xfId="0" applyFont="1"/>
    <xf numFmtId="0" fontId="0" fillId="0" borderId="2" xfId="0" applyBorder="1"/>
    <xf numFmtId="175" fontId="65" fillId="0" borderId="0" xfId="0" applyNumberFormat="1" applyFont="1"/>
    <xf numFmtId="176" fontId="65" fillId="0" borderId="0" xfId="0" applyNumberFormat="1" applyFont="1"/>
    <xf numFmtId="0" fontId="65" fillId="0" borderId="2" xfId="0" applyFont="1" applyBorder="1"/>
    <xf numFmtId="0" fontId="66" fillId="0" borderId="2" xfId="0" applyFont="1" applyBorder="1" applyAlignment="1">
      <alignment wrapText="1"/>
    </xf>
    <xf numFmtId="175" fontId="28" fillId="0" borderId="23" xfId="0" applyNumberFormat="1" applyFont="1" applyBorder="1" applyAlignment="1">
      <alignment horizontal="center" vertical="center" wrapText="1"/>
    </xf>
    <xf numFmtId="177" fontId="28" fillId="0" borderId="2" xfId="0" applyNumberFormat="1" applyFont="1" applyBorder="1" applyAlignment="1">
      <alignment horizontal="center" vertical="center"/>
    </xf>
    <xf numFmtId="175" fontId="65" fillId="0" borderId="2" xfId="0" applyNumberFormat="1" applyFont="1" applyBorder="1"/>
    <xf numFmtId="175" fontId="0" fillId="0" borderId="2" xfId="0" applyNumberFormat="1" applyBorder="1"/>
    <xf numFmtId="0" fontId="28" fillId="4" borderId="57" xfId="0" applyFont="1" applyFill="1" applyBorder="1" applyAlignment="1">
      <alignment wrapText="1"/>
    </xf>
    <xf numFmtId="0" fontId="30" fillId="4" borderId="7" xfId="0" applyFont="1" applyFill="1" applyBorder="1" applyAlignment="1">
      <alignment horizontal="center" wrapText="1"/>
    </xf>
    <xf numFmtId="0" fontId="30" fillId="4" borderId="10" xfId="0" applyFont="1" applyFill="1" applyBorder="1" applyAlignment="1">
      <alignment horizontal="center" wrapText="1"/>
    </xf>
    <xf numFmtId="175" fontId="29" fillId="0" borderId="21" xfId="0" applyNumberFormat="1" applyFont="1" applyBorder="1" applyAlignment="1">
      <alignment horizontal="center" vertical="center" wrapText="1"/>
    </xf>
    <xf numFmtId="167" fontId="11" fillId="0" borderId="2" xfId="17" applyNumberFormat="1" applyFont="1" applyFill="1" applyBorder="1" applyAlignment="1">
      <alignment vertical="center"/>
    </xf>
    <xf numFmtId="175" fontId="66" fillId="0" borderId="0" xfId="0" applyNumberFormat="1" applyFont="1"/>
    <xf numFmtId="2" fontId="28" fillId="0" borderId="0" xfId="18" applyNumberFormat="1" applyFont="1" applyAlignment="1">
      <alignment horizontal="right"/>
    </xf>
    <xf numFmtId="0" fontId="68" fillId="0" borderId="2" xfId="0" applyFont="1" applyBorder="1" applyAlignment="1">
      <alignment horizontal="center" vertical="center" wrapText="1"/>
    </xf>
    <xf numFmtId="0" fontId="36" fillId="5" borderId="24" xfId="11" applyFont="1" applyFill="1" applyBorder="1" applyAlignment="1">
      <alignment horizontal="center" vertical="center" wrapText="1"/>
    </xf>
    <xf numFmtId="0" fontId="36" fillId="5" borderId="25" xfId="11" applyFont="1" applyFill="1" applyBorder="1" applyAlignment="1">
      <alignment horizontal="center" vertical="center" wrapText="1"/>
    </xf>
    <xf numFmtId="0" fontId="36" fillId="5" borderId="26" xfId="11" applyFont="1" applyFill="1" applyBorder="1" applyAlignment="1">
      <alignment horizontal="center" vertical="center" wrapText="1"/>
    </xf>
    <xf numFmtId="0" fontId="11" fillId="0" borderId="2" xfId="21" applyFont="1" applyBorder="1" applyAlignment="1">
      <alignment horizontal="left"/>
    </xf>
    <xf numFmtId="0" fontId="11" fillId="0" borderId="2" xfId="21" applyFont="1" applyBorder="1"/>
    <xf numFmtId="0" fontId="41" fillId="0" borderId="0" xfId="0" applyFont="1" applyAlignment="1">
      <alignment horizontal="center" vertical="center"/>
    </xf>
    <xf numFmtId="0" fontId="65" fillId="0" borderId="70" xfId="0" applyFont="1" applyBorder="1" applyAlignment="1">
      <alignment horizontal="left"/>
    </xf>
    <xf numFmtId="0" fontId="65" fillId="0" borderId="0" xfId="0" applyFont="1" applyAlignment="1">
      <alignment horizontal="left"/>
    </xf>
    <xf numFmtId="0" fontId="66" fillId="0" borderId="70" xfId="0" applyFont="1" applyBorder="1" applyAlignment="1">
      <alignment horizontal="center"/>
    </xf>
    <xf numFmtId="0" fontId="66" fillId="0" borderId="0" xfId="0" applyFont="1" applyAlignment="1">
      <alignment horizontal="center"/>
    </xf>
    <xf numFmtId="0" fontId="66" fillId="0" borderId="2" xfId="0" applyFont="1" applyBorder="1" applyAlignment="1">
      <alignment horizontal="center" wrapText="1"/>
    </xf>
  </cellXfs>
  <cellStyles count="24">
    <cellStyle name="_Форма планирования бюджета (P&amp;L) (макет)" xfId="3" xr:uid="{00000000-0005-0000-0000-000001000000}"/>
    <cellStyle name="_Mapping A8 BS" xfId="2" xr:uid="{00000000-0005-0000-0000-000000000000}"/>
    <cellStyle name="0,0_x000d__x000a_NA_x000d__x000a_" xfId="21" xr:uid="{00000000-0005-0000-0000-000002000000}"/>
    <cellStyle name="Обычный" xfId="0" builtinId="0"/>
    <cellStyle name="Обычный 2" xfId="20" xr:uid="{00000000-0005-0000-0000-000013000000}"/>
    <cellStyle name="Обычный 9" xfId="23" xr:uid="{00000000-0005-0000-0000-000014000000}"/>
    <cellStyle name="Обычный_Бизнес-кейс проекта Пакет мобильного ПО от МТС" xfId="22" xr:uid="{00000000-0005-0000-0000-000015000000}"/>
    <cellStyle name="Процентный" xfId="17" builtinId="5"/>
    <cellStyle name="Стиль 1" xfId="1" xr:uid="{00000000-0005-0000-0000-000017000000}"/>
    <cellStyle name="Финансовый" xfId="18" builtinId="3"/>
    <cellStyle name="Финансовый_Маркетинг" xfId="19" xr:uid="{00000000-0005-0000-0000-000019000000}"/>
    <cellStyle name="Comma_MOO-KFA005-20040629-AK3wm-r 110M-PFS-U Marketing revenue form per site PFS based" xfId="4" xr:uid="{00000000-0005-0000-0000-000003000000}"/>
    <cellStyle name="Comma0" xfId="5" xr:uid="{00000000-0005-0000-0000-000004000000}"/>
    <cellStyle name="Currency0" xfId="6" xr:uid="{00000000-0005-0000-0000-000005000000}"/>
    <cellStyle name="Date" xfId="7" xr:uid="{00000000-0005-0000-0000-000006000000}"/>
    <cellStyle name="Fixed" xfId="8" xr:uid="{00000000-0005-0000-0000-000007000000}"/>
    <cellStyle name="Heading 1" xfId="9" xr:uid="{00000000-0005-0000-0000-000008000000}"/>
    <cellStyle name="Heading 2" xfId="10" xr:uid="{00000000-0005-0000-0000-000009000000}"/>
    <cellStyle name="Normal_~8672622" xfId="11" xr:uid="{00000000-0005-0000-0000-00000A000000}"/>
    <cellStyle name="Normal_MOO-KFA005-20040524-AK1wm-r Norms to build the models" xfId="12" xr:uid="{00000000-0005-0000-0000-00000B000000}"/>
    <cellStyle name="Normal_MOO-KFA005-20040617-AK2wm-r 100M-PFS-U Marketing revenue form per site PFS based" xfId="13" xr:uid="{00000000-0005-0000-0000-00000C000000}"/>
    <cellStyle name="Normal_MOO-KFA005-20040629-AK3wm-r 110M-PFS-U Marketing revenue form per site PFS based" xfId="14" xr:uid="{00000000-0005-0000-0000-00000D000000}"/>
    <cellStyle name="Standard_Bilanz" xfId="15" xr:uid="{00000000-0005-0000-0000-00000E000000}"/>
    <cellStyle name="Total" xfId="16" xr:uid="{00000000-0005-0000-0000-00000F000000}"/>
  </cellStyles>
  <dxfs count="9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E30611"/>
      <color rgb="FFBEBDCD"/>
      <color rgb="FFCDF2FF"/>
      <color rgb="FFC2FCB2"/>
      <color rgb="FFF4C7FD"/>
      <color rgb="FFFB757B"/>
      <color rgb="FFA7D9FF"/>
      <color rgb="FF69BFFF"/>
      <color rgb="FFECECEC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>
                <a:solidFill>
                  <a:srgbClr val="E30611"/>
                </a:solidFill>
              </a:rPr>
              <a:t>Динамика </a:t>
            </a:r>
            <a:r>
              <a:rPr lang="en-US" sz="1400" b="1">
                <a:solidFill>
                  <a:srgbClr val="E30611"/>
                </a:solidFill>
              </a:rPr>
              <a:t>NPV</a:t>
            </a:r>
            <a:r>
              <a:rPr lang="ru-RU" sz="1400" b="1">
                <a:solidFill>
                  <a:srgbClr val="E30611"/>
                </a:solidFill>
              </a:rPr>
              <a:t>, руб.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'Таблицы для БП'!$B$72:$C$72</c:f>
              <c:strCache>
                <c:ptCount val="2"/>
                <c:pt idx="0">
                  <c:v>Накопленный дисконтир. денежный поток</c:v>
                </c:pt>
                <c:pt idx="1">
                  <c:v>руб.</c:v>
                </c:pt>
              </c:strCache>
            </c:strRef>
          </c:tx>
          <c:spPr>
            <a:solidFill>
              <a:srgbClr val="E30611">
                <a:alpha val="50000"/>
              </a:srgbClr>
            </a:solidFill>
            <a:ln>
              <a:solidFill>
                <a:srgbClr val="E30611"/>
              </a:solidFill>
            </a:ln>
            <a:effectLst/>
          </c:spPr>
          <c:dLbls>
            <c:dLbl>
              <c:idx val="0"/>
              <c:layout>
                <c:manualLayout>
                  <c:x val="2.0635705907451094E-2"/>
                  <c:y val="-7.616346416171668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86-4DA2-9EC6-8DF7CC484FDB}"/>
                </c:ext>
              </c:extLst>
            </c:dLbl>
            <c:dLbl>
              <c:idx val="7"/>
              <c:layout>
                <c:manualLayout>
                  <c:x val="-2.18495709608305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86-4DA2-9EC6-8DF7CC484FDB}"/>
                </c:ext>
              </c:extLst>
            </c:dLbl>
            <c:numFmt formatCode="##,#0\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'Таблицы для БП'!$D$1:$G$1</c:f>
              <c:strCache>
                <c:ptCount val="4"/>
                <c:pt idx="0">
                  <c:v>2022 год</c:v>
                </c:pt>
                <c:pt idx="1">
                  <c:v>2023 год</c:v>
                </c:pt>
                <c:pt idx="2">
                  <c:v>2024 год</c:v>
                </c:pt>
                <c:pt idx="3">
                  <c:v>2025 год</c:v>
                </c:pt>
              </c:strCache>
            </c:strRef>
          </c:cat>
          <c:val>
            <c:numRef>
              <c:f>'Таблицы для БП'!$D$72:$G$72</c:f>
              <c:numCache>
                <c:formatCode>#\ ##0_ ;[Red]\-#\ ##0\ </c:formatCode>
                <c:ptCount val="4"/>
                <c:pt idx="0">
                  <c:v>-419026.28788095154</c:v>
                </c:pt>
                <c:pt idx="1">
                  <c:v>-782425.05551530374</c:v>
                </c:pt>
                <c:pt idx="2">
                  <c:v>-508439.40833818406</c:v>
                </c:pt>
                <c:pt idx="3">
                  <c:v>113182.52449379949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6-4DA2-9EC6-8DF7CC484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733584"/>
        <c:axId val="756735544"/>
      </c:areaChart>
      <c:catAx>
        <c:axId val="75673358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6735544"/>
        <c:crosses val="autoZero"/>
        <c:auto val="1"/>
        <c:lblAlgn val="ctr"/>
        <c:lblOffset val="100"/>
        <c:noMultiLvlLbl val="0"/>
      </c:catAx>
      <c:valAx>
        <c:axId val="75673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CECEC"/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6733584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>
                <a:solidFill>
                  <a:srgbClr val="E30611"/>
                </a:solidFill>
              </a:rPr>
              <a:t>Динамика </a:t>
            </a:r>
            <a:r>
              <a:rPr lang="en-US" sz="1400" b="1">
                <a:solidFill>
                  <a:srgbClr val="E30611"/>
                </a:solidFill>
              </a:rPr>
              <a:t>NPV</a:t>
            </a:r>
            <a:r>
              <a:rPr lang="ru-RU" sz="1400" b="1">
                <a:solidFill>
                  <a:srgbClr val="E30611"/>
                </a:solidFill>
              </a:rPr>
              <a:t>, руб. </a:t>
            </a:r>
          </a:p>
        </c:rich>
      </c:tx>
      <c:layout>
        <c:manualLayout>
          <c:xMode val="edge"/>
          <c:yMode val="edge"/>
          <c:x val="0.4344018464710031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0536708130553859E-2"/>
          <c:y val="0.10806675500031548"/>
          <c:w val="0.93727246988442769"/>
          <c:h val="0.78511704492688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Ден.поток!$E$2:$AF$2</c:f>
              <c:strCache>
                <c:ptCount val="28"/>
                <c:pt idx="0">
                  <c:v>3Q22</c:v>
                </c:pt>
                <c:pt idx="1">
                  <c:v>4Q22</c:v>
                </c:pt>
                <c:pt idx="2">
                  <c:v>1Q23</c:v>
                </c:pt>
                <c:pt idx="3">
                  <c:v>2Q23</c:v>
                </c:pt>
                <c:pt idx="4">
                  <c:v>3Q23</c:v>
                </c:pt>
                <c:pt idx="5">
                  <c:v>4Q23</c:v>
                </c:pt>
                <c:pt idx="6">
                  <c:v>1Q24</c:v>
                </c:pt>
                <c:pt idx="7">
                  <c:v>2Q24</c:v>
                </c:pt>
                <c:pt idx="8">
                  <c:v>3Q24</c:v>
                </c:pt>
                <c:pt idx="9">
                  <c:v>4Q24</c:v>
                </c:pt>
                <c:pt idx="10">
                  <c:v>1Q25</c:v>
                </c:pt>
                <c:pt idx="11">
                  <c:v>2Q25</c:v>
                </c:pt>
                <c:pt idx="12">
                  <c:v>3Q25</c:v>
                </c:pt>
                <c:pt idx="13">
                  <c:v>4Q25</c:v>
                </c:pt>
                <c:pt idx="14">
                  <c:v>1Q26</c:v>
                </c:pt>
                <c:pt idx="15">
                  <c:v>2Q26</c:v>
                </c:pt>
                <c:pt idx="16">
                  <c:v>3Q26</c:v>
                </c:pt>
                <c:pt idx="17">
                  <c:v>4Q26</c:v>
                </c:pt>
                <c:pt idx="18">
                  <c:v>1Q27</c:v>
                </c:pt>
                <c:pt idx="19">
                  <c:v>2Q27</c:v>
                </c:pt>
                <c:pt idx="20">
                  <c:v>3Q27</c:v>
                </c:pt>
                <c:pt idx="21">
                  <c:v>4Q27</c:v>
                </c:pt>
                <c:pt idx="22">
                  <c:v>1Q28</c:v>
                </c:pt>
                <c:pt idx="23">
                  <c:v>2Q28</c:v>
                </c:pt>
                <c:pt idx="24">
                  <c:v>3Q28</c:v>
                </c:pt>
                <c:pt idx="25">
                  <c:v>4Q28</c:v>
                </c:pt>
                <c:pt idx="26">
                  <c:v>1Q29</c:v>
                </c:pt>
                <c:pt idx="27">
                  <c:v>2Q29</c:v>
                </c:pt>
              </c:strCache>
            </c:strRef>
          </c:tx>
          <c:spPr>
            <a:noFill/>
            <a:ln>
              <a:solidFill>
                <a:srgbClr val="E30611"/>
              </a:solidFill>
            </a:ln>
            <a:effectLst/>
          </c:spPr>
          <c:invertIfNegative val="0"/>
          <c:dLbls>
            <c:numFmt formatCode="##,#0\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E3061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Ден.поток!$E$2:$AF$2</c:f>
              <c:strCache>
                <c:ptCount val="28"/>
                <c:pt idx="0">
                  <c:v>3Q22</c:v>
                </c:pt>
                <c:pt idx="1">
                  <c:v>4Q22</c:v>
                </c:pt>
                <c:pt idx="2">
                  <c:v>1Q23</c:v>
                </c:pt>
                <c:pt idx="3">
                  <c:v>2Q23</c:v>
                </c:pt>
                <c:pt idx="4">
                  <c:v>3Q23</c:v>
                </c:pt>
                <c:pt idx="5">
                  <c:v>4Q23</c:v>
                </c:pt>
                <c:pt idx="6">
                  <c:v>1Q24</c:v>
                </c:pt>
                <c:pt idx="7">
                  <c:v>2Q24</c:v>
                </c:pt>
                <c:pt idx="8">
                  <c:v>3Q24</c:v>
                </c:pt>
                <c:pt idx="9">
                  <c:v>4Q24</c:v>
                </c:pt>
                <c:pt idx="10">
                  <c:v>1Q25</c:v>
                </c:pt>
                <c:pt idx="11">
                  <c:v>2Q25</c:v>
                </c:pt>
                <c:pt idx="12">
                  <c:v>3Q25</c:v>
                </c:pt>
                <c:pt idx="13">
                  <c:v>4Q25</c:v>
                </c:pt>
                <c:pt idx="14">
                  <c:v>1Q26</c:v>
                </c:pt>
                <c:pt idx="15">
                  <c:v>2Q26</c:v>
                </c:pt>
                <c:pt idx="16">
                  <c:v>3Q26</c:v>
                </c:pt>
                <c:pt idx="17">
                  <c:v>4Q26</c:v>
                </c:pt>
                <c:pt idx="18">
                  <c:v>1Q27</c:v>
                </c:pt>
                <c:pt idx="19">
                  <c:v>2Q27</c:v>
                </c:pt>
                <c:pt idx="20">
                  <c:v>3Q27</c:v>
                </c:pt>
                <c:pt idx="21">
                  <c:v>4Q27</c:v>
                </c:pt>
                <c:pt idx="22">
                  <c:v>1Q28</c:v>
                </c:pt>
                <c:pt idx="23">
                  <c:v>2Q28</c:v>
                </c:pt>
                <c:pt idx="24">
                  <c:v>3Q28</c:v>
                </c:pt>
                <c:pt idx="25">
                  <c:v>4Q28</c:v>
                </c:pt>
                <c:pt idx="26">
                  <c:v>1Q29</c:v>
                </c:pt>
                <c:pt idx="27">
                  <c:v>2Q29</c:v>
                </c:pt>
              </c:strCache>
            </c:strRef>
          </c:cat>
          <c:val>
            <c:numRef>
              <c:f>Ден.поток!$E$20:$AF$20</c:f>
              <c:numCache>
                <c:formatCode>#,##0</c:formatCode>
                <c:ptCount val="28"/>
                <c:pt idx="0">
                  <c:v>-229238.37439999991</c:v>
                </c:pt>
                <c:pt idx="1">
                  <c:v>-419026.28788095154</c:v>
                </c:pt>
                <c:pt idx="2">
                  <c:v>-569264.78564353031</c:v>
                </c:pt>
                <c:pt idx="3">
                  <c:v>-679979.82114705443</c:v>
                </c:pt>
                <c:pt idx="4">
                  <c:v>-751044.72948364925</c:v>
                </c:pt>
                <c:pt idx="5">
                  <c:v>-782425.05551530363</c:v>
                </c:pt>
                <c:pt idx="6">
                  <c:v>-773993.63928267325</c:v>
                </c:pt>
                <c:pt idx="7">
                  <c:v>-725567.52179683547</c:v>
                </c:pt>
                <c:pt idx="8">
                  <c:v>-637136.99032334657</c:v>
                </c:pt>
                <c:pt idx="9">
                  <c:v>-508439.408338184</c:v>
                </c:pt>
                <c:pt idx="10">
                  <c:v>-339256.90040503879</c:v>
                </c:pt>
                <c:pt idx="11">
                  <c:v>-129425.88645405174</c:v>
                </c:pt>
                <c:pt idx="12">
                  <c:v>121275.79239560809</c:v>
                </c:pt>
                <c:pt idx="13">
                  <c:v>113182.52449379946</c:v>
                </c:pt>
                <c:pt idx="14">
                  <c:v>153307.67282492382</c:v>
                </c:pt>
                <c:pt idx="15">
                  <c:v>241839.3159685196</c:v>
                </c:pt>
                <c:pt idx="16">
                  <c:v>-688574.87811621651</c:v>
                </c:pt>
                <c:pt idx="17">
                  <c:v>-502503.42097664764</c:v>
                </c:pt>
                <c:pt idx="18">
                  <c:v>-267313.06121356093</c:v>
                </c:pt>
                <c:pt idx="19">
                  <c:v>17276.216881104396</c:v>
                </c:pt>
                <c:pt idx="20">
                  <c:v>351606.2026705048</c:v>
                </c:pt>
                <c:pt idx="21">
                  <c:v>736014.3525124127</c:v>
                </c:pt>
                <c:pt idx="22">
                  <c:v>1170885.4904832477</c:v>
                </c:pt>
                <c:pt idx="23">
                  <c:v>700220.17199602234</c:v>
                </c:pt>
                <c:pt idx="24">
                  <c:v>302331.12173073593</c:v>
                </c:pt>
                <c:pt idx="25">
                  <c:v>-22749.68715640856</c:v>
                </c:pt>
                <c:pt idx="26">
                  <c:v>-274998.40172199544</c:v>
                </c:pt>
                <c:pt idx="27">
                  <c:v>-454324.36964085791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D-44E5-9359-174878489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56734760"/>
        <c:axId val="756735152"/>
      </c:barChart>
      <c:catAx>
        <c:axId val="756734760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6735152"/>
        <c:crosses val="autoZero"/>
        <c:auto val="1"/>
        <c:lblAlgn val="ctr"/>
        <c:lblOffset val="100"/>
        <c:noMultiLvlLbl val="0"/>
      </c:catAx>
      <c:valAx>
        <c:axId val="75673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CECEC"/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673476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5076</xdr:colOff>
      <xdr:row>10</xdr:row>
      <xdr:rowOff>47321</xdr:rowOff>
    </xdr:from>
    <xdr:to>
      <xdr:col>5</xdr:col>
      <xdr:colOff>4</xdr:colOff>
      <xdr:row>24</xdr:row>
      <xdr:rowOff>163463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826937</xdr:colOff>
      <xdr:row>21</xdr:row>
      <xdr:rowOff>138024</xdr:rowOff>
    </xdr:from>
    <xdr:to>
      <xdr:col>15</xdr:col>
      <xdr:colOff>23003</xdr:colOff>
      <xdr:row>39</xdr:row>
      <xdr:rowOff>69012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sk.mts.ru/MSK/msk.mts.ru/Documents%20and%20Settings/oldokuch/Application%20Data/Microsoft/Excel/&#1055;&#1088;&#1080;&#1083;&#1086;&#1078;&#1077;&#1085;&#1080;&#1077;%2014_&#1052;&#1086;&#1076;&#1077;&#1083;&#1100;%20&#1088;&#1072;&#1089;&#1095;&#1077;&#1090;&#1072;%20&#1101;&#1092;&#1092;&#1077;&#1082;&#1090;&#1080;&#1074;&#1085;&#1086;&#1089;&#1090;&#1080;%20&#1087;&#1086;%20&#1085;&#1077;&#1076;&#1074;&#1080;&#1078;&#1080;&#1084;&#1086;&#1089;&#1090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sk.mts.ru/MSK/msk.mts.ru/TEMP/notesC909AA/&#1052;&#1086;&#1076;&#1077;&#1083;&#1100;%20&#1087;&#1086;%20&#1042;&#1054;&#1051;&#10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B1:N26"/>
  <sheetViews>
    <sheetView showGridLines="0" zoomScale="90" zoomScaleNormal="90" workbookViewId="0">
      <selection activeCell="E10" sqref="E10"/>
    </sheetView>
  </sheetViews>
  <sheetFormatPr baseColWidth="10" defaultColWidth="9.1640625" defaultRowHeight="16"/>
  <cols>
    <col min="1" max="1" width="9.1640625" style="60"/>
    <col min="2" max="2" width="20" style="60" customWidth="1"/>
    <col min="3" max="3" width="69.1640625" style="60" customWidth="1"/>
    <col min="4" max="4" width="16.6640625" style="60" customWidth="1"/>
    <col min="5" max="5" width="25.83203125" style="61" customWidth="1"/>
    <col min="6" max="33" width="11.5" style="60" customWidth="1"/>
    <col min="34" max="16384" width="9.1640625" style="60"/>
  </cols>
  <sheetData>
    <row r="1" spans="2:14" s="62" customFormat="1" ht="17" thickBot="1">
      <c r="E1" s="67"/>
    </row>
    <row r="2" spans="2:14" s="62" customFormat="1" ht="63.25" customHeight="1">
      <c r="B2" s="157" t="s">
        <v>106</v>
      </c>
      <c r="C2" s="408"/>
      <c r="D2" s="409"/>
      <c r="E2" s="410"/>
      <c r="F2" s="158"/>
      <c r="G2" s="156"/>
      <c r="H2" s="156"/>
      <c r="I2" s="156"/>
      <c r="J2" s="156"/>
      <c r="K2" s="156"/>
      <c r="L2" s="156"/>
      <c r="M2" s="156"/>
      <c r="N2" s="156"/>
    </row>
    <row r="3" spans="2:14" s="62" customFormat="1" ht="21">
      <c r="B3" s="159"/>
      <c r="C3" s="161"/>
      <c r="E3" s="67"/>
      <c r="F3" s="160"/>
    </row>
    <row r="4" spans="2:14" s="62" customFormat="1" ht="26">
      <c r="B4" s="159"/>
      <c r="C4" s="162" t="s">
        <v>107</v>
      </c>
      <c r="D4" s="163"/>
      <c r="E4" s="164"/>
      <c r="F4" s="165"/>
      <c r="G4" s="68"/>
    </row>
    <row r="5" spans="2:14" s="66" customFormat="1" ht="32" customHeight="1">
      <c r="B5" s="166"/>
      <c r="C5" s="179" t="s">
        <v>23</v>
      </c>
      <c r="D5" s="180" t="s">
        <v>3</v>
      </c>
      <c r="E5" s="181">
        <f>Осн.положения!D8</f>
        <v>9.5000000000000001E-2</v>
      </c>
      <c r="F5" s="168"/>
      <c r="G5" s="70"/>
    </row>
    <row r="6" spans="2:14" s="66" customFormat="1" ht="32" customHeight="1">
      <c r="B6" s="166"/>
      <c r="C6" s="182" t="s">
        <v>41</v>
      </c>
      <c r="D6" s="167" t="s">
        <v>71</v>
      </c>
      <c r="E6" s="183">
        <f>Ден.поток!AG19</f>
        <v>-454324.36964085791</v>
      </c>
      <c r="F6" s="168"/>
      <c r="G6" s="70"/>
    </row>
    <row r="7" spans="2:14" s="66" customFormat="1" ht="32" customHeight="1">
      <c r="B7" s="166"/>
      <c r="C7" s="182" t="s">
        <v>36</v>
      </c>
      <c r="D7" s="167" t="s">
        <v>71</v>
      </c>
      <c r="E7" s="184" t="e">
        <f>'Таблицы для БП'!D79</f>
        <v>#NUM!</v>
      </c>
      <c r="F7" s="168"/>
      <c r="G7" s="70"/>
    </row>
    <row r="8" spans="2:14" s="69" customFormat="1" ht="32" customHeight="1">
      <c r="B8" s="166"/>
      <c r="C8" s="182" t="s">
        <v>35</v>
      </c>
      <c r="D8" s="167" t="s">
        <v>3</v>
      </c>
      <c r="E8" s="184">
        <f>'Таблицы для БП'!D81</f>
        <v>-454324.36964085791</v>
      </c>
      <c r="F8" s="169"/>
      <c r="G8" s="63"/>
    </row>
    <row r="9" spans="2:14" s="69" customFormat="1" ht="32" customHeight="1">
      <c r="B9" s="166"/>
      <c r="C9" s="185" t="s">
        <v>108</v>
      </c>
      <c r="D9" s="167" t="s">
        <v>94</v>
      </c>
      <c r="E9" s="186">
        <f>'Таблицы для БП'!D80</f>
        <v>4.75</v>
      </c>
      <c r="F9" s="169"/>
      <c r="G9" s="63"/>
    </row>
    <row r="10" spans="2:14" s="69" customFormat="1" ht="32" customHeight="1">
      <c r="B10" s="166"/>
      <c r="C10" s="187" t="s">
        <v>109</v>
      </c>
      <c r="D10" s="188" t="s">
        <v>71</v>
      </c>
      <c r="E10" s="189">
        <f>-Ден.поток!AG14</f>
        <v>1</v>
      </c>
      <c r="F10" s="169"/>
      <c r="G10" s="63"/>
    </row>
    <row r="11" spans="2:14">
      <c r="B11" s="170"/>
      <c r="F11" s="171"/>
    </row>
    <row r="12" spans="2:14" ht="19">
      <c r="B12" s="170"/>
      <c r="C12" s="172"/>
      <c r="D12" s="173"/>
      <c r="E12" s="174"/>
      <c r="F12" s="171"/>
    </row>
    <row r="13" spans="2:14" ht="19">
      <c r="B13" s="170"/>
      <c r="C13" s="172"/>
      <c r="D13" s="173"/>
      <c r="E13" s="174"/>
      <c r="F13" s="171"/>
    </row>
    <row r="14" spans="2:14" ht="19">
      <c r="B14" s="170"/>
      <c r="C14" s="172"/>
      <c r="D14" s="173"/>
      <c r="E14" s="174"/>
      <c r="F14" s="171"/>
    </row>
    <row r="15" spans="2:14">
      <c r="B15" s="170"/>
      <c r="F15" s="171"/>
    </row>
    <row r="16" spans="2:14">
      <c r="B16" s="170"/>
      <c r="F16" s="171"/>
    </row>
    <row r="17" spans="2:6">
      <c r="B17" s="170"/>
      <c r="F17" s="171"/>
    </row>
    <row r="18" spans="2:6">
      <c r="B18" s="170"/>
      <c r="F18" s="171"/>
    </row>
    <row r="19" spans="2:6">
      <c r="B19" s="170"/>
      <c r="F19" s="171"/>
    </row>
    <row r="20" spans="2:6">
      <c r="B20" s="170"/>
      <c r="F20" s="171"/>
    </row>
    <row r="21" spans="2:6">
      <c r="B21" s="170"/>
      <c r="F21" s="171"/>
    </row>
    <row r="22" spans="2:6">
      <c r="B22" s="170"/>
      <c r="F22" s="171"/>
    </row>
    <row r="23" spans="2:6">
      <c r="B23" s="170"/>
      <c r="F23" s="171"/>
    </row>
    <row r="24" spans="2:6">
      <c r="B24" s="170"/>
      <c r="F24" s="171"/>
    </row>
    <row r="25" spans="2:6">
      <c r="B25" s="170"/>
      <c r="F25" s="171"/>
    </row>
    <row r="26" spans="2:6" ht="17" thickBot="1">
      <c r="B26" s="175"/>
      <c r="C26" s="176"/>
      <c r="D26" s="176"/>
      <c r="E26" s="177"/>
      <c r="F26" s="178"/>
    </row>
  </sheetData>
  <mergeCells count="1">
    <mergeCell ref="C2:E2"/>
  </mergeCells>
  <phoneticPr fontId="2" type="noConversion"/>
  <printOptions horizontalCentered="1" verticalCentered="1"/>
  <pageMargins left="0" right="0" top="0" bottom="0" header="0" footer="0"/>
  <pageSetup paperSize="9" scale="62" orientation="landscape" horizontalDpi="300" verticalDpi="300" r:id="rId1"/>
  <headerFooter alignWithMargins="0">
    <oddHeader>&amp;RПриложение 16 к РП-199-5 «Утверждение и открытие финансирования по инвестиционным проектам»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Q84"/>
  <sheetViews>
    <sheetView showGridLines="0" zoomScale="80" zoomScaleNormal="8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38" sqref="G38"/>
    </sheetView>
  </sheetViews>
  <sheetFormatPr baseColWidth="10" defaultColWidth="9.1640625" defaultRowHeight="16"/>
  <cols>
    <col min="1" max="1" width="5.5" style="2" customWidth="1"/>
    <col min="2" max="2" width="73.1640625" style="2" bestFit="1" customWidth="1"/>
    <col min="3" max="3" width="10.5" style="2" bestFit="1" customWidth="1"/>
    <col min="4" max="4" width="23.33203125" style="2" bestFit="1" customWidth="1"/>
    <col min="5" max="6" width="20" style="2" bestFit="1" customWidth="1"/>
    <col min="7" max="11" width="21.83203125" style="2" bestFit="1" customWidth="1"/>
    <col min="12" max="12" width="12.6640625" style="2" bestFit="1" customWidth="1"/>
    <col min="13" max="13" width="14.1640625" style="2" bestFit="1" customWidth="1"/>
    <col min="14" max="14" width="12.6640625" style="2" bestFit="1" customWidth="1"/>
    <col min="15" max="15" width="9.1640625" style="2"/>
    <col min="16" max="16" width="13.83203125" style="2" customWidth="1"/>
    <col min="17" max="16384" width="9.1640625" style="2"/>
  </cols>
  <sheetData>
    <row r="1" spans="2:17">
      <c r="D1" s="155" t="str">
        <f>D2 &amp; " год"</f>
        <v>2022 год</v>
      </c>
      <c r="E1" s="155" t="str">
        <f t="shared" ref="E1:J1" si="0">E2 &amp; " год"</f>
        <v>2023 год</v>
      </c>
      <c r="F1" s="155" t="str">
        <f t="shared" si="0"/>
        <v>2024 год</v>
      </c>
      <c r="G1" s="155" t="str">
        <f t="shared" si="0"/>
        <v>2025 год</v>
      </c>
      <c r="H1" s="155" t="str">
        <f t="shared" si="0"/>
        <v>2026 год</v>
      </c>
      <c r="I1" s="155" t="str">
        <f t="shared" si="0"/>
        <v>2027 год</v>
      </c>
      <c r="J1" s="155" t="str">
        <f t="shared" si="0"/>
        <v>2028 год</v>
      </c>
    </row>
    <row r="2" spans="2:17">
      <c r="B2" s="411" t="s">
        <v>74</v>
      </c>
      <c r="C2" s="412"/>
      <c r="D2" s="1">
        <f>YEAR(Осн.положения!$B$4)</f>
        <v>2022</v>
      </c>
      <c r="E2" s="1">
        <f>D2+1</f>
        <v>2023</v>
      </c>
      <c r="F2" s="1">
        <f t="shared" ref="F2:G2" si="1">E2+1</f>
        <v>2024</v>
      </c>
      <c r="G2" s="1">
        <f t="shared" si="1"/>
        <v>2025</v>
      </c>
      <c r="H2" s="1">
        <f t="shared" ref="H2" si="2">G2+1</f>
        <v>2026</v>
      </c>
      <c r="I2" s="1">
        <f t="shared" ref="I2" si="3">H2+1</f>
        <v>2027</v>
      </c>
      <c r="J2" s="1">
        <f t="shared" ref="J2" si="4">I2+1</f>
        <v>2028</v>
      </c>
    </row>
    <row r="3" spans="2:17">
      <c r="B3" s="3"/>
      <c r="D3" s="4"/>
      <c r="E3" s="5"/>
      <c r="F3" s="5"/>
      <c r="G3" s="5"/>
    </row>
    <row r="5" spans="2:17">
      <c r="B5" s="11" t="s">
        <v>140</v>
      </c>
      <c r="D5" s="3"/>
    </row>
    <row r="6" spans="2:17" ht="17">
      <c r="B6" s="16" t="s">
        <v>103</v>
      </c>
      <c r="C6" s="16" t="s">
        <v>75</v>
      </c>
      <c r="D6" s="18">
        <f t="shared" ref="D6:J6" si="5">D2</f>
        <v>2022</v>
      </c>
      <c r="E6" s="18">
        <f t="shared" si="5"/>
        <v>2023</v>
      </c>
      <c r="F6" s="18">
        <f t="shared" si="5"/>
        <v>2024</v>
      </c>
      <c r="G6" s="18">
        <f t="shared" si="5"/>
        <v>2025</v>
      </c>
      <c r="H6" s="18">
        <f t="shared" si="5"/>
        <v>2026</v>
      </c>
      <c r="I6" s="18">
        <f t="shared" si="5"/>
        <v>2027</v>
      </c>
      <c r="J6" s="18">
        <f t="shared" si="5"/>
        <v>2028</v>
      </c>
      <c r="K6" s="19" t="s">
        <v>0</v>
      </c>
    </row>
    <row r="7" spans="2:17" s="29" customFormat="1" ht="17">
      <c r="B7" s="225" t="str">
        <f>Доходы!B3</f>
        <v>Почтовый ящик Standart 5 GB</v>
      </c>
      <c r="C7" s="20" t="s">
        <v>71</v>
      </c>
      <c r="D7" s="27">
        <f>SUMIF(Доходы!$F$2:$AH$2,CONCATENATE("*",RIGHT(D$6,2)),Доходы!$F$3:$AH$3)</f>
        <v>738000</v>
      </c>
      <c r="E7" s="27">
        <f>SUMIF(Доходы!$F$2:$AH$2,CONCATENATE("*",RIGHT(E$6,2)),Доходы!$F$3:$AH$3)</f>
        <v>1711062.5</v>
      </c>
      <c r="F7" s="27">
        <f>SUMIF(Доходы!$F$2:$AH$2,CONCATENATE("*",RIGHT(F$6,2)),Доходы!$F$3:$AH$3)</f>
        <v>2080437.5</v>
      </c>
      <c r="G7" s="27">
        <f>SUMIF(Доходы!$F$2:$AH$2,CONCATENATE("*",RIGHT(G$6,2)),Доходы!$F$3:$AH$3)</f>
        <v>2529375</v>
      </c>
      <c r="H7" s="27">
        <f>SUMIF(Доходы!$F$2:$AH$2,CONCATENATE("*",RIGHT(H$6,2)),Доходы!$F$3:$AH$3)</f>
        <v>3074937.5</v>
      </c>
      <c r="I7" s="27">
        <f>SUMIF(Доходы!$F$2:$AH$2,CONCATENATE("*",RIGHT(I$6,2)),Доходы!$F$3:$AH$3)</f>
        <v>3738062.5</v>
      </c>
      <c r="J7" s="27">
        <f>SUMIF(Доходы!$F$2:$AH$2,CONCATENATE("*",RIGHT(J$6,2)),Доходы!$F$3:$AH$3)</f>
        <v>4544125</v>
      </c>
      <c r="K7" s="28">
        <f>SUM(D7:J7)</f>
        <v>18416000</v>
      </c>
      <c r="N7" s="295"/>
      <c r="Q7" s="295"/>
    </row>
    <row r="8" spans="2:17" s="29" customFormat="1" ht="17">
      <c r="B8" s="225" t="str">
        <f>Доходы!B4</f>
        <v>Почтовый ящик Standart 10 GB</v>
      </c>
      <c r="C8" s="20" t="s">
        <v>71</v>
      </c>
      <c r="D8" s="27">
        <f>SUMIF(Доходы!$F$2:$AH$2,CONCATENATE("*",RIGHT(D$6,2)),Доходы!$F$4:$AH$4)</f>
        <v>466818</v>
      </c>
      <c r="E8" s="27">
        <f>SUMIF(Доходы!$F$2:$AH$2,CONCATENATE("*",RIGHT(E$6,2)),Доходы!$F$4:$AH$4)</f>
        <v>1082598</v>
      </c>
      <c r="F8" s="27">
        <f>SUMIF(Доходы!$F$2:$AH$2,CONCATENATE("*",RIGHT(F$6,2)),Доходы!$F$4:$AH$4)</f>
        <v>1316436</v>
      </c>
      <c r="G8" s="27">
        <f>SUMIF(Доходы!$F$2:$AH$2,CONCATENATE("*",RIGHT(G$6,2)),Доходы!$F$4:$AH$4)</f>
        <v>1600698</v>
      </c>
      <c r="H8" s="27">
        <f>SUMIF(Доходы!$F$2:$AH$2,CONCATENATE("*",RIGHT(H$6,2)),Доходы!$F$4:$AH$4)</f>
        <v>1946406</v>
      </c>
      <c r="I8" s="27">
        <f>SUMIF(Доходы!$F$2:$AH$2,CONCATENATE("*",RIGHT(I$6,2)),Доходы!$F$4:$AH$4)</f>
        <v>2366562</v>
      </c>
      <c r="J8" s="27">
        <f>SUMIF(Доходы!$F$2:$AH$2,CONCATENATE("*",RIGHT(J$6,2)),Доходы!$F$4:$AH$4)</f>
        <v>2876940</v>
      </c>
      <c r="K8" s="28">
        <f t="shared" ref="K8:K16" si="6">SUM(D8:J8)</f>
        <v>11656458</v>
      </c>
      <c r="N8" s="295"/>
      <c r="Q8" s="295"/>
    </row>
    <row r="9" spans="2:17" s="29" customFormat="1" ht="17">
      <c r="B9" s="225" t="str">
        <f>Доходы!B5</f>
        <v>Почтовый ящик Standart 25 GB</v>
      </c>
      <c r="C9" s="20" t="s">
        <v>71</v>
      </c>
      <c r="D9" s="27">
        <f>SUMIF(Доходы!$F$2:$AH$2,CONCATENATE("*",RIGHT(D$6,2)),Доходы!$F$5:$AH$5)</f>
        <v>121524</v>
      </c>
      <c r="E9" s="27">
        <f>SUMIF(Доходы!$F$2:$AH$2,CONCATENATE("*",RIGHT(E$6,2)),Доходы!$F$5:$AH$5)</f>
        <v>281884</v>
      </c>
      <c r="F9" s="27">
        <f>SUMIF(Доходы!$F$2:$AH$2,CONCATENATE("*",RIGHT(F$6,2)),Доходы!$F$5:$AH$5)</f>
        <v>343140</v>
      </c>
      <c r="G9" s="27">
        <f>SUMIF(Доходы!$F$2:$AH$2,CONCATENATE("*",RIGHT(G$6,2)),Доходы!$F$5:$AH$5)</f>
        <v>417468</v>
      </c>
      <c r="H9" s="27">
        <f>SUMIF(Доходы!$F$2:$AH$2,CONCATENATE("*",RIGHT(H$6,2)),Доходы!$F$5:$AH$5)</f>
        <v>507984</v>
      </c>
      <c r="I9" s="27">
        <f>SUMIF(Доходы!$F$2:$AH$2,CONCATENATE("*",RIGHT(I$6,2)),Доходы!$F$5:$AH$5)</f>
        <v>618184</v>
      </c>
      <c r="J9" s="27">
        <f>SUMIF(Доходы!$F$2:$AH$2,CONCATENATE("*",RIGHT(J$6,2)),Доходы!$F$5:$AH$5)</f>
        <v>752248</v>
      </c>
      <c r="K9" s="28">
        <f t="shared" si="6"/>
        <v>3042432</v>
      </c>
      <c r="N9" s="295"/>
      <c r="Q9" s="295"/>
    </row>
    <row r="10" spans="2:17" s="29" customFormat="1" ht="17">
      <c r="B10" s="225" t="str">
        <f>Доходы!B6</f>
        <v>Почтовый ящик Standart 40 GB</v>
      </c>
      <c r="C10" s="20" t="s">
        <v>71</v>
      </c>
      <c r="D10" s="27">
        <f>SUMIF(Доходы!$F$2:$AH$2,CONCATENATE("*",RIGHT(D$6,2)),Доходы!$F$6:$AH$6)</f>
        <v>613524</v>
      </c>
      <c r="E10" s="27">
        <f>SUMIF(Доходы!$F$2:$AH$2,CONCATENATE("*",RIGHT(E$6,2)),Доходы!$F$6:$AH$6)</f>
        <v>1422440</v>
      </c>
      <c r="F10" s="27">
        <f>SUMIF(Доходы!$F$2:$AH$2,CONCATENATE("*",RIGHT(F$6,2)),Доходы!$F$6:$AH$6)</f>
        <v>1729804</v>
      </c>
      <c r="G10" s="27">
        <f>SUMIF(Доходы!$F$2:$AH$2,CONCATENATE("*",RIGHT(G$6,2)),Доходы!$F$6:$AH$6)</f>
        <v>2103302</v>
      </c>
      <c r="H10" s="27">
        <f>SUMIF(Доходы!$F$2:$AH$2,CONCATENATE("*",RIGHT(H$6,2)),Доходы!$F$6:$AH$6)</f>
        <v>2557124</v>
      </c>
      <c r="I10" s="27">
        <f>SUMIF(Доходы!$F$2:$AH$2,CONCATENATE("*",RIGHT(I$6,2)),Доходы!$F$6:$AH$6)</f>
        <v>3109158</v>
      </c>
      <c r="J10" s="27">
        <f>SUMIF(Доходы!$F$2:$AH$2,CONCATENATE("*",RIGHT(J$6,2)),Доходы!$F$6:$AH$6)</f>
        <v>3779958</v>
      </c>
      <c r="K10" s="28">
        <f t="shared" si="6"/>
        <v>15315310</v>
      </c>
      <c r="N10" s="295"/>
      <c r="Q10" s="295"/>
    </row>
    <row r="11" spans="2:17" s="29" customFormat="1" ht="17">
      <c r="B11" s="225" t="str">
        <f>Доходы!B7</f>
        <v>Почтовый ящик Standart 50 GB</v>
      </c>
      <c r="C11" s="20" t="s">
        <v>71</v>
      </c>
      <c r="D11" s="27">
        <f>SUMIF(Доходы!$F$2:$AH$2,CONCATENATE("*",RIGHT(D$6,2)),Доходы!$F$7:$AH$7)</f>
        <v>34132.5</v>
      </c>
      <c r="E11" s="27">
        <f>SUMIF(Доходы!$F$2:$AH$2,CONCATENATE("*",RIGHT(E$6,2)),Доходы!$F$7:$AH$7)</f>
        <v>79457.5</v>
      </c>
      <c r="F11" s="27">
        <f>SUMIF(Доходы!$F$2:$AH$2,CONCATENATE("*",RIGHT(F$6,2)),Доходы!$F$7:$AH$7)</f>
        <v>97217.5</v>
      </c>
      <c r="G11" s="27">
        <f>SUMIF(Доходы!$F$2:$AH$2,CONCATENATE("*",RIGHT(G$6,2)),Доходы!$F$7:$AH$7)</f>
        <v>118955</v>
      </c>
      <c r="H11" s="27">
        <f>SUMIF(Доходы!$F$2:$AH$2,CONCATENATE("*",RIGHT(H$6,2)),Доходы!$F$7:$AH$7)</f>
        <v>145595</v>
      </c>
      <c r="I11" s="27">
        <f>SUMIF(Доходы!$F$2:$AH$2,CONCATENATE("*",RIGHT(I$6,2)),Доходы!$F$7:$AH$7)</f>
        <v>178155</v>
      </c>
      <c r="J11" s="27">
        <f>SUMIF(Доходы!$F$2:$AH$2,CONCATENATE("*",RIGHT(J$6,2)),Доходы!$F$7:$AH$7)</f>
        <v>217282.5</v>
      </c>
      <c r="K11" s="28">
        <f t="shared" si="6"/>
        <v>870795</v>
      </c>
      <c r="N11" s="295"/>
      <c r="Q11" s="295"/>
    </row>
    <row r="12" spans="2:17" s="29" customFormat="1" ht="17">
      <c r="B12" s="225" t="str">
        <f>Доходы!B8</f>
        <v>Почтовый ящик Enterprise 5 GB</v>
      </c>
      <c r="C12" s="20" t="s">
        <v>71</v>
      </c>
      <c r="D12" s="27">
        <f>SUMIF(Доходы!$F$2:$AH$2,CONCATENATE("*",RIGHT(D$6,2)),Доходы!$F$8:$AH$8)</f>
        <v>6025.2749999999996</v>
      </c>
      <c r="E12" s="27">
        <f>SUMIF(Доходы!$F$2:$AH$2,CONCATENATE("*",RIGHT(E$6,2)),Доходы!$F$8:$AH$8)</f>
        <v>13235.85</v>
      </c>
      <c r="F12" s="27">
        <f>SUMIF(Доходы!$F$2:$AH$2,CONCATENATE("*",RIGHT(F$6,2)),Доходы!$F$8:$AH$8)</f>
        <v>14816.250000000002</v>
      </c>
      <c r="G12" s="27">
        <f>SUMIF(Доходы!$F$2:$AH$2,CONCATENATE("*",RIGHT(G$6,2)),Доходы!$F$8:$AH$8)</f>
        <v>16396.649999999998</v>
      </c>
      <c r="H12" s="27">
        <f>SUMIF(Доходы!$F$2:$AH$2,CONCATENATE("*",RIGHT(H$6,2)),Доходы!$F$8:$AH$8)</f>
        <v>17977.049999999996</v>
      </c>
      <c r="I12" s="27">
        <f>SUMIF(Доходы!$F$2:$AH$2,CONCATENATE("*",RIGHT(I$6,2)),Доходы!$F$8:$AH$8)</f>
        <v>19557.449999999997</v>
      </c>
      <c r="J12" s="27">
        <f>SUMIF(Доходы!$F$2:$AH$2,CONCATENATE("*",RIGHT(J$6,2)),Доходы!$F$8:$AH$8)</f>
        <v>21137.85</v>
      </c>
      <c r="K12" s="28">
        <f t="shared" si="6"/>
        <v>109146.37499999997</v>
      </c>
      <c r="N12" s="295"/>
      <c r="Q12" s="295"/>
    </row>
    <row r="13" spans="2:17" s="29" customFormat="1" ht="17">
      <c r="B13" s="225" t="str">
        <f>Доходы!B9</f>
        <v>Почтовый ящик Enterprise 10 GB</v>
      </c>
      <c r="C13" s="20" t="s">
        <v>71</v>
      </c>
      <c r="D13" s="27">
        <f>SUMIF(Доходы!$F$2:$AH$2,CONCATENATE("*",RIGHT(D$6,2)),Доходы!$F$9:$AH$9)</f>
        <v>6228.2525000000005</v>
      </c>
      <c r="E13" s="27">
        <f>SUMIF(Доходы!$F$2:$AH$2,CONCATENATE("*",RIGHT(E$6,2)),Доходы!$F$9:$AH$9)</f>
        <v>13681.735000000001</v>
      </c>
      <c r="F13" s="27">
        <f>SUMIF(Доходы!$F$2:$AH$2,CONCATENATE("*",RIGHT(F$6,2)),Доходы!$F$9:$AH$9)</f>
        <v>15315.375000000004</v>
      </c>
      <c r="G13" s="27">
        <f>SUMIF(Доходы!$F$2:$AH$2,CONCATENATE("*",RIGHT(G$6,2)),Доходы!$F$9:$AH$9)</f>
        <v>16949.015000000003</v>
      </c>
      <c r="H13" s="27">
        <f>SUMIF(Доходы!$F$2:$AH$2,CONCATENATE("*",RIGHT(H$6,2)),Доходы!$F$9:$AH$9)</f>
        <v>18582.655000000002</v>
      </c>
      <c r="I13" s="27">
        <f>SUMIF(Доходы!$F$2:$AH$2,CONCATENATE("*",RIGHT(I$6,2)),Доходы!$F$9:$AH$9)</f>
        <v>20216.295000000002</v>
      </c>
      <c r="J13" s="27">
        <f>SUMIF(Доходы!$F$2:$AH$2,CONCATENATE("*",RIGHT(J$6,2)),Доходы!$F$9:$AH$9)</f>
        <v>21849.935000000001</v>
      </c>
      <c r="K13" s="28">
        <f t="shared" si="6"/>
        <v>112823.2625</v>
      </c>
      <c r="N13" s="295"/>
      <c r="Q13" s="295"/>
    </row>
    <row r="14" spans="2:17" s="29" customFormat="1" ht="17">
      <c r="B14" s="225" t="str">
        <f>Доходы!B10</f>
        <v>Почтовый ящик Enterprise 25 GB</v>
      </c>
      <c r="C14" s="20" t="s">
        <v>71</v>
      </c>
      <c r="D14" s="27">
        <f>SUMIF(Доходы!$F$2:$AH$2,CONCATENATE("*",RIGHT(D$6,2)),Доходы!$F$10:$AH$10)</f>
        <v>6837.1849999999995</v>
      </c>
      <c r="E14" s="27">
        <f>SUMIF(Доходы!$F$2:$AH$2,CONCATENATE("*",RIGHT(E$6,2)),Доходы!$F$10:$AH$10)</f>
        <v>15019.39</v>
      </c>
      <c r="F14" s="27">
        <f>SUMIF(Доходы!$F$2:$AH$2,CONCATENATE("*",RIGHT(F$6,2)),Доходы!$F$10:$AH$10)</f>
        <v>16812.75</v>
      </c>
      <c r="G14" s="27">
        <f>SUMIF(Доходы!$F$2:$AH$2,CONCATENATE("*",RIGHT(G$6,2)),Доходы!$F$10:$AH$10)</f>
        <v>18606.109999999997</v>
      </c>
      <c r="H14" s="27">
        <f>SUMIF(Доходы!$F$2:$AH$2,CONCATENATE("*",RIGHT(H$6,2)),Доходы!$F$10:$AH$10)</f>
        <v>20399.469999999998</v>
      </c>
      <c r="I14" s="27">
        <f>SUMIF(Доходы!$F$2:$AH$2,CONCATENATE("*",RIGHT(I$6,2)),Доходы!$F$10:$AH$10)</f>
        <v>22192.829999999998</v>
      </c>
      <c r="J14" s="27">
        <f>SUMIF(Доходы!$F$2:$AH$2,CONCATENATE("*",RIGHT(J$6,2)),Доходы!$F$10:$AH$10)</f>
        <v>23986.19</v>
      </c>
      <c r="K14" s="28">
        <f t="shared" si="6"/>
        <v>123853.925</v>
      </c>
      <c r="N14" s="295"/>
      <c r="Q14" s="295"/>
    </row>
    <row r="15" spans="2:17" s="29" customFormat="1" ht="17">
      <c r="B15" s="225" t="str">
        <f>Доходы!B11</f>
        <v>Почтовый ящик Enterprise 40 GB</v>
      </c>
      <c r="C15" s="20" t="s">
        <v>71</v>
      </c>
      <c r="D15" s="27">
        <f>SUMIF(Доходы!$F$2:$AH$2,CONCATENATE("*",RIGHT(D$6,2)),Доходы!$F$11:$AH$11)</f>
        <v>7442</v>
      </c>
      <c r="E15" s="27">
        <f>SUMIF(Доходы!$F$2:$AH$2,CONCATENATE("*",RIGHT(E$6,2)),Доходы!$F$11:$AH$11)</f>
        <v>16348</v>
      </c>
      <c r="F15" s="27">
        <f>SUMIF(Доходы!$F$2:$AH$2,CONCATENATE("*",RIGHT(F$6,2)),Доходы!$F$11:$AH$11)</f>
        <v>18300</v>
      </c>
      <c r="G15" s="27">
        <f>SUMIF(Доходы!$F$2:$AH$2,CONCATENATE("*",RIGHT(G$6,2)),Доходы!$F$11:$AH$11)</f>
        <v>20252</v>
      </c>
      <c r="H15" s="27">
        <f>SUMIF(Доходы!$F$2:$AH$2,CONCATENATE("*",RIGHT(H$6,2)),Доходы!$F$11:$AH$11)</f>
        <v>22204</v>
      </c>
      <c r="I15" s="27">
        <f>SUMIF(Доходы!$F$2:$AH$2,CONCATENATE("*",RIGHT(I$6,2)),Доходы!$F$11:$AH$11)</f>
        <v>24156</v>
      </c>
      <c r="J15" s="27">
        <f>SUMIF(Доходы!$F$2:$AH$2,CONCATENATE("*",RIGHT(J$6,2)),Доходы!$F$11:$AH$11)</f>
        <v>26108</v>
      </c>
      <c r="K15" s="28">
        <f t="shared" si="6"/>
        <v>134810</v>
      </c>
      <c r="N15" s="295"/>
      <c r="Q15" s="295"/>
    </row>
    <row r="16" spans="2:17" s="29" customFormat="1" ht="17">
      <c r="B16" s="225" t="str">
        <f>Доходы!B12</f>
        <v>Почтовый ящик Enterprise 50 GB</v>
      </c>
      <c r="C16" s="20" t="s">
        <v>71</v>
      </c>
      <c r="D16" s="27">
        <f>SUMIF(Доходы!$F$2:$AH$2,CONCATENATE("*",RIGHT(D$6,2)),Доходы!$F$12:$AH$12)</f>
        <v>7838.5</v>
      </c>
      <c r="E16" s="27">
        <f>SUMIF(Доходы!$F$2:$AH$2,CONCATENATE("*",RIGHT(E$6,2)),Доходы!$F$12:$AH$12)</f>
        <v>17219</v>
      </c>
      <c r="F16" s="27">
        <f>SUMIF(Доходы!$F$2:$AH$2,CONCATENATE("*",RIGHT(F$6,2)),Доходы!$F$12:$AH$12)</f>
        <v>19275</v>
      </c>
      <c r="G16" s="27">
        <f>SUMIF(Доходы!$F$2:$AH$2,CONCATENATE("*",RIGHT(G$6,2)),Доходы!$F$12:$AH$12)</f>
        <v>21331</v>
      </c>
      <c r="H16" s="27">
        <f>SUMIF(Доходы!$F$2:$AH$2,CONCATENATE("*",RIGHT(H$6,2)),Доходы!$F$12:$AH$12)</f>
        <v>23387</v>
      </c>
      <c r="I16" s="27">
        <f>SUMIF(Доходы!$F$2:$AH$2,CONCATENATE("*",RIGHT(I$6,2)),Доходы!$F$12:$AH$12)</f>
        <v>25443</v>
      </c>
      <c r="J16" s="27">
        <f>SUMIF(Доходы!$F$2:$AH$2,CONCATENATE("*",RIGHT(J$6,2)),Доходы!$F$12:$AH$12)</f>
        <v>27499</v>
      </c>
      <c r="K16" s="28">
        <f t="shared" si="6"/>
        <v>141992.5</v>
      </c>
      <c r="M16" s="295"/>
      <c r="N16" s="295"/>
      <c r="Q16" s="295"/>
    </row>
    <row r="17" spans="2:17" s="29" customFormat="1" ht="17">
      <c r="B17" s="225" t="str">
        <f>Доходы!B14</f>
        <v>…</v>
      </c>
      <c r="C17" s="20" t="s">
        <v>71</v>
      </c>
      <c r="D17" s="27"/>
      <c r="E17" s="27"/>
      <c r="F17" s="27"/>
      <c r="G17" s="27"/>
      <c r="H17" s="27"/>
      <c r="I17" s="27"/>
      <c r="J17" s="27"/>
      <c r="K17" s="28"/>
      <c r="N17" s="295"/>
      <c r="Q17" s="295"/>
    </row>
    <row r="18" spans="2:17" s="32" customFormat="1" ht="17">
      <c r="B18" s="23" t="s">
        <v>76</v>
      </c>
      <c r="C18" s="22" t="s">
        <v>71</v>
      </c>
      <c r="D18" s="31">
        <f t="shared" ref="D18:K18" si="7">SUM(D7:D16)</f>
        <v>2008369.7124999999</v>
      </c>
      <c r="E18" s="31">
        <f t="shared" si="7"/>
        <v>4652945.9749999996</v>
      </c>
      <c r="F18" s="31">
        <f t="shared" si="7"/>
        <v>5651554.375</v>
      </c>
      <c r="G18" s="31">
        <f t="shared" si="7"/>
        <v>6863332.7750000004</v>
      </c>
      <c r="H18" s="31">
        <f t="shared" si="7"/>
        <v>8334596.6749999998</v>
      </c>
      <c r="I18" s="31">
        <f t="shared" si="7"/>
        <v>10121687.074999999</v>
      </c>
      <c r="J18" s="31">
        <f t="shared" si="7"/>
        <v>12291134.475</v>
      </c>
      <c r="K18" s="31">
        <f t="shared" si="7"/>
        <v>49923621.0625</v>
      </c>
      <c r="N18" s="295"/>
      <c r="Q18" s="295"/>
    </row>
    <row r="19" spans="2:17">
      <c r="B19" s="6"/>
      <c r="C19" s="7"/>
      <c r="D19" s="8"/>
      <c r="E19" s="8"/>
      <c r="F19" s="8"/>
      <c r="G19" s="8"/>
    </row>
    <row r="20" spans="2:17">
      <c r="B20" s="6"/>
      <c r="C20" s="7"/>
      <c r="D20" s="8"/>
      <c r="E20" s="8"/>
      <c r="F20" s="8"/>
      <c r="G20" s="8"/>
    </row>
    <row r="21" spans="2:17">
      <c r="B21" s="11" t="s">
        <v>132</v>
      </c>
      <c r="D21" s="3"/>
    </row>
    <row r="22" spans="2:17" ht="17">
      <c r="B22" s="16" t="s">
        <v>103</v>
      </c>
      <c r="C22" s="16" t="s">
        <v>75</v>
      </c>
      <c r="D22" s="16">
        <f t="shared" ref="D22:J22" si="8">D2</f>
        <v>2022</v>
      </c>
      <c r="E22" s="16">
        <f t="shared" si="8"/>
        <v>2023</v>
      </c>
      <c r="F22" s="16">
        <f t="shared" si="8"/>
        <v>2024</v>
      </c>
      <c r="G22" s="16">
        <f t="shared" si="8"/>
        <v>2025</v>
      </c>
      <c r="H22" s="16">
        <f t="shared" si="8"/>
        <v>2026</v>
      </c>
      <c r="I22" s="16">
        <f t="shared" si="8"/>
        <v>2027</v>
      </c>
      <c r="J22" s="16">
        <f t="shared" si="8"/>
        <v>2028</v>
      </c>
      <c r="K22" s="16" t="s">
        <v>0</v>
      </c>
    </row>
    <row r="23" spans="2:17" s="29" customFormat="1" ht="17">
      <c r="B23" s="279" t="str">
        <f>OPEX!B20</f>
        <v xml:space="preserve">Эффект от сокращения расходов . . . </v>
      </c>
      <c r="C23" s="20" t="s">
        <v>71</v>
      </c>
      <c r="D23" s="27">
        <f>SUMIF(OPEX!$F$2:$AG$2,CONCATENATE("*",RIGHT(D$32,2)),OPEX!$F$20:$AG$20)</f>
        <v>0</v>
      </c>
      <c r="E23" s="27">
        <f>SUMIF(OPEX!$F$2:$AG$2,CONCATENATE("*",RIGHT(E$32,2)),OPEX!$F$20:$AG$20)</f>
        <v>0</v>
      </c>
      <c r="F23" s="27">
        <f>SUMIF(OPEX!$F$2:$AG$2,CONCATENATE("*",RIGHT(F$32,2)),OPEX!$F$20:$AG$20)</f>
        <v>0</v>
      </c>
      <c r="G23" s="27">
        <f>SUMIF(OPEX!$F$2:$AG$2,CONCATENATE("*",RIGHT(G$32,2)),OPEX!$F$20:$AG$20)</f>
        <v>0</v>
      </c>
      <c r="H23" s="27">
        <f>SUMIF(OPEX!$F$2:$AG$2,CONCATENATE("*",RIGHT(H$32,2)),OPEX!$F$20:$AG$20)</f>
        <v>0</v>
      </c>
      <c r="I23" s="27">
        <f>SUMIF(OPEX!$F$2:$AG$2,CONCATENATE("*",RIGHT(I$32,2)),OPEX!$F$20:$AG$20)</f>
        <v>0</v>
      </c>
      <c r="J23" s="27">
        <f>SUMIF(OPEX!$F$2:$AG$2,CONCATENATE("*",RIGHT(J$32,2)),OPEX!$F$20:$AG$20)</f>
        <v>0</v>
      </c>
      <c r="K23" s="28">
        <f>SUM(D23:G23)</f>
        <v>0</v>
      </c>
    </row>
    <row r="24" spans="2:17" s="29" customFormat="1" ht="17">
      <c r="B24" s="226" t="str">
        <f>OPEX!B21</f>
        <v xml:space="preserve">. . . </v>
      </c>
      <c r="C24" s="22" t="s">
        <v>71</v>
      </c>
      <c r="D24" s="30">
        <f>SUMIF(OPEX!$F$2:$AG$2,CONCATENATE("*",RIGHT(D$32,2)),OPEX!$F$21:$AG$21)</f>
        <v>0</v>
      </c>
      <c r="E24" s="30">
        <f>SUMIF(OPEX!$F$2:$AG$2,CONCATENATE("*",RIGHT(E$32,2)),OPEX!$F$21:$AG$21)</f>
        <v>0</v>
      </c>
      <c r="F24" s="30">
        <f>SUMIF(OPEX!$F$2:$AG$2,CONCATENATE("*",RIGHT(F$32,2)),OPEX!$F$21:$AG$21)</f>
        <v>0</v>
      </c>
      <c r="G24" s="30">
        <f>SUMIF(OPEX!$F$2:$AG$2,CONCATENATE("*",RIGHT(G$32,2)),OPEX!$F$21:$AG$21)</f>
        <v>0</v>
      </c>
      <c r="H24" s="30">
        <f>SUMIF(OPEX!$F$2:$AG$2,CONCATENATE("*",RIGHT(H$32,2)),OPEX!$F$21:$AG$21)</f>
        <v>0</v>
      </c>
      <c r="I24" s="30">
        <f>SUMIF(OPEX!$F$2:$AG$2,CONCATENATE("*",RIGHT(I$32,2)),OPEX!$F$21:$AG$21)</f>
        <v>0</v>
      </c>
      <c r="J24" s="30">
        <f>SUMIF(OPEX!$F$2:$AG$2,CONCATENATE("*",RIGHT(J$32,2)),OPEX!$F$21:$AG$21)</f>
        <v>0</v>
      </c>
      <c r="K24" s="31">
        <f>SUM(D24:G24)</f>
        <v>0</v>
      </c>
    </row>
    <row r="25" spans="2:17" s="29" customFormat="1" ht="17">
      <c r="B25" s="225" t="str">
        <f>OPEX!B22</f>
        <v xml:space="preserve">. . . </v>
      </c>
      <c r="C25" s="20" t="s">
        <v>71</v>
      </c>
      <c r="D25" s="27"/>
      <c r="E25" s="27"/>
      <c r="F25" s="27"/>
      <c r="G25" s="27"/>
      <c r="H25" s="27"/>
      <c r="I25" s="27"/>
      <c r="J25" s="27"/>
      <c r="K25" s="28">
        <f>SUM(D25:G25)</f>
        <v>0</v>
      </c>
    </row>
    <row r="26" spans="2:17" s="29" customFormat="1" ht="17">
      <c r="B26" s="25"/>
      <c r="C26" s="22" t="s">
        <v>71</v>
      </c>
      <c r="D26" s="30"/>
      <c r="E26" s="30"/>
      <c r="F26" s="30"/>
      <c r="G26" s="30"/>
      <c r="H26" s="30"/>
      <c r="I26" s="30"/>
      <c r="J26" s="30"/>
      <c r="K26" s="31"/>
    </row>
    <row r="27" spans="2:17" s="29" customFormat="1" ht="17">
      <c r="B27" s="13"/>
      <c r="C27" s="20" t="s">
        <v>71</v>
      </c>
      <c r="D27" s="27"/>
      <c r="E27" s="27"/>
      <c r="F27" s="27"/>
      <c r="G27" s="27"/>
      <c r="H27" s="27"/>
      <c r="I27" s="27"/>
      <c r="J27" s="27"/>
      <c r="K27" s="28"/>
    </row>
    <row r="28" spans="2:17" s="32" customFormat="1" ht="17">
      <c r="B28" s="23" t="s">
        <v>76</v>
      </c>
      <c r="C28" s="22" t="s">
        <v>71</v>
      </c>
      <c r="D28" s="31">
        <f t="shared" ref="D28:G28" si="9">SUM(D23:D27)</f>
        <v>0</v>
      </c>
      <c r="E28" s="31">
        <f t="shared" si="9"/>
        <v>0</v>
      </c>
      <c r="F28" s="31">
        <f t="shared" si="9"/>
        <v>0</v>
      </c>
      <c r="G28" s="31">
        <f t="shared" si="9"/>
        <v>0</v>
      </c>
      <c r="H28" s="31">
        <f t="shared" ref="H28:J28" si="10">SUM(H23:H27)</f>
        <v>0</v>
      </c>
      <c r="I28" s="31">
        <f t="shared" si="10"/>
        <v>0</v>
      </c>
      <c r="J28" s="31">
        <f t="shared" si="10"/>
        <v>0</v>
      </c>
      <c r="K28" s="31">
        <f>SUM(K23:K27)</f>
        <v>0</v>
      </c>
    </row>
    <row r="29" spans="2:17">
      <c r="D29" s="8"/>
      <c r="E29" s="8"/>
      <c r="F29" s="8"/>
      <c r="G29" s="8"/>
      <c r="H29" s="8"/>
      <c r="I29" s="8"/>
      <c r="J29" s="8"/>
    </row>
    <row r="30" spans="2:17">
      <c r="D30" s="8"/>
      <c r="E30" s="8"/>
      <c r="F30" s="8"/>
      <c r="G30" s="8"/>
      <c r="H30" s="8"/>
      <c r="I30" s="8"/>
      <c r="J30" s="8"/>
    </row>
    <row r="31" spans="2:17">
      <c r="B31" s="11" t="s">
        <v>97</v>
      </c>
    </row>
    <row r="32" spans="2:17" ht="17">
      <c r="B32" s="16" t="s">
        <v>78</v>
      </c>
      <c r="C32" s="16" t="s">
        <v>75</v>
      </c>
      <c r="D32" s="16">
        <f t="shared" ref="D32:J32" si="11">D2</f>
        <v>2022</v>
      </c>
      <c r="E32" s="16">
        <f t="shared" si="11"/>
        <v>2023</v>
      </c>
      <c r="F32" s="16">
        <f t="shared" si="11"/>
        <v>2024</v>
      </c>
      <c r="G32" s="16">
        <f t="shared" si="11"/>
        <v>2025</v>
      </c>
      <c r="H32" s="16">
        <f t="shared" si="11"/>
        <v>2026</v>
      </c>
      <c r="I32" s="16">
        <f t="shared" si="11"/>
        <v>2027</v>
      </c>
      <c r="J32" s="16">
        <f t="shared" si="11"/>
        <v>2028</v>
      </c>
      <c r="K32" s="16" t="s">
        <v>0</v>
      </c>
    </row>
    <row r="33" spans="2:11" s="29" customFormat="1" ht="17">
      <c r="B33" s="36" t="str">
        <f>OPEX!B5</f>
        <v>Стоимость инфры</v>
      </c>
      <c r="C33" s="22" t="s">
        <v>71</v>
      </c>
      <c r="D33" s="27">
        <f>SUMIF(OPEX!$F$2:$AH$2,CONCATENATE("*",RIGHT(D$32,2)),OPEX!$F$5:$AH$5)</f>
        <v>1057466.3999999999</v>
      </c>
      <c r="E33" s="27">
        <f>SUMIF(OPEX!$F$2:$AH$2,CONCATENATE("*",RIGHT(E$32,2)),OPEX!$F$5:$AH$5)</f>
        <v>2114932.7999999998</v>
      </c>
      <c r="F33" s="27">
        <f>SUMIF(OPEX!$F$2:$AH$2,CONCATENATE("*",RIGHT(F$32,2)),OPEX!$F$5:$AH$5)</f>
        <v>2114932.7999999998</v>
      </c>
      <c r="G33" s="27">
        <f>SUMIF(OPEX!$F$2:$AH$2,CONCATENATE("*",RIGHT(G$32,2)),OPEX!$F$5:$AH$5)</f>
        <v>2114932.7999999998</v>
      </c>
      <c r="H33" s="27">
        <f>SUMIF(OPEX!$F$2:$AH$2,CONCATENATE("*",RIGHT(H$32,2)),OPEX!$F$5:$AH$5)</f>
        <v>2114932.7999999998</v>
      </c>
      <c r="I33" s="27">
        <f>SUMIF(OPEX!$F$2:$AH$2,CONCATENATE("*",RIGHT(I$32,2)),OPEX!$F$5:$AH$5)</f>
        <v>2114932.7999999998</v>
      </c>
      <c r="J33" s="27">
        <f>SUMIF(OPEX!$F$2:$AH$2,CONCATENATE("*",RIGHT(J$32,2)),OPEX!$F$5:$AH$5)</f>
        <v>2114932.7999999998</v>
      </c>
      <c r="K33" s="28">
        <f t="shared" ref="K33:K34" si="12">SUM(D33:J33)</f>
        <v>13747063.199999999</v>
      </c>
    </row>
    <row r="34" spans="2:11" s="29" customFormat="1" ht="17">
      <c r="B34" s="36" t="str">
        <f>OPEX!B6</f>
        <v>MachPanel</v>
      </c>
      <c r="C34" s="22" t="s">
        <v>71</v>
      </c>
      <c r="D34" s="27">
        <f>SUMIF(OPEX!$F$2:$AH$2,CONCATENATE("*",RIGHT(D$32,2)),OPEX!$F$6:$AH$6)</f>
        <v>1007292</v>
      </c>
      <c r="E34" s="27">
        <f>SUMIF(OPEX!$F$2:$AH$2,CONCATENATE("*",RIGHT(E$32,2)),OPEX!$F$6:$AH$6)</f>
        <v>2014584</v>
      </c>
      <c r="F34" s="27">
        <f>SUMIF(OPEX!$F$2:$AH$2,CONCATENATE("*",RIGHT(F$32,2)),OPEX!$F$6:$AH$6)</f>
        <v>2014584</v>
      </c>
      <c r="G34" s="27">
        <f>SUMIF(OPEX!$F$2:$AH$2,CONCATENATE("*",RIGHT(G$32,2)),OPEX!$F$6:$AH$6)</f>
        <v>2518230</v>
      </c>
      <c r="H34" s="27">
        <f>SUMIF(OPEX!$F$2:$AH$2,CONCATENATE("*",RIGHT(H$32,2)),OPEX!$F$6:$AH$6)</f>
        <v>4029168</v>
      </c>
      <c r="I34" s="27">
        <f>SUMIF(OPEX!$F$2:$AH$2,CONCATENATE("*",RIGHT(I$32,2)),OPEX!$F$6:$AH$6)</f>
        <v>4029168</v>
      </c>
      <c r="J34" s="27">
        <f>SUMIF(OPEX!$F$2:$AH$2,CONCATENATE("*",RIGHT(J$32,2)),OPEX!$F$6:$AH$6)</f>
        <v>10072920</v>
      </c>
      <c r="K34" s="28">
        <f t="shared" si="12"/>
        <v>25685946</v>
      </c>
    </row>
    <row r="35" spans="2:11" s="29" customFormat="1" ht="17">
      <c r="B35" s="36" t="str">
        <f>OPEX!B9</f>
        <v>ФОТ</v>
      </c>
      <c r="C35" s="20" t="s">
        <v>71</v>
      </c>
      <c r="D35" s="27">
        <f>SUMIF(OPEX!$F$2:$AH$2,CONCATENATE("*",RIGHT(D$32,2)),OPEX!$F$9:$AH$9)</f>
        <v>204000</v>
      </c>
      <c r="E35" s="27">
        <f>SUMIF(OPEX!$F$2:$AH$2,CONCATENATE("*",RIGHT(E$32,2)),OPEX!$F$9:$AH$9)</f>
        <v>408000</v>
      </c>
      <c r="F35" s="27">
        <f>SUMIF(OPEX!$F$2:$AH$2,CONCATENATE("*",RIGHT(F$32,2)),OPEX!$F$9:$AH$9)</f>
        <v>408000</v>
      </c>
      <c r="G35" s="27">
        <f>SUMIF(OPEX!$F$2:$AH$2,CONCATENATE("*",RIGHT(G$32,2)),OPEX!$F$9:$AH$9)</f>
        <v>408000</v>
      </c>
      <c r="H35" s="27">
        <f>SUMIF(OPEX!$F$2:$AH$2,CONCATENATE("*",RIGHT(H$32,2)),OPEX!$F$9:$AH$9)</f>
        <v>408000</v>
      </c>
      <c r="I35" s="27">
        <f>SUMIF(OPEX!$F$2:$AH$2,CONCATENATE("*",RIGHT(I$32,2)),OPEX!$F$9:$AH$9)</f>
        <v>408000</v>
      </c>
      <c r="J35" s="27">
        <f>SUMIF(OPEX!$F$2:$AH$2,CONCATENATE("*",RIGHT(J$32,2)),OPEX!$F$9:$AH$9)</f>
        <v>408000</v>
      </c>
      <c r="K35" s="28">
        <f>SUM(D35:J35)</f>
        <v>2652000</v>
      </c>
    </row>
    <row r="36" spans="2:11" s="29" customFormat="1" ht="17">
      <c r="B36" s="36"/>
      <c r="C36" s="20" t="s">
        <v>71</v>
      </c>
      <c r="D36" s="27"/>
      <c r="E36" s="27"/>
      <c r="F36" s="27"/>
      <c r="G36" s="27"/>
      <c r="H36" s="27"/>
      <c r="I36" s="27"/>
      <c r="J36" s="27"/>
      <c r="K36" s="28"/>
    </row>
    <row r="37" spans="2:11" s="32" customFormat="1" ht="17">
      <c r="B37" s="23" t="s">
        <v>79</v>
      </c>
      <c r="C37" s="24" t="s">
        <v>71</v>
      </c>
      <c r="D37" s="31">
        <f>SUM(D33:D35)</f>
        <v>2268758.4</v>
      </c>
      <c r="E37" s="31">
        <f t="shared" ref="E37:K37" si="13">SUM(E33:E35)</f>
        <v>4537516.8</v>
      </c>
      <c r="F37" s="31">
        <f t="shared" si="13"/>
        <v>4537516.8</v>
      </c>
      <c r="G37" s="31">
        <f t="shared" si="13"/>
        <v>5041162.8</v>
      </c>
      <c r="H37" s="31">
        <f t="shared" si="13"/>
        <v>6552100.7999999998</v>
      </c>
      <c r="I37" s="31">
        <f t="shared" si="13"/>
        <v>6552100.7999999998</v>
      </c>
      <c r="J37" s="31">
        <f t="shared" si="13"/>
        <v>12595852.800000001</v>
      </c>
      <c r="K37" s="31">
        <f t="shared" si="13"/>
        <v>42085009.200000003</v>
      </c>
    </row>
    <row r="38" spans="2:11">
      <c r="D38" s="8"/>
      <c r="E38" s="8"/>
      <c r="F38" s="8"/>
      <c r="G38" s="8"/>
      <c r="H38" s="8"/>
      <c r="I38" s="8"/>
      <c r="J38" s="8"/>
    </row>
    <row r="39" spans="2:11">
      <c r="D39" s="8"/>
      <c r="E39" s="8"/>
      <c r="F39" s="8"/>
      <c r="G39" s="8"/>
      <c r="H39" s="8"/>
      <c r="I39" s="8"/>
      <c r="J39" s="8"/>
    </row>
    <row r="40" spans="2:11">
      <c r="B40" s="12" t="s">
        <v>96</v>
      </c>
      <c r="C40" s="9"/>
    </row>
    <row r="41" spans="2:11" ht="17">
      <c r="B41" s="16" t="s">
        <v>77</v>
      </c>
      <c r="C41" s="16" t="s">
        <v>75</v>
      </c>
      <c r="D41" s="16">
        <f t="shared" ref="D41:J41" si="14">D2</f>
        <v>2022</v>
      </c>
      <c r="E41" s="16">
        <f t="shared" si="14"/>
        <v>2023</v>
      </c>
      <c r="F41" s="16">
        <f t="shared" si="14"/>
        <v>2024</v>
      </c>
      <c r="G41" s="16">
        <f t="shared" si="14"/>
        <v>2025</v>
      </c>
      <c r="H41" s="16">
        <f t="shared" si="14"/>
        <v>2026</v>
      </c>
      <c r="I41" s="16">
        <f t="shared" si="14"/>
        <v>2027</v>
      </c>
      <c r="J41" s="16">
        <f t="shared" si="14"/>
        <v>2028</v>
      </c>
      <c r="K41" s="16" t="s">
        <v>0</v>
      </c>
    </row>
    <row r="42" spans="2:11" s="29" customFormat="1" ht="17">
      <c r="B42" s="33" t="str">
        <f>CAPEX!A56</f>
        <v>Ресусры под кластер</v>
      </c>
      <c r="C42" s="20" t="s">
        <v>71</v>
      </c>
      <c r="D42" s="27">
        <f>SUMIF(CAPEX!$E$2:$AF$2,CONCATENATE("*",RIGHT(D$41,2)),CAPEX!$E$56:$AF$56)</f>
        <v>0</v>
      </c>
      <c r="E42" s="27">
        <f>SUMIF(CAPEX!$E$2:$AF$2,CONCATENATE("*",RIGHT(E$41,2)),CAPEX!$E$56:$AF$56)</f>
        <v>0</v>
      </c>
      <c r="F42" s="27">
        <f>SUMIF(CAPEX!$E$2:$AF$2,CONCATENATE("*",RIGHT(F$41,2)),CAPEX!$E$56:$AF$56)</f>
        <v>0</v>
      </c>
      <c r="G42" s="27">
        <f>SUMIF(CAPEX!$E$2:$AF$2,CONCATENATE("*",RIGHT(G$41,2)),CAPEX!$E$56:$AF$56)</f>
        <v>0</v>
      </c>
      <c r="H42" s="27">
        <f>SUMIF(CAPEX!$E$2:$AF$2,CONCATENATE("*",RIGHT(H$41,2)),CAPEX!$E$56:$AF$56)</f>
        <v>0</v>
      </c>
      <c r="I42" s="27">
        <f>SUMIF(CAPEX!$E$2:$AF$2,CONCATENATE("*",RIGHT(I$41,2)),CAPEX!$E$56:$AF$56)</f>
        <v>0</v>
      </c>
      <c r="J42" s="27">
        <f>SUMIF(CAPEX!$E$2:$AF$2,CONCATENATE("*",RIGHT(J$41,2)),CAPEX!$E$56:$AF$56)</f>
        <v>0</v>
      </c>
      <c r="K42" s="28">
        <f t="shared" ref="K42:K48" si="15">SUM(D42:G42)</f>
        <v>0</v>
      </c>
    </row>
    <row r="43" spans="2:11" s="29" customFormat="1" ht="17">
      <c r="B43" s="34" t="str">
        <f>CAPEX!A57</f>
        <v>Работы подрядчика по реализации кластера</v>
      </c>
      <c r="C43" s="22" t="s">
        <v>71</v>
      </c>
      <c r="D43" s="30">
        <f>SUMIF(CAPEX!$E$2:$AF$2,CONCATENATE("*",RIGHT(D$41,2)),CAPEX!$E$57:$AF$57)</f>
        <v>1</v>
      </c>
      <c r="E43" s="30">
        <f>SUMIF(CAPEX!$E$2:$AF$2,CONCATENATE("*",RIGHT(E$41,2)),CAPEX!$E$57:$AF$57)</f>
        <v>0</v>
      </c>
      <c r="F43" s="30">
        <f>SUMIF(CAPEX!$E$2:$AF$2,CONCATENATE("*",RIGHT(F$41,2)),CAPEX!$E$57:$AF$57)</f>
        <v>0</v>
      </c>
      <c r="G43" s="30">
        <f>SUMIF(CAPEX!$E$2:$AF$2,CONCATENATE("*",RIGHT(G$41,2)),CAPEX!$E$57:$AF$57)</f>
        <v>0</v>
      </c>
      <c r="H43" s="30">
        <f>SUMIF(CAPEX!$E$2:$AF$2,CONCATENATE("*",RIGHT(H$41,2)),CAPEX!$E$57:$AF$57)</f>
        <v>0</v>
      </c>
      <c r="I43" s="30">
        <f>SUMIF(CAPEX!$E$2:$AF$2,CONCATENATE("*",RIGHT(I$41,2)),CAPEX!$E$57:$AF$57)</f>
        <v>0</v>
      </c>
      <c r="J43" s="30">
        <f>SUMIF(CAPEX!$E$2:$AF$2,CONCATENATE("*",RIGHT(J$41,2)),CAPEX!$E$57:$AF$57)</f>
        <v>0</v>
      </c>
      <c r="K43" s="31">
        <f t="shared" si="15"/>
        <v>1</v>
      </c>
    </row>
    <row r="44" spans="2:11" s="29" customFormat="1" ht="17">
      <c r="B44" s="33"/>
      <c r="C44" s="20" t="s">
        <v>71</v>
      </c>
      <c r="D44" s="27"/>
      <c r="E44" s="27"/>
      <c r="F44" s="27"/>
      <c r="G44" s="27"/>
      <c r="H44" s="27"/>
      <c r="I44" s="27"/>
      <c r="J44" s="27"/>
      <c r="K44" s="28">
        <f t="shared" si="15"/>
        <v>0</v>
      </c>
    </row>
    <row r="45" spans="2:11" s="29" customFormat="1" ht="17">
      <c r="B45" s="34"/>
      <c r="C45" s="22" t="s">
        <v>71</v>
      </c>
      <c r="D45" s="30"/>
      <c r="E45" s="30"/>
      <c r="F45" s="30"/>
      <c r="G45" s="30"/>
      <c r="H45" s="30"/>
      <c r="I45" s="30"/>
      <c r="J45" s="30"/>
      <c r="K45" s="31">
        <f t="shared" si="15"/>
        <v>0</v>
      </c>
    </row>
    <row r="46" spans="2:11" s="29" customFormat="1" ht="17">
      <c r="B46" s="33"/>
      <c r="C46" s="20" t="s">
        <v>71</v>
      </c>
      <c r="D46" s="27"/>
      <c r="E46" s="27"/>
      <c r="F46" s="27"/>
      <c r="G46" s="27"/>
      <c r="H46" s="27"/>
      <c r="I46" s="27"/>
      <c r="J46" s="27"/>
      <c r="K46" s="28">
        <f t="shared" si="15"/>
        <v>0</v>
      </c>
    </row>
    <row r="47" spans="2:11" s="29" customFormat="1" ht="17">
      <c r="B47" s="34"/>
      <c r="C47" s="22" t="s">
        <v>71</v>
      </c>
      <c r="D47" s="30"/>
      <c r="E47" s="30"/>
      <c r="F47" s="30"/>
      <c r="G47" s="30"/>
      <c r="H47" s="30"/>
      <c r="I47" s="30"/>
      <c r="J47" s="30"/>
      <c r="K47" s="31">
        <f t="shared" si="15"/>
        <v>0</v>
      </c>
    </row>
    <row r="48" spans="2:11" s="29" customFormat="1" ht="17">
      <c r="B48" s="33"/>
      <c r="C48" s="20" t="s">
        <v>71</v>
      </c>
      <c r="D48" s="27"/>
      <c r="E48" s="27"/>
      <c r="F48" s="27"/>
      <c r="G48" s="27"/>
      <c r="H48" s="27"/>
      <c r="I48" s="27"/>
      <c r="J48" s="27"/>
      <c r="K48" s="28">
        <f t="shared" si="15"/>
        <v>0</v>
      </c>
    </row>
    <row r="49" spans="2:11" s="32" customFormat="1" ht="17">
      <c r="B49" s="35" t="s">
        <v>76</v>
      </c>
      <c r="C49" s="22" t="s">
        <v>71</v>
      </c>
      <c r="D49" s="31">
        <f>SUM(D42:D48)</f>
        <v>1</v>
      </c>
      <c r="E49" s="31">
        <f t="shared" ref="E49:G49" si="16">SUM(E42:E48)</f>
        <v>0</v>
      </c>
      <c r="F49" s="31">
        <f t="shared" si="16"/>
        <v>0</v>
      </c>
      <c r="G49" s="31">
        <f t="shared" si="16"/>
        <v>0</v>
      </c>
      <c r="H49" s="31">
        <f t="shared" ref="H49:J49" si="17">SUM(H42:H48)</f>
        <v>0</v>
      </c>
      <c r="I49" s="31">
        <f t="shared" si="17"/>
        <v>0</v>
      </c>
      <c r="J49" s="31">
        <f t="shared" si="17"/>
        <v>0</v>
      </c>
      <c r="K49" s="31">
        <f>SUM(K42:K48)</f>
        <v>1</v>
      </c>
    </row>
    <row r="50" spans="2:11">
      <c r="D50" s="8"/>
      <c r="E50" s="8"/>
      <c r="F50" s="8"/>
      <c r="G50" s="8"/>
      <c r="H50" s="8"/>
      <c r="I50" s="8"/>
      <c r="J50" s="8"/>
    </row>
    <row r="51" spans="2:11">
      <c r="D51" s="8"/>
      <c r="E51" s="8"/>
      <c r="F51" s="8"/>
      <c r="G51" s="8"/>
      <c r="H51" s="8"/>
      <c r="I51" s="8"/>
      <c r="J51" s="8"/>
    </row>
    <row r="52" spans="2:11">
      <c r="B52" s="12" t="s">
        <v>98</v>
      </c>
    </row>
    <row r="53" spans="2:11" ht="17">
      <c r="B53" s="16" t="s">
        <v>80</v>
      </c>
      <c r="C53" s="17" t="s">
        <v>75</v>
      </c>
      <c r="D53" s="18">
        <f t="shared" ref="D53:J53" si="18">D2</f>
        <v>2022</v>
      </c>
      <c r="E53" s="18">
        <f t="shared" si="18"/>
        <v>2023</v>
      </c>
      <c r="F53" s="18">
        <f t="shared" si="18"/>
        <v>2024</v>
      </c>
      <c r="G53" s="18">
        <f t="shared" si="18"/>
        <v>2025</v>
      </c>
      <c r="H53" s="18">
        <f t="shared" si="18"/>
        <v>2026</v>
      </c>
      <c r="I53" s="18">
        <f t="shared" si="18"/>
        <v>2027</v>
      </c>
      <c r="J53" s="18">
        <f t="shared" si="18"/>
        <v>2028</v>
      </c>
      <c r="K53" s="19" t="s">
        <v>0</v>
      </c>
    </row>
    <row r="54" spans="2:11" ht="17">
      <c r="B54" s="14" t="s">
        <v>81</v>
      </c>
      <c r="C54" s="42"/>
      <c r="D54" s="43"/>
      <c r="E54" s="44"/>
      <c r="F54" s="44"/>
      <c r="G54" s="44"/>
      <c r="H54" s="44"/>
      <c r="I54" s="44"/>
      <c r="J54" s="44"/>
      <c r="K54" s="44"/>
    </row>
    <row r="55" spans="2:11" ht="17">
      <c r="B55" s="25" t="s">
        <v>82</v>
      </c>
      <c r="C55" s="22" t="s">
        <v>71</v>
      </c>
      <c r="D55" s="40">
        <f>SUMIF(Ден.поток!$E$2:$AF$2,CONCATENATE("*",RIGHT(D$6,2)),Ден.поток!$E$4:$AF$4)</f>
        <v>2008369.7124999999</v>
      </c>
      <c r="E55" s="40">
        <f>SUMIF(Ден.поток!$E$2:$AF$2,CONCATENATE("*",RIGHT(E$6,2)),Ден.поток!$E$4:$AF$4)</f>
        <v>4652945.9749999996</v>
      </c>
      <c r="F55" s="40">
        <f>SUMIF(Ден.поток!$E$2:$AF$2,CONCATENATE("*",RIGHT(F$6,2)),Ден.поток!$E$4:$AF$4)</f>
        <v>5651554.375</v>
      </c>
      <c r="G55" s="40">
        <f>SUMIF(Ден.поток!$E$2:$AF$2,CONCATENATE("*",RIGHT(G$6,2)),Ден.поток!$E$4:$AF$4)</f>
        <v>6863332.7750000004</v>
      </c>
      <c r="H55" s="40">
        <f>SUMIF(Ден.поток!$E$2:$AF$2,CONCATENATE("*",RIGHT(H$6,2)),Ден.поток!$E$4:$AF$4)</f>
        <v>6202857.4000000004</v>
      </c>
      <c r="I55" s="40">
        <f>SUMIF(Ден.поток!$E$2:$AF$2,CONCATENATE("*",RIGHT(I$6,2)),Ден.поток!$E$4:$AF$4)</f>
        <v>10121687.075000001</v>
      </c>
      <c r="J55" s="40">
        <f>SUMIF(Ден.поток!$E$2:$AF$2,CONCATENATE("*",RIGHT(J$6,2)),Ден.поток!$E$4:$AF$4)</f>
        <v>12291134.475</v>
      </c>
      <c r="K55" s="40">
        <f t="shared" ref="K55:K62" si="19">SUM(D55:G55)</f>
        <v>19176202.837499999</v>
      </c>
    </row>
    <row r="56" spans="2:11" ht="17">
      <c r="B56" s="13" t="s">
        <v>15</v>
      </c>
      <c r="C56" s="20" t="s">
        <v>71</v>
      </c>
      <c r="D56" s="43">
        <f>SUMIF(Ден.поток!$E$2:$AF$2,CONCATENATE("*",RIGHT(D$6,2)),Ден.поток!$E$5:$AF$5)</f>
        <v>-2537595.3712499999</v>
      </c>
      <c r="E56" s="43">
        <f>SUMIF(Ден.поток!$E$2:$AF$2,CONCATENATE("*",RIGHT(E$6,2)),Ден.поток!$E$5:$AF$5)</f>
        <v>-5138811.3975</v>
      </c>
      <c r="F56" s="43">
        <f>SUMIF(Ден.поток!$E$2:$AF$2,CONCATENATE("*",RIGHT(F$6,2)),Ден.поток!$E$5:$AF$5)</f>
        <v>-5238672.2374999998</v>
      </c>
      <c r="G56" s="43">
        <f>SUMIF(Ден.поток!$E$2:$AF$2,CONCATENATE("*",RIGHT(G$6,2)),Ден.поток!$E$5:$AF$5)</f>
        <v>-5863496.0774999997</v>
      </c>
      <c r="H56" s="43">
        <f>SUMIF(Ден.поток!$E$2:$AF$2,CONCATENATE("*",RIGHT(H$6,2)),Ден.поток!$E$5:$AF$5)</f>
        <v>-7308386.54</v>
      </c>
      <c r="I56" s="43">
        <f>SUMIF(Ден.поток!$E$2:$AF$2,CONCATENATE("*",RIGHT(I$6,2)),Ден.поток!$E$5:$AF$5)</f>
        <v>-7700269.5075000003</v>
      </c>
      <c r="J56" s="43">
        <f>SUMIF(Ден.поток!$E$2:$AF$2,CONCATENATE("*",RIGHT(J$6,2)),Ден.поток!$E$5:$AF$5)</f>
        <v>-13960966.247499999</v>
      </c>
      <c r="K56" s="43">
        <f t="shared" si="19"/>
        <v>-18778575.083749998</v>
      </c>
    </row>
    <row r="57" spans="2:11" ht="17">
      <c r="B57" s="25" t="s">
        <v>83</v>
      </c>
      <c r="C57" s="22" t="s">
        <v>71</v>
      </c>
      <c r="D57" s="40">
        <f>SUM(D55:D56)</f>
        <v>-529225.65874999994</v>
      </c>
      <c r="E57" s="40">
        <f t="shared" ref="E57:G57" si="20">SUM(E55:E56)</f>
        <v>-485865.42250000034</v>
      </c>
      <c r="F57" s="40">
        <f t="shared" si="20"/>
        <v>412882.13750000019</v>
      </c>
      <c r="G57" s="40">
        <f t="shared" si="20"/>
        <v>999836.69750000071</v>
      </c>
      <c r="H57" s="40">
        <f t="shared" ref="H57:J57" si="21">SUM(H55:H56)</f>
        <v>-1105529.1399999997</v>
      </c>
      <c r="I57" s="40">
        <f t="shared" si="21"/>
        <v>2421417.5675000008</v>
      </c>
      <c r="J57" s="40">
        <f t="shared" si="21"/>
        <v>-1669831.772499999</v>
      </c>
      <c r="K57" s="40">
        <f t="shared" si="19"/>
        <v>397627.75375000061</v>
      </c>
    </row>
    <row r="58" spans="2:11" ht="17">
      <c r="B58" s="13" t="s">
        <v>32</v>
      </c>
      <c r="C58" s="20" t="s">
        <v>71</v>
      </c>
      <c r="D58" s="43">
        <f>SUMIF(Ден.поток!$E$2:$AF$2,CONCATENATE("*",RIGHT(D$6,2)),Ден.поток!$E$7:$AF$7)</f>
        <v>-3.5714285714285712E-2</v>
      </c>
      <c r="E58" s="43">
        <f>SUMIF(Ден.поток!$E$2:$AF$2,CONCATENATE("*",RIGHT(E$6,2)),Ден.поток!$E$7:$AF$7)</f>
        <v>-0.14285714285714285</v>
      </c>
      <c r="F58" s="43">
        <f>SUMIF(Ден.поток!$E$2:$AF$2,CONCATENATE("*",RIGHT(F$6,2)),Ден.поток!$E$7:$AF$7)</f>
        <v>-0.14285714285714285</v>
      </c>
      <c r="G58" s="43">
        <f>SUMIF(Ден.поток!$E$2:$AF$2,CONCATENATE("*",RIGHT(G$6,2)),Ден.поток!$E$7:$AF$7)</f>
        <v>-0.14285714285714285</v>
      </c>
      <c r="H58" s="43">
        <f>SUMIF(Ден.поток!$E$2:$AF$2,CONCATENATE("*",RIGHT(H$6,2)),Ден.поток!$E$7:$AF$7)</f>
        <v>-0.14285714285714285</v>
      </c>
      <c r="I58" s="43">
        <f>SUMIF(Ден.поток!$E$2:$AF$2,CONCATENATE("*",RIGHT(I$6,2)),Ден.поток!$E$7:$AF$7)</f>
        <v>-0.14285714285714285</v>
      </c>
      <c r="J58" s="43">
        <f>SUMIF(Ден.поток!$E$2:$AF$2,CONCATENATE("*",RIGHT(J$6,2)),Ден.поток!$E$7:$AF$7)</f>
        <v>-0.14285714285714285</v>
      </c>
      <c r="K58" s="43">
        <f t="shared" si="19"/>
        <v>-0.46428571428571425</v>
      </c>
    </row>
    <row r="59" spans="2:11" ht="17">
      <c r="B59" s="25" t="s">
        <v>31</v>
      </c>
      <c r="C59" s="22" t="s">
        <v>71</v>
      </c>
      <c r="D59" s="40">
        <f>SUMIF(Ден.поток!$E$2:$AF$2,CONCATENATE("*",RIGHT(D$6,2)),Ден.поток!$E$10:$AF$10)</f>
        <v>-1.0803571428571428E-2</v>
      </c>
      <c r="E59" s="40">
        <f>SUMIF(Ден.поток!$E$2:$AF$2,CONCATENATE("*",RIGHT(E$6,2)),Ден.поток!$E$10:$AF$10)</f>
        <v>-1.925E-2</v>
      </c>
      <c r="F59" s="40">
        <f>SUMIF(Ден.поток!$E$2:$AF$2,CONCATENATE("*",RIGHT(F$6,2)),Ден.поток!$E$10:$AF$10)</f>
        <v>-1.6107142857142858E-2</v>
      </c>
      <c r="G59" s="40">
        <f>SUMIF(Ден.поток!$E$2:$AF$2,CONCATENATE("*",RIGHT(G$6,2)),Ден.поток!$E$10:$AF$10)</f>
        <v>-1.2964285714285716E-2</v>
      </c>
      <c r="H59" s="40">
        <f>SUMIF(Ден.поток!$E$2:$AF$2,CONCATENATE("*",RIGHT(H$6,2)),Ден.поток!$E$10:$AF$10)</f>
        <v>-9.8214285714285747E-3</v>
      </c>
      <c r="I59" s="40">
        <f>SUMIF(Ден.поток!$E$2:$AF$2,CONCATENATE("*",RIGHT(I$6,2)),Ден.поток!$E$10:$AF$10)</f>
        <v>-6.678571428571433E-3</v>
      </c>
      <c r="J59" s="40">
        <f>SUMIF(Ден.поток!$E$2:$AF$2,CONCATENATE("*",RIGHT(J$6,2)),Ден.поток!$E$10:$AF$10)</f>
        <v>-3.5357142857142913E-3</v>
      </c>
      <c r="K59" s="40">
        <f t="shared" si="19"/>
        <v>-5.9125000000000011E-2</v>
      </c>
    </row>
    <row r="60" spans="2:11" ht="17">
      <c r="B60" s="13" t="s">
        <v>84</v>
      </c>
      <c r="C60" s="20" t="s">
        <v>71</v>
      </c>
      <c r="D60" s="43">
        <f>SUM(D57:D59)</f>
        <v>-529225.70526785706</v>
      </c>
      <c r="E60" s="43">
        <f t="shared" ref="E60:G60" si="22">SUM(E57:E59)</f>
        <v>-485865.58460714319</v>
      </c>
      <c r="F60" s="43">
        <f t="shared" si="22"/>
        <v>412881.9785357145</v>
      </c>
      <c r="G60" s="43">
        <f t="shared" si="22"/>
        <v>999836.54167857219</v>
      </c>
      <c r="H60" s="43">
        <f t="shared" ref="H60:J60" si="23">SUM(H57:H59)</f>
        <v>-1105529.2926785713</v>
      </c>
      <c r="I60" s="43">
        <f t="shared" si="23"/>
        <v>2421417.4179642866</v>
      </c>
      <c r="J60" s="43">
        <f t="shared" si="23"/>
        <v>-1669831.9188928562</v>
      </c>
      <c r="K60" s="43">
        <f t="shared" si="19"/>
        <v>397627.2303392865</v>
      </c>
    </row>
    <row r="61" spans="2:11" ht="17">
      <c r="B61" s="25" t="s">
        <v>16</v>
      </c>
      <c r="C61" s="22" t="s">
        <v>71</v>
      </c>
      <c r="D61" s="40">
        <f>SUMIF(Ден.поток!$E$2:$AF$2,CONCATENATE("*",RIGHT(D$6,2)),Ден.поток!$E$9:$AF$9)</f>
        <v>105845.14105357141</v>
      </c>
      <c r="E61" s="40">
        <f>SUMIF(Ден.поток!$E$2:$AF$2,CONCATENATE("*",RIGHT(E$6,2)),Ден.поток!$E$9:$AF$9)</f>
        <v>97173.116921428547</v>
      </c>
      <c r="F61" s="40">
        <f>SUMIF(Ден.поток!$E$2:$AF$2,CONCATENATE("*",RIGHT(F$6,2)),Ден.поток!$E$9:$AF$9)</f>
        <v>-82576.395707142903</v>
      </c>
      <c r="G61" s="40">
        <f>SUMIF(Ден.поток!$E$2:$AF$2,CONCATENATE("*",RIGHT(G$6,2)),Ден.поток!$E$9:$AF$9)</f>
        <v>-199967.3083357143</v>
      </c>
      <c r="H61" s="40">
        <f>SUMIF(Ден.поток!$E$2:$AF$2,CONCATENATE("*",RIGHT(H$6,2)),Ден.поток!$E$9:$AF$9)</f>
        <v>221105.85853571427</v>
      </c>
      <c r="I61" s="40">
        <f>SUMIF(Ден.поток!$E$2:$AF$2,CONCATENATE("*",RIGHT(I$6,2)),Ден.поток!$E$9:$AF$9)</f>
        <v>-484283.48359285726</v>
      </c>
      <c r="J61" s="40">
        <f>SUMIF(Ден.поток!$E$2:$AF$2,CONCATENATE("*",RIGHT(J$6,2)),Ден.поток!$E$9:$AF$9)</f>
        <v>333966.38377857144</v>
      </c>
      <c r="K61" s="40">
        <f t="shared" si="19"/>
        <v>-79525.44606785725</v>
      </c>
    </row>
    <row r="62" spans="2:11" ht="17">
      <c r="B62" s="13" t="s">
        <v>85</v>
      </c>
      <c r="C62" s="20" t="s">
        <v>71</v>
      </c>
      <c r="D62" s="43">
        <f>SUM(D60:D61)</f>
        <v>-423380.56421428564</v>
      </c>
      <c r="E62" s="43">
        <f t="shared" ref="E62:G62" si="24">SUM(E60:E61)</f>
        <v>-388692.46768571466</v>
      </c>
      <c r="F62" s="43">
        <f t="shared" si="24"/>
        <v>330305.58282857161</v>
      </c>
      <c r="G62" s="43">
        <f t="shared" si="24"/>
        <v>799869.23334285791</v>
      </c>
      <c r="H62" s="43">
        <f t="shared" ref="H62:J62" si="25">SUM(H60:H61)</f>
        <v>-884423.43414285709</v>
      </c>
      <c r="I62" s="43">
        <f t="shared" si="25"/>
        <v>1937133.9343714295</v>
      </c>
      <c r="J62" s="43">
        <f t="shared" si="25"/>
        <v>-1335865.5351142848</v>
      </c>
      <c r="K62" s="43">
        <f t="shared" si="19"/>
        <v>318101.78427142923</v>
      </c>
    </row>
    <row r="63" spans="2:11">
      <c r="B63" s="13"/>
      <c r="C63" s="20"/>
      <c r="D63" s="43"/>
      <c r="E63" s="43"/>
      <c r="F63" s="43"/>
      <c r="G63" s="43"/>
      <c r="H63" s="43"/>
      <c r="I63" s="43"/>
      <c r="J63" s="43"/>
      <c r="K63" s="43"/>
    </row>
    <row r="64" spans="2:11" ht="17">
      <c r="B64" s="14" t="s">
        <v>86</v>
      </c>
      <c r="C64" s="20" t="s">
        <v>71</v>
      </c>
      <c r="D64" s="43"/>
      <c r="E64" s="43"/>
      <c r="F64" s="43"/>
      <c r="G64" s="43"/>
      <c r="H64" s="43"/>
      <c r="I64" s="43"/>
      <c r="J64" s="43"/>
      <c r="K64" s="43"/>
    </row>
    <row r="65" spans="2:11" ht="17">
      <c r="B65" s="25" t="s">
        <v>85</v>
      </c>
      <c r="C65" s="22" t="s">
        <v>71</v>
      </c>
      <c r="D65" s="40">
        <f t="shared" ref="D65:G65" si="26">D62</f>
        <v>-423380.56421428564</v>
      </c>
      <c r="E65" s="40">
        <f t="shared" si="26"/>
        <v>-388692.46768571466</v>
      </c>
      <c r="F65" s="40">
        <f t="shared" si="26"/>
        <v>330305.58282857161</v>
      </c>
      <c r="G65" s="40">
        <f t="shared" si="26"/>
        <v>799869.23334285791</v>
      </c>
      <c r="H65" s="40">
        <f t="shared" ref="H65:J65" si="27">H62</f>
        <v>-884423.43414285709</v>
      </c>
      <c r="I65" s="40">
        <f t="shared" si="27"/>
        <v>1937133.9343714295</v>
      </c>
      <c r="J65" s="40">
        <f t="shared" si="27"/>
        <v>-1335865.5351142848</v>
      </c>
      <c r="K65" s="40">
        <f>SUM(D65:G65)</f>
        <v>318101.78427142923</v>
      </c>
    </row>
    <row r="66" spans="2:11" ht="17">
      <c r="B66" s="13" t="s">
        <v>32</v>
      </c>
      <c r="C66" s="20" t="s">
        <v>71</v>
      </c>
      <c r="D66" s="43">
        <f>ABS(D58)</f>
        <v>3.5714285714285712E-2</v>
      </c>
      <c r="E66" s="43">
        <f t="shared" ref="E66:G66" si="28">ABS(E58)</f>
        <v>0.14285714285714285</v>
      </c>
      <c r="F66" s="43">
        <f t="shared" si="28"/>
        <v>0.14285714285714285</v>
      </c>
      <c r="G66" s="43">
        <f t="shared" si="28"/>
        <v>0.14285714285714285</v>
      </c>
      <c r="H66" s="43">
        <f t="shared" ref="H66:J66" si="29">ABS(H58)</f>
        <v>0.14285714285714285</v>
      </c>
      <c r="I66" s="43">
        <f t="shared" si="29"/>
        <v>0.14285714285714285</v>
      </c>
      <c r="J66" s="43">
        <f t="shared" si="29"/>
        <v>0.14285714285714285</v>
      </c>
      <c r="K66" s="43">
        <f>SUM(D66:G66)</f>
        <v>0.46428571428571425</v>
      </c>
    </row>
    <row r="67" spans="2:11" ht="17">
      <c r="B67" s="25" t="s">
        <v>87</v>
      </c>
      <c r="C67" s="22" t="s">
        <v>71</v>
      </c>
      <c r="D67" s="40">
        <f>SUMIF(Ден.поток!$E$2:$AF$2,CONCATENATE("*",RIGHT(D$6,2)),Ден.поток!$E$14:$AF$14)</f>
        <v>-1</v>
      </c>
      <c r="E67" s="40">
        <f>SUMIF(Ден.поток!$E$2:$AF$2,CONCATENATE("*",RIGHT(E$6,2)),Ден.поток!$E$14:$AF$14)</f>
        <v>0</v>
      </c>
      <c r="F67" s="40">
        <f>SUMIF(Ден.поток!$E$2:$AF$2,CONCATENATE("*",RIGHT(F$6,2)),Ден.поток!$E$14:$AF$14)</f>
        <v>0</v>
      </c>
      <c r="G67" s="40">
        <f>SUMIF(Ден.поток!$E$2:$AF$2,CONCATENATE("*",RIGHT(G$6,2)),Ден.поток!$E$14:$AF$14)</f>
        <v>0</v>
      </c>
      <c r="H67" s="40">
        <f>SUMIF(Ден.поток!$E$2:$AF$2,CONCATENATE("*",RIGHT(H$6,2)),Ден.поток!$E$14:$AF$14)</f>
        <v>0</v>
      </c>
      <c r="I67" s="40">
        <f>SUMIF(Ден.поток!$E$2:$AF$2,CONCATENATE("*",RIGHT(I$6,2)),Ден.поток!$E$14:$AF$14)</f>
        <v>0</v>
      </c>
      <c r="J67" s="40">
        <f>SUMIF(Ден.поток!$E$2:$AF$2,CONCATENATE("*",RIGHT(J$6,2)),Ден.поток!$E$14:$AF$14)</f>
        <v>0</v>
      </c>
      <c r="K67" s="40">
        <f>SUM(D67:G67)</f>
        <v>-1</v>
      </c>
    </row>
    <row r="68" spans="2:11" ht="17">
      <c r="B68" s="13" t="s">
        <v>17</v>
      </c>
      <c r="C68" s="20" t="s">
        <v>71</v>
      </c>
      <c r="D68" s="43">
        <f>SUMIF(Ден.поток!$E$2:$AF$2,CONCATENATE("*",RIGHT(D$6,2)),Ден.поток!$E$15:$AF$15)</f>
        <v>-423381.52849999984</v>
      </c>
      <c r="E68" s="43">
        <f>SUMIF(Ден.поток!$E$2:$AF$2,CONCATENATE("*",RIGHT(E$6,2)),Ден.поток!$E$15:$AF$15)</f>
        <v>-388692.32482857129</v>
      </c>
      <c r="F68" s="43">
        <f>SUMIF(Ден.поток!$E$2:$AF$2,CONCATENATE("*",RIGHT(F$6,2)),Ден.поток!$E$15:$AF$15)</f>
        <v>330305.72568571439</v>
      </c>
      <c r="G68" s="43">
        <f>SUMIF(Ден.поток!$E$2:$AF$2,CONCATENATE("*",RIGHT(G$6,2)),Ден.поток!$E$15:$AF$15)</f>
        <v>799869.37620000017</v>
      </c>
      <c r="H68" s="43">
        <f>SUMIF(Ден.поток!$E$2:$AF$2,CONCATENATE("*",RIGHT(H$6,2)),Ден.поток!$E$15:$AF$15)</f>
        <v>-884423.29128571425</v>
      </c>
      <c r="I68" s="43">
        <f>SUMIF(Ден.поток!$E$2:$AF$2,CONCATENATE("*",RIGHT(I$6,2)),Ден.поток!$E$15:$AF$15)</f>
        <v>1937134.0772285715</v>
      </c>
      <c r="J68" s="43">
        <f>SUMIF(Ден.поток!$E$2:$AF$2,CONCATENATE("*",RIGHT(J$6,2)),Ден.поток!$E$15:$AF$15)</f>
        <v>-1335865.392257143</v>
      </c>
      <c r="K68" s="43">
        <f>SUM(D68:G68)</f>
        <v>318101.24855714338</v>
      </c>
    </row>
    <row r="69" spans="2:11">
      <c r="B69" s="13"/>
      <c r="C69" s="20"/>
      <c r="D69" s="43"/>
      <c r="E69" s="43"/>
      <c r="F69" s="43"/>
      <c r="G69" s="43"/>
      <c r="H69" s="43"/>
      <c r="I69" s="43"/>
      <c r="J69" s="43"/>
      <c r="K69" s="43"/>
    </row>
    <row r="70" spans="2:11" ht="17">
      <c r="B70" s="15" t="s">
        <v>88</v>
      </c>
      <c r="C70" s="44"/>
      <c r="D70" s="43"/>
      <c r="E70" s="43"/>
      <c r="F70" s="43"/>
      <c r="G70" s="43"/>
      <c r="H70" s="43"/>
      <c r="I70" s="43"/>
      <c r="J70" s="43"/>
      <c r="K70" s="43"/>
    </row>
    <row r="71" spans="2:11" ht="17">
      <c r="B71" s="26" t="s">
        <v>89</v>
      </c>
      <c r="C71" s="22" t="s">
        <v>71</v>
      </c>
      <c r="D71" s="40">
        <f>SUMIF(Ден.поток!$E$2:$AF$2,CONCATENATE("*",RIGHT(D$6,2)),Ден.поток!$E$19:$AF$19)</f>
        <v>-419026.28788095154</v>
      </c>
      <c r="E71" s="40">
        <f>SUMIF(Ден.поток!$E$2:$AF$2,CONCATENATE("*",RIGHT(E$6,2)),Ден.поток!$E$19:$AF$19)</f>
        <v>-363398.76763435215</v>
      </c>
      <c r="F71" s="40">
        <f>SUMIF(Ден.поток!$E$2:$AF$2,CONCATENATE("*",RIGHT(F$6,2)),Ден.поток!$E$19:$AF$19)</f>
        <v>273985.64717711968</v>
      </c>
      <c r="G71" s="40">
        <f>SUMIF(Ден.поток!$E$2:$AF$2,CONCATENATE("*",RIGHT(G$6,2)),Ден.поток!$E$19:$AF$19)</f>
        <v>621621.93283198355</v>
      </c>
      <c r="H71" s="40">
        <f>SUMIF(Ден.поток!$E$2:$AF$2,CONCATENATE("*",RIGHT(H$6,2)),Ден.поток!$E$19:$AF$19)</f>
        <v>-615685.94547044719</v>
      </c>
      <c r="I71" s="40">
        <f>SUMIF(Ден.поток!$E$2:$AF$2,CONCATENATE("*",RIGHT(I$6,2)),Ден.поток!$E$19:$AF$19)</f>
        <v>1238517.7734890603</v>
      </c>
      <c r="J71" s="40">
        <f>SUMIF(Ден.поток!$E$2:$AF$2,CONCATENATE("*",RIGHT(J$6,2)),Ден.поток!$E$19:$AF$19)</f>
        <v>-758764.03966882126</v>
      </c>
      <c r="K71" s="40">
        <f>SUM(D71:G71)</f>
        <v>113182.52449379949</v>
      </c>
    </row>
    <row r="72" spans="2:11" ht="17">
      <c r="B72" s="21" t="s">
        <v>90</v>
      </c>
      <c r="C72" s="20" t="s">
        <v>71</v>
      </c>
      <c r="D72" s="43">
        <f>SUM($D$71:D71)</f>
        <v>-419026.28788095154</v>
      </c>
      <c r="E72" s="43">
        <f>SUM($D$71:E71)</f>
        <v>-782425.05551530374</v>
      </c>
      <c r="F72" s="43">
        <f>SUM($D$71:F71)</f>
        <v>-508439.40833818406</v>
      </c>
      <c r="G72" s="43">
        <f>SUM($D$71:G71)</f>
        <v>113182.52449379949</v>
      </c>
      <c r="H72" s="43">
        <f>SUM($D$71:H71)</f>
        <v>-502503.4209766477</v>
      </c>
      <c r="I72" s="43">
        <f>SUM($D$71:I71)</f>
        <v>736014.3525124127</v>
      </c>
      <c r="J72" s="43">
        <f>SUM($D$71:J71)</f>
        <v>-22749.68715640856</v>
      </c>
      <c r="K72" s="43"/>
    </row>
    <row r="75" spans="2:11">
      <c r="B75" s="11" t="s">
        <v>104</v>
      </c>
    </row>
    <row r="76" spans="2:11" ht="17">
      <c r="B76" s="16" t="s">
        <v>91</v>
      </c>
      <c r="C76" s="17" t="s">
        <v>75</v>
      </c>
      <c r="D76" s="18"/>
    </row>
    <row r="77" spans="2:11" ht="17">
      <c r="B77" s="21" t="s">
        <v>70</v>
      </c>
      <c r="C77" s="37" t="s">
        <v>3</v>
      </c>
      <c r="D77" s="38">
        <f>Осн.положения!D8</f>
        <v>9.5000000000000001E-2</v>
      </c>
      <c r="F77" s="10"/>
    </row>
    <row r="78" spans="2:11" ht="17">
      <c r="B78" s="26" t="s">
        <v>92</v>
      </c>
      <c r="C78" s="39" t="s">
        <v>71</v>
      </c>
      <c r="D78" s="40">
        <f>Ден.поток!AG19</f>
        <v>-454324.36964085791</v>
      </c>
    </row>
    <row r="79" spans="2:11" ht="17">
      <c r="B79" s="21" t="s">
        <v>36</v>
      </c>
      <c r="C79" s="37" t="s">
        <v>3</v>
      </c>
      <c r="D79" s="41" t="e">
        <f>(IRR(Ден.поток!E15:AF15)+1)^4-1</f>
        <v>#NUM!</v>
      </c>
    </row>
    <row r="80" spans="2:11" ht="17">
      <c r="B80" s="26" t="s">
        <v>93</v>
      </c>
      <c r="C80" s="39" t="s">
        <v>94</v>
      </c>
      <c r="D80" s="280">
        <f>IF(K71&lt;0,"Не окупается за 7 лет",(COUNTIF(Ден.поток!E20:AF20,"&lt;0")+1)/4)</f>
        <v>4.75</v>
      </c>
    </row>
    <row r="81" spans="2:12" ht="17">
      <c r="B81" s="21" t="s">
        <v>95</v>
      </c>
      <c r="C81" s="37" t="s">
        <v>3</v>
      </c>
      <c r="D81" s="404">
        <f>D78/D84</f>
        <v>-454324.36964085791</v>
      </c>
    </row>
    <row r="84" spans="2:12">
      <c r="B84" s="64" t="s">
        <v>19</v>
      </c>
      <c r="C84" s="64"/>
      <c r="D84" s="65">
        <f>NPV(Осн.положения!$D$9,CAPEX!E4:AF4)*(1+Осн.положения!$D$9)</f>
        <v>1</v>
      </c>
      <c r="E84" s="65">
        <f>NPV(Осн.положения!$D$9,CAPEX!F4:AG4)*(1+Осн.положения!$D$9)</f>
        <v>0.54194435326715307</v>
      </c>
      <c r="F84" s="65">
        <f>NPV(Осн.положения!$D$9,CAPEX!G4:AH4)*(1+Осн.положения!$D$9)</f>
        <v>0.55438085682168459</v>
      </c>
      <c r="G84" s="65">
        <f>NPV(Осн.положения!$D$9,CAPEX!H4:AI4)*(1+Осн.положения!$D$9)</f>
        <v>0.56710275244595443</v>
      </c>
      <c r="H84" s="65">
        <f>NPV(Осн.положения!$D$9,CAPEX!I4:AJ4)*(1+Осн.положения!$D$9)</f>
        <v>0.58011658929850307</v>
      </c>
      <c r="I84" s="65">
        <f>NPV(Осн.положения!$D$9,CAPEX!J4:AK4)*(1+Осн.положения!$D$9)</f>
        <v>0.59342906682753283</v>
      </c>
      <c r="J84" s="65">
        <f>NPV(Осн.положения!$D$9,CAPEX!K4:AL4)*(1+Осн.положения!$D$9)</f>
        <v>0.60704703821974482</v>
      </c>
      <c r="K84" s="65">
        <f>NPV(Осн.положения!$D$9,CAPEX!L4:AM4)*(1+Осн.положения!$D$9)</f>
        <v>0.62097751392832023</v>
      </c>
      <c r="L84" s="65">
        <f>NPV(Осн.положения!$D$9,CAPEX!M4:AN4)*(1+Осн.положения!$D$9)</f>
        <v>0.63522766528186103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34998626667073579"/>
    <pageSetUpPr fitToPage="1"/>
  </sheetPr>
  <dimension ref="A1:AF28"/>
  <sheetViews>
    <sheetView showGridLines="0" zoomScale="95" zoomScaleNormal="95" workbookViewId="0">
      <pane ySplit="3" topLeftCell="A4" activePane="bottomLeft" state="frozenSplit"/>
      <selection activeCell="A21" sqref="A21"/>
      <selection pane="bottomLeft" activeCell="A10" sqref="A10:XFD10"/>
    </sheetView>
  </sheetViews>
  <sheetFormatPr baseColWidth="10" defaultColWidth="9.1640625" defaultRowHeight="16"/>
  <cols>
    <col min="1" max="1" width="38.5" style="49" customWidth="1"/>
    <col min="2" max="2" width="17.5" style="49" customWidth="1"/>
    <col min="3" max="3" width="20" style="49" customWidth="1"/>
    <col min="4" max="32" width="9.5" style="49" customWidth="1"/>
    <col min="33" max="16384" width="9.1640625" style="49"/>
  </cols>
  <sheetData>
    <row r="1" spans="1:32" ht="19.75" customHeight="1">
      <c r="A1" s="235" t="s">
        <v>68</v>
      </c>
      <c r="B1" s="236">
        <v>12</v>
      </c>
      <c r="C1" s="212"/>
      <c r="D1" s="237" t="s">
        <v>1</v>
      </c>
      <c r="E1" s="237">
        <v>0</v>
      </c>
      <c r="F1" s="237">
        <f>E1+1</f>
        <v>1</v>
      </c>
      <c r="G1" s="237">
        <f t="shared" ref="G1:AF1" si="0">F1+1</f>
        <v>2</v>
      </c>
      <c r="H1" s="237">
        <f t="shared" si="0"/>
        <v>3</v>
      </c>
      <c r="I1" s="237">
        <f t="shared" si="0"/>
        <v>4</v>
      </c>
      <c r="J1" s="237">
        <f t="shared" si="0"/>
        <v>5</v>
      </c>
      <c r="K1" s="237">
        <f t="shared" si="0"/>
        <v>6</v>
      </c>
      <c r="L1" s="237">
        <f t="shared" si="0"/>
        <v>7</v>
      </c>
      <c r="M1" s="237">
        <f t="shared" si="0"/>
        <v>8</v>
      </c>
      <c r="N1" s="237">
        <f t="shared" si="0"/>
        <v>9</v>
      </c>
      <c r="O1" s="237">
        <f t="shared" si="0"/>
        <v>10</v>
      </c>
      <c r="P1" s="237">
        <f t="shared" si="0"/>
        <v>11</v>
      </c>
      <c r="Q1" s="237">
        <f t="shared" si="0"/>
        <v>12</v>
      </c>
      <c r="R1" s="237">
        <f t="shared" si="0"/>
        <v>13</v>
      </c>
      <c r="S1" s="237">
        <f t="shared" si="0"/>
        <v>14</v>
      </c>
      <c r="T1" s="237">
        <f t="shared" si="0"/>
        <v>15</v>
      </c>
      <c r="U1" s="237">
        <f t="shared" si="0"/>
        <v>16</v>
      </c>
      <c r="V1" s="237">
        <f t="shared" si="0"/>
        <v>17</v>
      </c>
      <c r="W1" s="237">
        <f t="shared" si="0"/>
        <v>18</v>
      </c>
      <c r="X1" s="237">
        <f t="shared" si="0"/>
        <v>19</v>
      </c>
      <c r="Y1" s="237">
        <f t="shared" si="0"/>
        <v>20</v>
      </c>
      <c r="Z1" s="237">
        <f t="shared" si="0"/>
        <v>21</v>
      </c>
      <c r="AA1" s="237">
        <f t="shared" si="0"/>
        <v>22</v>
      </c>
      <c r="AB1" s="237">
        <f t="shared" si="0"/>
        <v>23</v>
      </c>
      <c r="AC1" s="237">
        <f t="shared" si="0"/>
        <v>24</v>
      </c>
      <c r="AD1" s="237">
        <f t="shared" si="0"/>
        <v>25</v>
      </c>
      <c r="AE1" s="237">
        <f t="shared" si="0"/>
        <v>26</v>
      </c>
      <c r="AF1" s="237">
        <f t="shared" si="0"/>
        <v>27</v>
      </c>
    </row>
    <row r="2" spans="1:32" ht="39.5" customHeight="1">
      <c r="A2" s="272" t="s">
        <v>29</v>
      </c>
      <c r="C2" s="212" t="s">
        <v>130</v>
      </c>
    </row>
    <row r="3" spans="1:32" s="71" customFormat="1">
      <c r="A3" s="231" t="s">
        <v>27</v>
      </c>
      <c r="B3" s="231" t="s">
        <v>75</v>
      </c>
      <c r="C3" s="231" t="s">
        <v>105</v>
      </c>
      <c r="D3" s="231" t="s">
        <v>120</v>
      </c>
      <c r="E3" s="231" t="str">
        <f>CONCATENATE(TRUNC((MONTH(DATE(YEAR($B$4),MONTH($B$4)+3*E1,1))-1)/3+1,0),"Q",TEXT(YEAR(DATE(YEAR($B$4),MONTH($B$4)+3*E1,1))-2000,"00"))</f>
        <v>3Q22</v>
      </c>
      <c r="F3" s="231" t="str">
        <f t="shared" ref="F3:AF3" si="1">CONCATENATE(TRUNC((MONTH(DATE(YEAR($B$4),MONTH($B$4)+3*F1,1))-1)/3+1,0),"Q",TEXT(YEAR(DATE(YEAR($B$4),MONTH($B$4)+3*F1,1))-2000,"00"))</f>
        <v>4Q22</v>
      </c>
      <c r="G3" s="231" t="str">
        <f t="shared" si="1"/>
        <v>1Q23</v>
      </c>
      <c r="H3" s="231" t="str">
        <f t="shared" si="1"/>
        <v>2Q23</v>
      </c>
      <c r="I3" s="231" t="str">
        <f t="shared" si="1"/>
        <v>3Q23</v>
      </c>
      <c r="J3" s="231" t="str">
        <f t="shared" si="1"/>
        <v>4Q23</v>
      </c>
      <c r="K3" s="231" t="str">
        <f t="shared" si="1"/>
        <v>1Q24</v>
      </c>
      <c r="L3" s="231" t="str">
        <f t="shared" si="1"/>
        <v>2Q24</v>
      </c>
      <c r="M3" s="231" t="str">
        <f t="shared" si="1"/>
        <v>3Q24</v>
      </c>
      <c r="N3" s="231" t="str">
        <f t="shared" si="1"/>
        <v>4Q24</v>
      </c>
      <c r="O3" s="231" t="str">
        <f t="shared" si="1"/>
        <v>1Q25</v>
      </c>
      <c r="P3" s="231" t="str">
        <f t="shared" si="1"/>
        <v>2Q25</v>
      </c>
      <c r="Q3" s="231" t="str">
        <f t="shared" si="1"/>
        <v>3Q25</v>
      </c>
      <c r="R3" s="231" t="str">
        <f t="shared" si="1"/>
        <v>4Q25</v>
      </c>
      <c r="S3" s="231" t="str">
        <f t="shared" si="1"/>
        <v>1Q26</v>
      </c>
      <c r="T3" s="231" t="str">
        <f t="shared" si="1"/>
        <v>2Q26</v>
      </c>
      <c r="U3" s="231" t="str">
        <f t="shared" si="1"/>
        <v>3Q26</v>
      </c>
      <c r="V3" s="231" t="str">
        <f t="shared" si="1"/>
        <v>4Q26</v>
      </c>
      <c r="W3" s="231" t="str">
        <f t="shared" si="1"/>
        <v>1Q27</v>
      </c>
      <c r="X3" s="231" t="str">
        <f t="shared" si="1"/>
        <v>2Q27</v>
      </c>
      <c r="Y3" s="231" t="str">
        <f t="shared" si="1"/>
        <v>3Q27</v>
      </c>
      <c r="Z3" s="231" t="str">
        <f t="shared" si="1"/>
        <v>4Q27</v>
      </c>
      <c r="AA3" s="231" t="str">
        <f t="shared" si="1"/>
        <v>1Q28</v>
      </c>
      <c r="AB3" s="231" t="str">
        <f t="shared" si="1"/>
        <v>2Q28</v>
      </c>
      <c r="AC3" s="231" t="str">
        <f t="shared" si="1"/>
        <v>3Q28</v>
      </c>
      <c r="AD3" s="231" t="str">
        <f t="shared" si="1"/>
        <v>4Q28</v>
      </c>
      <c r="AE3" s="231" t="str">
        <f t="shared" si="1"/>
        <v>1Q29</v>
      </c>
      <c r="AF3" s="231" t="str">
        <f t="shared" si="1"/>
        <v>2Q29</v>
      </c>
    </row>
    <row r="4" spans="1:32" ht="37.25" customHeight="1">
      <c r="A4" s="273" t="s">
        <v>129</v>
      </c>
      <c r="B4" s="274">
        <v>44805</v>
      </c>
      <c r="C4" s="46"/>
    </row>
    <row r="5" spans="1:32">
      <c r="A5" s="45"/>
      <c r="B5" s="45"/>
      <c r="C5" s="46"/>
    </row>
    <row r="6" spans="1:32" ht="17">
      <c r="A6" s="190" t="s">
        <v>24</v>
      </c>
      <c r="B6" s="52"/>
      <c r="C6" s="47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</row>
    <row r="7" spans="1:32" ht="17">
      <c r="A7" s="52" t="s">
        <v>28</v>
      </c>
      <c r="B7" s="52" t="s">
        <v>67</v>
      </c>
      <c r="C7" s="47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</row>
    <row r="8" spans="1:32" s="54" customFormat="1" ht="17">
      <c r="A8" s="52" t="s">
        <v>23</v>
      </c>
      <c r="B8" s="52" t="s">
        <v>3</v>
      </c>
      <c r="C8" s="230" t="s">
        <v>147</v>
      </c>
      <c r="D8" s="379">
        <v>9.5000000000000001E-2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1:32" s="54" customFormat="1" ht="17">
      <c r="A9" s="52" t="s">
        <v>69</v>
      </c>
      <c r="B9" s="52"/>
      <c r="C9" s="47"/>
      <c r="D9" s="191">
        <f>(1+D8)^(1/4)-1</f>
        <v>2.294793456109856E-2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</row>
    <row r="10" spans="1:32" ht="17">
      <c r="A10" s="52" t="s">
        <v>43</v>
      </c>
      <c r="B10" s="52" t="s">
        <v>3</v>
      </c>
      <c r="C10" s="47"/>
      <c r="D10" s="275">
        <v>0.03</v>
      </c>
      <c r="E10" s="59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</row>
    <row r="11" spans="1:32" ht="17">
      <c r="A11" s="52" t="s">
        <v>155</v>
      </c>
      <c r="B11" s="52" t="s">
        <v>3</v>
      </c>
      <c r="C11" s="230" t="s">
        <v>156</v>
      </c>
      <c r="D11" s="380">
        <v>0.1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</row>
    <row r="13" spans="1:32" ht="17">
      <c r="A13" s="190" t="s">
        <v>148</v>
      </c>
    </row>
    <row r="14" spans="1:32" ht="17">
      <c r="A14" s="49" t="s">
        <v>150</v>
      </c>
      <c r="B14" s="52" t="s">
        <v>67</v>
      </c>
      <c r="C14" s="230" t="s">
        <v>151</v>
      </c>
      <c r="D14" s="283">
        <v>65</v>
      </c>
    </row>
    <row r="15" spans="1:32" ht="17">
      <c r="A15" s="49" t="s">
        <v>149</v>
      </c>
      <c r="B15" s="52" t="s">
        <v>67</v>
      </c>
      <c r="C15" s="230" t="s">
        <v>151</v>
      </c>
      <c r="D15" s="283">
        <v>65</v>
      </c>
    </row>
    <row r="17" spans="1:32">
      <c r="A17" s="192" t="s">
        <v>125</v>
      </c>
      <c r="B17" s="52"/>
      <c r="C17" s="47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</row>
    <row r="18" spans="1:32">
      <c r="A18" s="52"/>
      <c r="B18" s="52"/>
      <c r="C18" s="47"/>
      <c r="D18" s="54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</row>
    <row r="19" spans="1:32" ht="27.75" customHeight="1">
      <c r="A19" s="192" t="s">
        <v>126</v>
      </c>
      <c r="B19" s="52"/>
      <c r="C19" s="47"/>
      <c r="D19" s="54"/>
      <c r="E19" s="19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</row>
    <row r="20" spans="1:32" ht="27.75" customHeight="1">
      <c r="A20" s="55"/>
      <c r="B20" s="52"/>
      <c r="C20" s="47"/>
      <c r="D20" s="195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</row>
    <row r="21" spans="1:32">
      <c r="A21" s="192" t="s">
        <v>127</v>
      </c>
      <c r="B21" s="52"/>
      <c r="C21" s="47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</row>
    <row r="22" spans="1:32">
      <c r="A22" s="196"/>
      <c r="B22" s="52"/>
      <c r="C22" s="47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</row>
    <row r="23" spans="1:32">
      <c r="A23" s="192" t="s">
        <v>128</v>
      </c>
      <c r="B23" s="52"/>
      <c r="C23" s="47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</row>
    <row r="24" spans="1:32" ht="48">
      <c r="A24" s="52" t="s">
        <v>4</v>
      </c>
      <c r="B24" s="52" t="s">
        <v>37</v>
      </c>
      <c r="C24" s="230" t="s">
        <v>152</v>
      </c>
      <c r="D24" s="54"/>
      <c r="E24" s="276">
        <v>5.4999999999999997E-3</v>
      </c>
      <c r="F24" s="191">
        <f>E24</f>
        <v>5.4999999999999997E-3</v>
      </c>
      <c r="G24" s="191">
        <f t="shared" ref="G24:AF24" si="2">F24</f>
        <v>5.4999999999999997E-3</v>
      </c>
      <c r="H24" s="191">
        <f t="shared" si="2"/>
        <v>5.4999999999999997E-3</v>
      </c>
      <c r="I24" s="191">
        <f t="shared" si="2"/>
        <v>5.4999999999999997E-3</v>
      </c>
      <c r="J24" s="191">
        <f t="shared" si="2"/>
        <v>5.4999999999999997E-3</v>
      </c>
      <c r="K24" s="191">
        <f t="shared" si="2"/>
        <v>5.4999999999999997E-3</v>
      </c>
      <c r="L24" s="191">
        <f t="shared" si="2"/>
        <v>5.4999999999999997E-3</v>
      </c>
      <c r="M24" s="191">
        <f t="shared" si="2"/>
        <v>5.4999999999999997E-3</v>
      </c>
      <c r="N24" s="191">
        <f t="shared" si="2"/>
        <v>5.4999999999999997E-3</v>
      </c>
      <c r="O24" s="191">
        <f t="shared" si="2"/>
        <v>5.4999999999999997E-3</v>
      </c>
      <c r="P24" s="191">
        <f t="shared" si="2"/>
        <v>5.4999999999999997E-3</v>
      </c>
      <c r="Q24" s="191">
        <f t="shared" si="2"/>
        <v>5.4999999999999997E-3</v>
      </c>
      <c r="R24" s="191">
        <f t="shared" si="2"/>
        <v>5.4999999999999997E-3</v>
      </c>
      <c r="S24" s="191">
        <f t="shared" si="2"/>
        <v>5.4999999999999997E-3</v>
      </c>
      <c r="T24" s="191">
        <f t="shared" si="2"/>
        <v>5.4999999999999997E-3</v>
      </c>
      <c r="U24" s="191">
        <f t="shared" si="2"/>
        <v>5.4999999999999997E-3</v>
      </c>
      <c r="V24" s="191">
        <f t="shared" si="2"/>
        <v>5.4999999999999997E-3</v>
      </c>
      <c r="W24" s="191">
        <f t="shared" si="2"/>
        <v>5.4999999999999997E-3</v>
      </c>
      <c r="X24" s="191">
        <f t="shared" si="2"/>
        <v>5.4999999999999997E-3</v>
      </c>
      <c r="Y24" s="191">
        <f t="shared" si="2"/>
        <v>5.4999999999999997E-3</v>
      </c>
      <c r="Z24" s="191">
        <f t="shared" si="2"/>
        <v>5.4999999999999997E-3</v>
      </c>
      <c r="AA24" s="191">
        <f t="shared" si="2"/>
        <v>5.4999999999999997E-3</v>
      </c>
      <c r="AB24" s="191">
        <f t="shared" si="2"/>
        <v>5.4999999999999997E-3</v>
      </c>
      <c r="AC24" s="191">
        <f t="shared" si="2"/>
        <v>5.4999999999999997E-3</v>
      </c>
      <c r="AD24" s="191">
        <f t="shared" si="2"/>
        <v>5.4999999999999997E-3</v>
      </c>
      <c r="AE24" s="191">
        <f t="shared" si="2"/>
        <v>5.4999999999999997E-3</v>
      </c>
      <c r="AF24" s="191">
        <f t="shared" si="2"/>
        <v>5.4999999999999997E-3</v>
      </c>
    </row>
    <row r="25" spans="1:32" ht="12.25" customHeight="1">
      <c r="A25" s="52" t="s">
        <v>16</v>
      </c>
      <c r="B25" s="52" t="s">
        <v>37</v>
      </c>
      <c r="C25" s="230" t="s">
        <v>152</v>
      </c>
      <c r="D25" s="56"/>
      <c r="E25" s="277">
        <v>0.2</v>
      </c>
      <c r="F25" s="57">
        <f>E25</f>
        <v>0.2</v>
      </c>
      <c r="G25" s="57">
        <f t="shared" ref="G25:AF25" si="3">F25</f>
        <v>0.2</v>
      </c>
      <c r="H25" s="57">
        <f t="shared" si="3"/>
        <v>0.2</v>
      </c>
      <c r="I25" s="57">
        <f t="shared" si="3"/>
        <v>0.2</v>
      </c>
      <c r="J25" s="57">
        <f t="shared" si="3"/>
        <v>0.2</v>
      </c>
      <c r="K25" s="57">
        <f t="shared" si="3"/>
        <v>0.2</v>
      </c>
      <c r="L25" s="57">
        <f t="shared" si="3"/>
        <v>0.2</v>
      </c>
      <c r="M25" s="57">
        <f t="shared" si="3"/>
        <v>0.2</v>
      </c>
      <c r="N25" s="57">
        <f t="shared" si="3"/>
        <v>0.2</v>
      </c>
      <c r="O25" s="57">
        <f t="shared" si="3"/>
        <v>0.2</v>
      </c>
      <c r="P25" s="57">
        <f t="shared" si="3"/>
        <v>0.2</v>
      </c>
      <c r="Q25" s="57">
        <f t="shared" si="3"/>
        <v>0.2</v>
      </c>
      <c r="R25" s="57">
        <f t="shared" si="3"/>
        <v>0.2</v>
      </c>
      <c r="S25" s="57">
        <f t="shared" si="3"/>
        <v>0.2</v>
      </c>
      <c r="T25" s="57">
        <f t="shared" si="3"/>
        <v>0.2</v>
      </c>
      <c r="U25" s="57">
        <f t="shared" si="3"/>
        <v>0.2</v>
      </c>
      <c r="V25" s="57">
        <f t="shared" si="3"/>
        <v>0.2</v>
      </c>
      <c r="W25" s="57">
        <f t="shared" si="3"/>
        <v>0.2</v>
      </c>
      <c r="X25" s="57">
        <f t="shared" si="3"/>
        <v>0.2</v>
      </c>
      <c r="Y25" s="57">
        <f t="shared" si="3"/>
        <v>0.2</v>
      </c>
      <c r="Z25" s="57">
        <f t="shared" si="3"/>
        <v>0.2</v>
      </c>
      <c r="AA25" s="57">
        <f t="shared" si="3"/>
        <v>0.2</v>
      </c>
      <c r="AB25" s="57">
        <f t="shared" si="3"/>
        <v>0.2</v>
      </c>
      <c r="AC25" s="57">
        <f t="shared" si="3"/>
        <v>0.2</v>
      </c>
      <c r="AD25" s="57">
        <f t="shared" si="3"/>
        <v>0.2</v>
      </c>
      <c r="AE25" s="57">
        <f t="shared" si="3"/>
        <v>0.2</v>
      </c>
      <c r="AF25" s="57">
        <f t="shared" si="3"/>
        <v>0.2</v>
      </c>
    </row>
    <row r="26" spans="1:32">
      <c r="A26" s="48"/>
      <c r="B26" s="51"/>
      <c r="C26" s="51"/>
    </row>
    <row r="27" spans="1:32">
      <c r="A27" s="58"/>
      <c r="B27" s="51"/>
      <c r="C27" s="51"/>
    </row>
    <row r="28" spans="1:32">
      <c r="I28" s="50"/>
    </row>
  </sheetData>
  <phoneticPr fontId="0" type="noConversion"/>
  <conditionalFormatting sqref="C1">
    <cfRule type="cellIs" dxfId="8" priority="2" stopIfTrue="1" operator="lessThan">
      <formula>0</formula>
    </cfRule>
  </conditionalFormatting>
  <conditionalFormatting sqref="C2">
    <cfRule type="cellIs" dxfId="7" priority="1" stopIfTrue="1" operator="lessThan">
      <formula>0</formula>
    </cfRule>
  </conditionalFormatting>
  <pageMargins left="0.75" right="0.75" top="1" bottom="1" header="0.5" footer="0.5"/>
  <pageSetup paperSize="9" scale="32" fitToHeight="6" orientation="landscape" r:id="rId1"/>
  <headerFooter alignWithMargins="0">
    <oddHeader>&amp;C&amp;A&amp;RРП-199-1 Прил. 7. Станд. модель оценки эффективности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34998626667073579"/>
    <pageSetUpPr fitToPage="1"/>
  </sheetPr>
  <dimension ref="A1:AK92"/>
  <sheetViews>
    <sheetView showGridLines="0" zoomScale="90" zoomScaleNormal="90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M23" sqref="M23"/>
    </sheetView>
  </sheetViews>
  <sheetFormatPr baseColWidth="10" defaultColWidth="9.1640625" defaultRowHeight="15"/>
  <cols>
    <col min="1" max="1" width="5" style="85" customWidth="1"/>
    <col min="2" max="2" width="38.1640625" style="85" customWidth="1"/>
    <col min="3" max="3" width="11.1640625" style="85" bestFit="1" customWidth="1"/>
    <col min="4" max="4" width="23.5" style="85" customWidth="1"/>
    <col min="5" max="5" width="7.33203125" style="85" bestFit="1" customWidth="1"/>
    <col min="6" max="6" width="20.33203125" style="85" bestFit="1" customWidth="1"/>
    <col min="7" max="7" width="12.33203125" style="85" bestFit="1" customWidth="1"/>
    <col min="8" max="9" width="13.33203125" style="85" bestFit="1" customWidth="1"/>
    <col min="10" max="11" width="14.1640625" style="85" bestFit="1" customWidth="1"/>
    <col min="12" max="13" width="15.83203125" style="85" bestFit="1" customWidth="1"/>
    <col min="14" max="15" width="16.83203125" style="85" bestFit="1" customWidth="1"/>
    <col min="16" max="17" width="17.83203125" style="85" bestFit="1" customWidth="1"/>
    <col min="18" max="20" width="19" style="85" bestFit="1" customWidth="1"/>
    <col min="21" max="22" width="20.1640625" style="85" bestFit="1" customWidth="1"/>
    <col min="23" max="24" width="21.1640625" style="85" bestFit="1" customWidth="1"/>
    <col min="25" max="26" width="22.5" style="85" bestFit="1" customWidth="1"/>
    <col min="27" max="28" width="23.5" style="85" bestFit="1" customWidth="1"/>
    <col min="29" max="30" width="24.5" style="85" bestFit="1" customWidth="1"/>
    <col min="31" max="32" width="25.83203125" style="85" bestFit="1" customWidth="1"/>
    <col min="33" max="34" width="26.83203125" style="85" bestFit="1" customWidth="1"/>
    <col min="35" max="35" width="27.83203125" style="85" bestFit="1" customWidth="1"/>
    <col min="36" max="37" width="15.5" style="85" bestFit="1" customWidth="1"/>
    <col min="38" max="16384" width="9.1640625" style="85"/>
  </cols>
  <sheetData>
    <row r="1" spans="1:37" s="72" customFormat="1" ht="32">
      <c r="B1" s="72" t="s">
        <v>1</v>
      </c>
      <c r="C1" s="73"/>
      <c r="D1" s="289"/>
      <c r="E1" s="289"/>
      <c r="F1" s="289" t="s">
        <v>167</v>
      </c>
      <c r="G1" s="237">
        <f>Осн.положения!E1</f>
        <v>0</v>
      </c>
      <c r="H1" s="237">
        <f>Осн.положения!F1</f>
        <v>1</v>
      </c>
      <c r="I1" s="237">
        <f>Осн.положения!G1</f>
        <v>2</v>
      </c>
      <c r="J1" s="237">
        <f>Осн.положения!H1</f>
        <v>3</v>
      </c>
      <c r="K1" s="237">
        <f>Осн.положения!I1</f>
        <v>4</v>
      </c>
      <c r="L1" s="237">
        <f>Осн.положения!J1</f>
        <v>5</v>
      </c>
      <c r="M1" s="237">
        <f>Осн.положения!K1</f>
        <v>6</v>
      </c>
      <c r="N1" s="237">
        <f>Осн.положения!L1</f>
        <v>7</v>
      </c>
      <c r="O1" s="237">
        <f>Осн.положения!M1</f>
        <v>8</v>
      </c>
      <c r="P1" s="237">
        <f>Осн.положения!N1</f>
        <v>9</v>
      </c>
      <c r="Q1" s="237">
        <f>Осн.положения!O1</f>
        <v>10</v>
      </c>
      <c r="R1" s="237">
        <f>Осн.положения!P1</f>
        <v>11</v>
      </c>
      <c r="S1" s="237">
        <f>Осн.положения!Q1</f>
        <v>12</v>
      </c>
      <c r="T1" s="237">
        <f>Осн.положения!R1</f>
        <v>13</v>
      </c>
      <c r="U1" s="237">
        <f>Осн.положения!S1</f>
        <v>14</v>
      </c>
      <c r="V1" s="237">
        <f>Осн.положения!T1</f>
        <v>15</v>
      </c>
      <c r="W1" s="237">
        <f>Осн.положения!U1</f>
        <v>16</v>
      </c>
      <c r="X1" s="237">
        <f>Осн.положения!V1</f>
        <v>17</v>
      </c>
      <c r="Y1" s="237">
        <f>Осн.положения!W1</f>
        <v>18</v>
      </c>
      <c r="Z1" s="237">
        <f>Осн.положения!X1</f>
        <v>19</v>
      </c>
      <c r="AA1" s="237">
        <f>Осн.положения!Y1</f>
        <v>20</v>
      </c>
      <c r="AB1" s="237">
        <f>Осн.положения!Z1</f>
        <v>21</v>
      </c>
      <c r="AC1" s="237">
        <f>Осн.положения!AA1</f>
        <v>22</v>
      </c>
      <c r="AD1" s="237">
        <f>Осн.положения!AB1</f>
        <v>23</v>
      </c>
      <c r="AE1" s="237">
        <f>Осн.положения!AC1</f>
        <v>24</v>
      </c>
      <c r="AF1" s="237">
        <f>Осн.положения!AD1</f>
        <v>25</v>
      </c>
      <c r="AG1" s="237">
        <f>Осн.положения!AE1</f>
        <v>26</v>
      </c>
      <c r="AH1" s="237">
        <f>Осн.положения!AF1</f>
        <v>27</v>
      </c>
      <c r="AI1" s="238"/>
    </row>
    <row r="2" spans="1:37" s="74" customFormat="1" ht="45" customHeight="1" thickBot="1">
      <c r="A2" s="242"/>
      <c r="B2" s="244" t="s">
        <v>103</v>
      </c>
      <c r="C2" s="232" t="s">
        <v>2</v>
      </c>
      <c r="D2" s="232" t="s">
        <v>178</v>
      </c>
      <c r="E2" s="232" t="s">
        <v>161</v>
      </c>
      <c r="F2" s="232"/>
      <c r="G2" s="231" t="str">
        <f>Осн.положения!E3</f>
        <v>3Q22</v>
      </c>
      <c r="H2" s="231" t="str">
        <f>Осн.положения!F3</f>
        <v>4Q22</v>
      </c>
      <c r="I2" s="231" t="str">
        <f>Осн.положения!G3</f>
        <v>1Q23</v>
      </c>
      <c r="J2" s="231" t="str">
        <f>Осн.положения!H3</f>
        <v>2Q23</v>
      </c>
      <c r="K2" s="231" t="str">
        <f>Осн.положения!I3</f>
        <v>3Q23</v>
      </c>
      <c r="L2" s="231" t="str">
        <f>Осн.положения!J3</f>
        <v>4Q23</v>
      </c>
      <c r="M2" s="231" t="str">
        <f>Осн.положения!K3</f>
        <v>1Q24</v>
      </c>
      <c r="N2" s="231" t="str">
        <f>Осн.положения!L3</f>
        <v>2Q24</v>
      </c>
      <c r="O2" s="231" t="str">
        <f>Осн.положения!M3</f>
        <v>3Q24</v>
      </c>
      <c r="P2" s="231" t="str">
        <f>Осн.положения!N3</f>
        <v>4Q24</v>
      </c>
      <c r="Q2" s="231" t="str">
        <f>Осн.положения!O3</f>
        <v>1Q25</v>
      </c>
      <c r="R2" s="231" t="str">
        <f>Осн.положения!P3</f>
        <v>2Q25</v>
      </c>
      <c r="S2" s="231" t="str">
        <f>Осн.положения!Q3</f>
        <v>3Q25</v>
      </c>
      <c r="T2" s="231" t="str">
        <f>Осн.положения!R3</f>
        <v>4Q25</v>
      </c>
      <c r="U2" s="231" t="str">
        <f>Осн.положения!S3</f>
        <v>1Q26</v>
      </c>
      <c r="V2" s="231" t="str">
        <f>Осн.положения!T3</f>
        <v>2Q26</v>
      </c>
      <c r="W2" s="231" t="str">
        <f>Осн.положения!U3</f>
        <v>3Q26</v>
      </c>
      <c r="X2" s="231" t="str">
        <f>Осн.положения!V3</f>
        <v>4Q26</v>
      </c>
      <c r="Y2" s="231" t="str">
        <f>Осн.положения!W3</f>
        <v>1Q27</v>
      </c>
      <c r="Z2" s="231" t="str">
        <f>Осн.положения!X3</f>
        <v>2Q27</v>
      </c>
      <c r="AA2" s="231" t="str">
        <f>Осн.положения!Y3</f>
        <v>3Q27</v>
      </c>
      <c r="AB2" s="231" t="str">
        <f>Осн.положения!Z3</f>
        <v>4Q27</v>
      </c>
      <c r="AC2" s="231" t="str">
        <f>Осн.положения!AA3</f>
        <v>1Q28</v>
      </c>
      <c r="AD2" s="231" t="str">
        <f>Осн.положения!AB3</f>
        <v>2Q28</v>
      </c>
      <c r="AE2" s="231" t="str">
        <f>Осн.положения!AC3</f>
        <v>3Q28</v>
      </c>
      <c r="AF2" s="231" t="str">
        <f>Осн.положения!AD3</f>
        <v>4Q28</v>
      </c>
      <c r="AG2" s="231" t="str">
        <f>Осн.положения!AE3</f>
        <v>1Q29</v>
      </c>
      <c r="AH2" s="231" t="str">
        <f>Осн.положения!AF3</f>
        <v>2Q29</v>
      </c>
      <c r="AI2" s="231" t="s">
        <v>42</v>
      </c>
    </row>
    <row r="3" spans="1:37" s="74" customFormat="1" ht="19">
      <c r="A3" s="318"/>
      <c r="B3" s="359" t="str">
        <f>'Драфт_DF Office 2.0'!A2</f>
        <v>Почтовый ящик Standart 5 GB</v>
      </c>
      <c r="C3" s="316" t="s">
        <v>71</v>
      </c>
      <c r="D3" s="377">
        <v>0</v>
      </c>
      <c r="E3" s="357">
        <f>(F3-'Драфт_DF Office 2.0'!B2)/F3</f>
        <v>0.34804287999999994</v>
      </c>
      <c r="F3" s="284">
        <f>'Драфт_DF Office 2.0'!C2*(1-D3)</f>
        <v>625</v>
      </c>
      <c r="G3" s="335">
        <f t="shared" ref="G3:AH3" si="0">$F3*G26</f>
        <v>360000</v>
      </c>
      <c r="H3" s="335">
        <f t="shared" si="0"/>
        <v>378000</v>
      </c>
      <c r="I3" s="335">
        <f t="shared" si="0"/>
        <v>396937.5</v>
      </c>
      <c r="J3" s="335">
        <f t="shared" si="0"/>
        <v>416812.5</v>
      </c>
      <c r="K3" s="335">
        <f t="shared" si="0"/>
        <v>437687.50000000006</v>
      </c>
      <c r="L3" s="335">
        <f t="shared" si="0"/>
        <v>459625</v>
      </c>
      <c r="M3" s="335">
        <f t="shared" si="0"/>
        <v>482625</v>
      </c>
      <c r="N3" s="335">
        <f t="shared" si="0"/>
        <v>506812.5</v>
      </c>
      <c r="O3" s="335">
        <f t="shared" si="0"/>
        <v>532187.5</v>
      </c>
      <c r="P3" s="335">
        <f t="shared" si="0"/>
        <v>558812.5</v>
      </c>
      <c r="Q3" s="335">
        <f t="shared" si="0"/>
        <v>586812.5</v>
      </c>
      <c r="R3" s="335">
        <f t="shared" si="0"/>
        <v>616187.5</v>
      </c>
      <c r="S3" s="335">
        <f t="shared" si="0"/>
        <v>646999.99999999988</v>
      </c>
      <c r="T3" s="335">
        <f t="shared" si="0"/>
        <v>679375</v>
      </c>
      <c r="U3" s="335">
        <f t="shared" si="0"/>
        <v>713374.99999999988</v>
      </c>
      <c r="V3" s="335">
        <f t="shared" si="0"/>
        <v>749062.5</v>
      </c>
      <c r="W3" s="335">
        <f t="shared" si="0"/>
        <v>786562.5</v>
      </c>
      <c r="X3" s="335">
        <f t="shared" si="0"/>
        <v>825937.5</v>
      </c>
      <c r="Y3" s="335">
        <f t="shared" si="0"/>
        <v>867250</v>
      </c>
      <c r="Z3" s="335">
        <f t="shared" si="0"/>
        <v>910625</v>
      </c>
      <c r="AA3" s="335">
        <f t="shared" si="0"/>
        <v>956187.49999999988</v>
      </c>
      <c r="AB3" s="335">
        <f t="shared" si="0"/>
        <v>1003999.9999999999</v>
      </c>
      <c r="AC3" s="335">
        <f t="shared" si="0"/>
        <v>1054250</v>
      </c>
      <c r="AD3" s="335">
        <f t="shared" si="0"/>
        <v>1107000</v>
      </c>
      <c r="AE3" s="335">
        <f t="shared" si="0"/>
        <v>1162375</v>
      </c>
      <c r="AF3" s="335">
        <f t="shared" si="0"/>
        <v>1220500</v>
      </c>
      <c r="AG3" s="335">
        <f t="shared" si="0"/>
        <v>1281562.5</v>
      </c>
      <c r="AH3" s="335">
        <f t="shared" si="0"/>
        <v>1345687.5</v>
      </c>
      <c r="AI3" s="337">
        <f t="shared" ref="AI3:AI12" si="1">SUM(G3:AH3)</f>
        <v>21043250</v>
      </c>
      <c r="AJ3" s="324">
        <f>SUM(AE3:AH3)</f>
        <v>5010125</v>
      </c>
      <c r="AK3" s="324">
        <f>SUM(AA3:AD3)</f>
        <v>4121437.5</v>
      </c>
    </row>
    <row r="4" spans="1:37" s="74" customFormat="1" ht="19">
      <c r="A4" s="319"/>
      <c r="B4" s="299" t="str">
        <f>'Драфт_DF Office 2.0'!A3</f>
        <v>Почтовый ящик Standart 10 GB</v>
      </c>
      <c r="C4" s="77" t="s">
        <v>71</v>
      </c>
      <c r="D4" s="378">
        <v>0</v>
      </c>
      <c r="E4" s="357">
        <f>(F4-'Драфт_DF Office 2.0'!B3)/F4</f>
        <v>0.35269212121212118</v>
      </c>
      <c r="F4" s="284">
        <f>'Драфт_DF Office 2.0'!C3*(1-D4)</f>
        <v>660</v>
      </c>
      <c r="G4" s="334">
        <f t="shared" ref="G4:AH4" si="2">$F4*G27</f>
        <v>227700</v>
      </c>
      <c r="H4" s="334">
        <f t="shared" si="2"/>
        <v>239118</v>
      </c>
      <c r="I4" s="334">
        <f t="shared" si="2"/>
        <v>251130</v>
      </c>
      <c r="J4" s="334">
        <f t="shared" si="2"/>
        <v>263736</v>
      </c>
      <c r="K4" s="334">
        <f t="shared" si="2"/>
        <v>276936</v>
      </c>
      <c r="L4" s="334">
        <f t="shared" si="2"/>
        <v>290796</v>
      </c>
      <c r="M4" s="334">
        <f t="shared" si="2"/>
        <v>305382.00000000006</v>
      </c>
      <c r="N4" s="334">
        <f t="shared" si="2"/>
        <v>320694</v>
      </c>
      <c r="O4" s="334">
        <f t="shared" si="2"/>
        <v>336732.00000000006</v>
      </c>
      <c r="P4" s="334">
        <f t="shared" si="2"/>
        <v>353628.00000000006</v>
      </c>
      <c r="Q4" s="334">
        <f t="shared" si="2"/>
        <v>371316</v>
      </c>
      <c r="R4" s="334">
        <f t="shared" si="2"/>
        <v>389928.00000000006</v>
      </c>
      <c r="S4" s="334">
        <f t="shared" si="2"/>
        <v>409464</v>
      </c>
      <c r="T4" s="334">
        <f t="shared" si="2"/>
        <v>429990</v>
      </c>
      <c r="U4" s="334">
        <f t="shared" si="2"/>
        <v>451506</v>
      </c>
      <c r="V4" s="334">
        <f t="shared" si="2"/>
        <v>474144</v>
      </c>
      <c r="W4" s="334">
        <f t="shared" si="2"/>
        <v>497904</v>
      </c>
      <c r="X4" s="334">
        <f t="shared" si="2"/>
        <v>522852.00000000006</v>
      </c>
      <c r="Y4" s="334">
        <f t="shared" si="2"/>
        <v>549054</v>
      </c>
      <c r="Z4" s="334">
        <f t="shared" si="2"/>
        <v>576510</v>
      </c>
      <c r="AA4" s="334">
        <f t="shared" si="2"/>
        <v>605352</v>
      </c>
      <c r="AB4" s="334">
        <f t="shared" si="2"/>
        <v>635646</v>
      </c>
      <c r="AC4" s="334">
        <f t="shared" si="2"/>
        <v>667458</v>
      </c>
      <c r="AD4" s="334">
        <f t="shared" si="2"/>
        <v>700853.99999999988</v>
      </c>
      <c r="AE4" s="334">
        <f t="shared" si="2"/>
        <v>735900</v>
      </c>
      <c r="AF4" s="334">
        <f t="shared" si="2"/>
        <v>772728</v>
      </c>
      <c r="AG4" s="334">
        <f t="shared" si="2"/>
        <v>811403.99999999988</v>
      </c>
      <c r="AH4" s="334">
        <f t="shared" si="2"/>
        <v>851993.99999999988</v>
      </c>
      <c r="AI4" s="337">
        <f t="shared" si="1"/>
        <v>13319856</v>
      </c>
      <c r="AJ4" s="324">
        <f t="shared" ref="AJ4:AJ14" si="3">SUM(AE4:AH4)</f>
        <v>3172026</v>
      </c>
      <c r="AK4" s="324">
        <f t="shared" ref="AK4:AK14" si="4">SUM(AA4:AD4)</f>
        <v>2609310</v>
      </c>
    </row>
    <row r="5" spans="1:37" s="74" customFormat="1" ht="19">
      <c r="A5" s="319"/>
      <c r="B5" s="299" t="str">
        <f>'Драфт_DF Office 2.0'!A4</f>
        <v>Почтовый ящик Standart 25 GB</v>
      </c>
      <c r="C5" s="77" t="s">
        <v>71</v>
      </c>
      <c r="D5" s="378">
        <v>0</v>
      </c>
      <c r="E5" s="357">
        <f>(F5-'Драфт_DF Office 2.0'!B4)/F5</f>
        <v>0.35990368421052626</v>
      </c>
      <c r="F5" s="284">
        <f>'Драфт_DF Office 2.0'!C4*(1-D5)</f>
        <v>760</v>
      </c>
      <c r="G5" s="334">
        <f t="shared" ref="G5:AH5" si="5">$F5*G28</f>
        <v>59280</v>
      </c>
      <c r="H5" s="334">
        <f t="shared" si="5"/>
        <v>62244.000000000007</v>
      </c>
      <c r="I5" s="334">
        <f t="shared" si="5"/>
        <v>65360</v>
      </c>
      <c r="J5" s="334">
        <f t="shared" si="5"/>
        <v>68628</v>
      </c>
      <c r="K5" s="334">
        <f t="shared" si="5"/>
        <v>72124</v>
      </c>
      <c r="L5" s="334">
        <f t="shared" si="5"/>
        <v>75771.999999999985</v>
      </c>
      <c r="M5" s="334">
        <f t="shared" si="5"/>
        <v>79571.999999999985</v>
      </c>
      <c r="N5" s="334">
        <f t="shared" si="5"/>
        <v>83600</v>
      </c>
      <c r="O5" s="334">
        <f t="shared" si="5"/>
        <v>87780</v>
      </c>
      <c r="P5" s="334">
        <f t="shared" si="5"/>
        <v>92188</v>
      </c>
      <c r="Q5" s="334">
        <f t="shared" si="5"/>
        <v>96824</v>
      </c>
      <c r="R5" s="334">
        <f t="shared" si="5"/>
        <v>101687.99999999999</v>
      </c>
      <c r="S5" s="334">
        <f t="shared" si="5"/>
        <v>106780</v>
      </c>
      <c r="T5" s="334">
        <f t="shared" si="5"/>
        <v>112176</v>
      </c>
      <c r="U5" s="334">
        <f t="shared" si="5"/>
        <v>117800</v>
      </c>
      <c r="V5" s="334">
        <f t="shared" si="5"/>
        <v>123727.99999999999</v>
      </c>
      <c r="W5" s="334">
        <f t="shared" si="5"/>
        <v>129960</v>
      </c>
      <c r="X5" s="334">
        <f t="shared" si="5"/>
        <v>136496</v>
      </c>
      <c r="Y5" s="334">
        <f t="shared" si="5"/>
        <v>143336</v>
      </c>
      <c r="Z5" s="334">
        <f t="shared" si="5"/>
        <v>150556</v>
      </c>
      <c r="AA5" s="334">
        <f t="shared" si="5"/>
        <v>158156</v>
      </c>
      <c r="AB5" s="334">
        <f t="shared" si="5"/>
        <v>166136</v>
      </c>
      <c r="AC5" s="334">
        <f t="shared" si="5"/>
        <v>174496</v>
      </c>
      <c r="AD5" s="334">
        <f t="shared" si="5"/>
        <v>183236</v>
      </c>
      <c r="AE5" s="334">
        <f t="shared" si="5"/>
        <v>192432</v>
      </c>
      <c r="AF5" s="334">
        <f t="shared" si="5"/>
        <v>202084.00000000003</v>
      </c>
      <c r="AG5" s="334">
        <f t="shared" si="5"/>
        <v>212192.00000000003</v>
      </c>
      <c r="AH5" s="334">
        <f t="shared" si="5"/>
        <v>222832.00000000003</v>
      </c>
      <c r="AI5" s="337">
        <f t="shared" si="1"/>
        <v>3477456</v>
      </c>
      <c r="AJ5" s="324">
        <f t="shared" si="3"/>
        <v>829540</v>
      </c>
      <c r="AK5" s="324">
        <f t="shared" si="4"/>
        <v>682024</v>
      </c>
    </row>
    <row r="6" spans="1:37" s="74" customFormat="1" ht="19">
      <c r="A6" s="319"/>
      <c r="B6" s="299" t="str">
        <f>'Драфт_DF Office 2.0'!A5</f>
        <v>Почтовый ящик Standart 40 GB</v>
      </c>
      <c r="C6" s="77" t="s">
        <v>71</v>
      </c>
      <c r="D6" s="378">
        <v>0</v>
      </c>
      <c r="E6" s="357">
        <f>(F6-'Драфт_DF Office 2.0'!B5)/F6</f>
        <v>0.36543813953488369</v>
      </c>
      <c r="F6" s="284">
        <f>'Драфт_DF Office 2.0'!C5*(1-D6)</f>
        <v>860</v>
      </c>
      <c r="G6" s="334">
        <f t="shared" ref="G6:AH6" si="6">$F6*G29</f>
        <v>299280</v>
      </c>
      <c r="H6" s="334">
        <f t="shared" si="6"/>
        <v>314244</v>
      </c>
      <c r="I6" s="334">
        <f t="shared" si="6"/>
        <v>329982.00000000006</v>
      </c>
      <c r="J6" s="334">
        <f t="shared" si="6"/>
        <v>346494.00000000006</v>
      </c>
      <c r="K6" s="334">
        <f t="shared" si="6"/>
        <v>363866</v>
      </c>
      <c r="L6" s="334">
        <f t="shared" si="6"/>
        <v>382098</v>
      </c>
      <c r="M6" s="334">
        <f t="shared" si="6"/>
        <v>401276</v>
      </c>
      <c r="N6" s="334">
        <f t="shared" si="6"/>
        <v>421400</v>
      </c>
      <c r="O6" s="334">
        <f t="shared" si="6"/>
        <v>442470</v>
      </c>
      <c r="P6" s="334">
        <f t="shared" si="6"/>
        <v>464658.00000000006</v>
      </c>
      <c r="Q6" s="334">
        <f t="shared" si="6"/>
        <v>487964</v>
      </c>
      <c r="R6" s="334">
        <f t="shared" si="6"/>
        <v>512388.00000000006</v>
      </c>
      <c r="S6" s="334">
        <f t="shared" si="6"/>
        <v>538016</v>
      </c>
      <c r="T6" s="334">
        <f t="shared" si="6"/>
        <v>564934</v>
      </c>
      <c r="U6" s="334">
        <f t="shared" si="6"/>
        <v>593228.00000000012</v>
      </c>
      <c r="V6" s="334">
        <f t="shared" si="6"/>
        <v>622898.00000000012</v>
      </c>
      <c r="W6" s="334">
        <f t="shared" si="6"/>
        <v>654116</v>
      </c>
      <c r="X6" s="334">
        <f t="shared" si="6"/>
        <v>686882</v>
      </c>
      <c r="Y6" s="334">
        <f t="shared" si="6"/>
        <v>721282</v>
      </c>
      <c r="Z6" s="334">
        <f t="shared" si="6"/>
        <v>757402</v>
      </c>
      <c r="AA6" s="334">
        <f t="shared" si="6"/>
        <v>795328.00000000012</v>
      </c>
      <c r="AB6" s="334">
        <f t="shared" si="6"/>
        <v>835146</v>
      </c>
      <c r="AC6" s="334">
        <f t="shared" si="6"/>
        <v>876942</v>
      </c>
      <c r="AD6" s="334">
        <f t="shared" si="6"/>
        <v>920801.99999999988</v>
      </c>
      <c r="AE6" s="334">
        <f t="shared" si="6"/>
        <v>966898</v>
      </c>
      <c r="AF6" s="334">
        <f t="shared" si="6"/>
        <v>1015315.9999999999</v>
      </c>
      <c r="AG6" s="334">
        <f t="shared" si="6"/>
        <v>1066141.9999999998</v>
      </c>
      <c r="AH6" s="334">
        <f t="shared" si="6"/>
        <v>1119461.9999999998</v>
      </c>
      <c r="AI6" s="337">
        <f t="shared" si="1"/>
        <v>17500914</v>
      </c>
      <c r="AJ6" s="324"/>
      <c r="AK6" s="324"/>
    </row>
    <row r="7" spans="1:37" s="74" customFormat="1" ht="19">
      <c r="A7" s="319"/>
      <c r="B7" s="299" t="str">
        <f>'Драфт_DF Office 2.0'!A6</f>
        <v>Почтовый ящик Standart 50 GB</v>
      </c>
      <c r="C7" s="77" t="s">
        <v>71</v>
      </c>
      <c r="D7" s="378">
        <v>0</v>
      </c>
      <c r="E7" s="357">
        <f>(F7-'Драфт_DF Office 2.0'!B6)/F7</f>
        <v>0.36732627027027026</v>
      </c>
      <c r="F7" s="284">
        <f>'Драфт_DF Office 2.0'!C6*(1-D7)</f>
        <v>925</v>
      </c>
      <c r="G7" s="334">
        <f t="shared" ref="G7:AH7" si="7">$F7*G30</f>
        <v>16650</v>
      </c>
      <c r="H7" s="334">
        <f t="shared" si="7"/>
        <v>17482.5</v>
      </c>
      <c r="I7" s="334">
        <f t="shared" si="7"/>
        <v>18407.500000000004</v>
      </c>
      <c r="J7" s="334">
        <f t="shared" si="7"/>
        <v>19332.500000000004</v>
      </c>
      <c r="K7" s="334">
        <f t="shared" si="7"/>
        <v>20350</v>
      </c>
      <c r="L7" s="334">
        <f t="shared" si="7"/>
        <v>21367.5</v>
      </c>
      <c r="M7" s="334">
        <f t="shared" si="7"/>
        <v>22477.5</v>
      </c>
      <c r="N7" s="334">
        <f t="shared" si="7"/>
        <v>23680</v>
      </c>
      <c r="O7" s="334">
        <f t="shared" si="7"/>
        <v>24882.500000000004</v>
      </c>
      <c r="P7" s="334">
        <f t="shared" si="7"/>
        <v>26177.5</v>
      </c>
      <c r="Q7" s="334">
        <f t="shared" si="7"/>
        <v>27565</v>
      </c>
      <c r="R7" s="334">
        <f t="shared" si="7"/>
        <v>28952.5</v>
      </c>
      <c r="S7" s="334">
        <f t="shared" si="7"/>
        <v>30432.5</v>
      </c>
      <c r="T7" s="334">
        <f t="shared" si="7"/>
        <v>32005</v>
      </c>
      <c r="U7" s="334">
        <f t="shared" si="7"/>
        <v>33670</v>
      </c>
      <c r="V7" s="334">
        <f t="shared" si="7"/>
        <v>35427.500000000007</v>
      </c>
      <c r="W7" s="334">
        <f t="shared" si="7"/>
        <v>37277.500000000007</v>
      </c>
      <c r="X7" s="334">
        <f t="shared" si="7"/>
        <v>39220</v>
      </c>
      <c r="Y7" s="334">
        <f t="shared" si="7"/>
        <v>41255</v>
      </c>
      <c r="Z7" s="334">
        <f t="shared" si="7"/>
        <v>43382.5</v>
      </c>
      <c r="AA7" s="334">
        <f t="shared" si="7"/>
        <v>45602.500000000007</v>
      </c>
      <c r="AB7" s="334">
        <f t="shared" si="7"/>
        <v>47915.000000000007</v>
      </c>
      <c r="AC7" s="334">
        <f t="shared" si="7"/>
        <v>50320</v>
      </c>
      <c r="AD7" s="334">
        <f t="shared" si="7"/>
        <v>52910</v>
      </c>
      <c r="AE7" s="334">
        <f t="shared" si="7"/>
        <v>55592.5</v>
      </c>
      <c r="AF7" s="334">
        <f t="shared" si="7"/>
        <v>58460</v>
      </c>
      <c r="AG7" s="334">
        <f t="shared" si="7"/>
        <v>61419.999999999993</v>
      </c>
      <c r="AH7" s="334">
        <f t="shared" si="7"/>
        <v>64565</v>
      </c>
      <c r="AI7" s="337">
        <f t="shared" si="1"/>
        <v>996780</v>
      </c>
      <c r="AJ7" s="324"/>
      <c r="AK7" s="324"/>
    </row>
    <row r="8" spans="1:37" s="74" customFormat="1" ht="19">
      <c r="A8" s="319"/>
      <c r="B8" s="299" t="str">
        <f>'Драфт_DF Office 2.0'!A7</f>
        <v>Почтовый ящик Enterprise 5 GB</v>
      </c>
      <c r="C8" s="77" t="s">
        <v>71</v>
      </c>
      <c r="D8" s="378">
        <v>0</v>
      </c>
      <c r="E8" s="357">
        <f>(F8-'Драфт_DF Office 2.0'!B7)/F8</f>
        <v>0.45442348772462671</v>
      </c>
      <c r="F8" s="284">
        <f>'Драфт_DF Office 2.0'!C7*(1-D8)</f>
        <v>987.75</v>
      </c>
      <c r="G8" s="334">
        <f t="shared" ref="G8:AH8" si="8">$F8*G31</f>
        <v>2963.25</v>
      </c>
      <c r="H8" s="334">
        <f t="shared" si="8"/>
        <v>3062.0250000000001</v>
      </c>
      <c r="I8" s="334">
        <f t="shared" si="8"/>
        <v>3160.8</v>
      </c>
      <c r="J8" s="334">
        <f t="shared" si="8"/>
        <v>3259.5750000000003</v>
      </c>
      <c r="K8" s="334">
        <f t="shared" si="8"/>
        <v>3358.35</v>
      </c>
      <c r="L8" s="334">
        <f t="shared" si="8"/>
        <v>3457.125</v>
      </c>
      <c r="M8" s="334">
        <f t="shared" si="8"/>
        <v>3555.9</v>
      </c>
      <c r="N8" s="334">
        <f t="shared" si="8"/>
        <v>3654.6750000000002</v>
      </c>
      <c r="O8" s="334">
        <f t="shared" si="8"/>
        <v>3753.4500000000003</v>
      </c>
      <c r="P8" s="334">
        <f t="shared" si="8"/>
        <v>3852.2249999999999</v>
      </c>
      <c r="Q8" s="334">
        <f t="shared" si="8"/>
        <v>3951</v>
      </c>
      <c r="R8" s="334">
        <f t="shared" si="8"/>
        <v>4049.7749999999996</v>
      </c>
      <c r="S8" s="334">
        <f t="shared" si="8"/>
        <v>4148.5499999999993</v>
      </c>
      <c r="T8" s="334">
        <f t="shared" si="8"/>
        <v>4247.3249999999998</v>
      </c>
      <c r="U8" s="334">
        <f t="shared" si="8"/>
        <v>4346.0999999999995</v>
      </c>
      <c r="V8" s="334">
        <f t="shared" si="8"/>
        <v>4444.875</v>
      </c>
      <c r="W8" s="334">
        <f t="shared" si="8"/>
        <v>4543.6499999999996</v>
      </c>
      <c r="X8" s="334">
        <f t="shared" si="8"/>
        <v>4642.4249999999993</v>
      </c>
      <c r="Y8" s="334">
        <f t="shared" si="8"/>
        <v>4741.2</v>
      </c>
      <c r="Z8" s="334">
        <f t="shared" si="8"/>
        <v>4839.9749999999995</v>
      </c>
      <c r="AA8" s="334">
        <f t="shared" si="8"/>
        <v>4938.75</v>
      </c>
      <c r="AB8" s="334">
        <f t="shared" si="8"/>
        <v>5037.5249999999996</v>
      </c>
      <c r="AC8" s="334">
        <f t="shared" si="8"/>
        <v>5136.2999999999993</v>
      </c>
      <c r="AD8" s="334">
        <f t="shared" si="8"/>
        <v>5235.0749999999998</v>
      </c>
      <c r="AE8" s="334">
        <f t="shared" si="8"/>
        <v>5333.8499999999995</v>
      </c>
      <c r="AF8" s="334">
        <f t="shared" si="8"/>
        <v>5432.625</v>
      </c>
      <c r="AG8" s="334">
        <f t="shared" si="8"/>
        <v>5531.4</v>
      </c>
      <c r="AH8" s="334">
        <f t="shared" si="8"/>
        <v>5630.1749999999993</v>
      </c>
      <c r="AI8" s="337">
        <f t="shared" si="1"/>
        <v>120307.95</v>
      </c>
      <c r="AJ8" s="324"/>
      <c r="AK8" s="324"/>
    </row>
    <row r="9" spans="1:37" s="74" customFormat="1" ht="19">
      <c r="A9" s="319"/>
      <c r="B9" s="299" t="str">
        <f>'Драфт_DF Office 2.0'!A8</f>
        <v>Почтовый ящик Enterprise 10 GB</v>
      </c>
      <c r="C9" s="77" t="s">
        <v>71</v>
      </c>
      <c r="D9" s="378">
        <v>0</v>
      </c>
      <c r="E9" s="357">
        <f>(F9-'Драфт_DF Office 2.0'!B8)/F9</f>
        <v>0.45286040988222626</v>
      </c>
      <c r="F9" s="284">
        <f>'Драфт_DF Office 2.0'!C8*(1-D9)</f>
        <v>1021.0250000000001</v>
      </c>
      <c r="G9" s="334">
        <f t="shared" ref="G9:AH9" si="9">$F9*G32</f>
        <v>3063.0750000000003</v>
      </c>
      <c r="H9" s="334">
        <f t="shared" si="9"/>
        <v>3165.1775000000002</v>
      </c>
      <c r="I9" s="334">
        <f t="shared" si="9"/>
        <v>3267.2800000000007</v>
      </c>
      <c r="J9" s="334">
        <f t="shared" si="9"/>
        <v>3369.3825000000006</v>
      </c>
      <c r="K9" s="334">
        <f t="shared" si="9"/>
        <v>3471.4850000000001</v>
      </c>
      <c r="L9" s="334">
        <f t="shared" si="9"/>
        <v>3573.5875000000005</v>
      </c>
      <c r="M9" s="334">
        <f t="shared" si="9"/>
        <v>3675.6900000000005</v>
      </c>
      <c r="N9" s="334">
        <f t="shared" si="9"/>
        <v>3777.7925000000005</v>
      </c>
      <c r="O9" s="334">
        <f t="shared" si="9"/>
        <v>3879.8950000000004</v>
      </c>
      <c r="P9" s="334">
        <f t="shared" si="9"/>
        <v>3981.9975000000004</v>
      </c>
      <c r="Q9" s="334">
        <f t="shared" si="9"/>
        <v>4084.1000000000004</v>
      </c>
      <c r="R9" s="334">
        <f t="shared" si="9"/>
        <v>4186.2025000000003</v>
      </c>
      <c r="S9" s="334">
        <f t="shared" si="9"/>
        <v>4288.3049999999994</v>
      </c>
      <c r="T9" s="334">
        <f t="shared" si="9"/>
        <v>4390.4075000000003</v>
      </c>
      <c r="U9" s="334">
        <f t="shared" si="9"/>
        <v>4492.51</v>
      </c>
      <c r="V9" s="334">
        <f t="shared" si="9"/>
        <v>4594.6125000000002</v>
      </c>
      <c r="W9" s="334">
        <f t="shared" si="9"/>
        <v>4696.7150000000001</v>
      </c>
      <c r="X9" s="334">
        <f t="shared" si="9"/>
        <v>4798.8175000000001</v>
      </c>
      <c r="Y9" s="334">
        <f t="shared" si="9"/>
        <v>4900.92</v>
      </c>
      <c r="Z9" s="334">
        <f t="shared" si="9"/>
        <v>5003.0225</v>
      </c>
      <c r="AA9" s="334">
        <f t="shared" si="9"/>
        <v>5105.125</v>
      </c>
      <c r="AB9" s="334">
        <f t="shared" si="9"/>
        <v>5207.2275</v>
      </c>
      <c r="AC9" s="334">
        <f t="shared" si="9"/>
        <v>5309.33</v>
      </c>
      <c r="AD9" s="334">
        <f t="shared" si="9"/>
        <v>5411.4324999999999</v>
      </c>
      <c r="AE9" s="334">
        <f t="shared" si="9"/>
        <v>5513.5349999999999</v>
      </c>
      <c r="AF9" s="334">
        <f t="shared" si="9"/>
        <v>5615.6375000000007</v>
      </c>
      <c r="AG9" s="334">
        <f t="shared" si="9"/>
        <v>5717.74</v>
      </c>
      <c r="AH9" s="334">
        <f t="shared" si="9"/>
        <v>5819.8424999999997</v>
      </c>
      <c r="AI9" s="337">
        <f t="shared" si="1"/>
        <v>124360.84500000002</v>
      </c>
      <c r="AJ9" s="324"/>
      <c r="AK9" s="324"/>
    </row>
    <row r="10" spans="1:37" s="74" customFormat="1" ht="19">
      <c r="A10" s="319"/>
      <c r="B10" s="299" t="str">
        <f>'Драфт_DF Office 2.0'!A9</f>
        <v>Почтовый ящик Enterprise 25 GB</v>
      </c>
      <c r="C10" s="77" t="s">
        <v>71</v>
      </c>
      <c r="D10" s="378">
        <v>0</v>
      </c>
      <c r="E10" s="357">
        <f>(F10-'Драфт_DF Office 2.0'!B9)/F10</f>
        <v>0.44872801891421688</v>
      </c>
      <c r="F10" s="284">
        <f>'Драфт_DF Office 2.0'!C9*(1-D10)</f>
        <v>1120.8499999999999</v>
      </c>
      <c r="G10" s="334">
        <f t="shared" ref="G10:AH10" si="10">$F10*G33</f>
        <v>3362.5499999999997</v>
      </c>
      <c r="H10" s="334">
        <f t="shared" si="10"/>
        <v>3474.6349999999998</v>
      </c>
      <c r="I10" s="334">
        <f t="shared" si="10"/>
        <v>3586.72</v>
      </c>
      <c r="J10" s="334">
        <f t="shared" si="10"/>
        <v>3698.8049999999998</v>
      </c>
      <c r="K10" s="334">
        <f t="shared" si="10"/>
        <v>3810.8899999999994</v>
      </c>
      <c r="L10" s="334">
        <f t="shared" si="10"/>
        <v>3922.9749999999995</v>
      </c>
      <c r="M10" s="334">
        <f t="shared" si="10"/>
        <v>4035.06</v>
      </c>
      <c r="N10" s="334">
        <f t="shared" si="10"/>
        <v>4147.1449999999995</v>
      </c>
      <c r="O10" s="334">
        <f t="shared" si="10"/>
        <v>4259.2299999999996</v>
      </c>
      <c r="P10" s="334">
        <f t="shared" si="10"/>
        <v>4371.3149999999996</v>
      </c>
      <c r="Q10" s="334">
        <f t="shared" si="10"/>
        <v>4483.3999999999996</v>
      </c>
      <c r="R10" s="334">
        <f t="shared" si="10"/>
        <v>4595.4849999999997</v>
      </c>
      <c r="S10" s="334">
        <f t="shared" si="10"/>
        <v>4707.5699999999988</v>
      </c>
      <c r="T10" s="334">
        <f t="shared" si="10"/>
        <v>4819.6549999999997</v>
      </c>
      <c r="U10" s="334">
        <f t="shared" si="10"/>
        <v>4931.7399999999989</v>
      </c>
      <c r="V10" s="334">
        <f t="shared" si="10"/>
        <v>5043.8249999999998</v>
      </c>
      <c r="W10" s="334">
        <f t="shared" si="10"/>
        <v>5155.9099999999989</v>
      </c>
      <c r="X10" s="334">
        <f t="shared" si="10"/>
        <v>5267.994999999999</v>
      </c>
      <c r="Y10" s="334">
        <f t="shared" si="10"/>
        <v>5380.079999999999</v>
      </c>
      <c r="Z10" s="334">
        <f t="shared" si="10"/>
        <v>5492.1649999999991</v>
      </c>
      <c r="AA10" s="334">
        <f t="shared" si="10"/>
        <v>5604.25</v>
      </c>
      <c r="AB10" s="334">
        <f t="shared" si="10"/>
        <v>5716.3349999999991</v>
      </c>
      <c r="AC10" s="334">
        <f t="shared" si="10"/>
        <v>5828.4199999999992</v>
      </c>
      <c r="AD10" s="334">
        <f t="shared" si="10"/>
        <v>5940.5049999999992</v>
      </c>
      <c r="AE10" s="334">
        <f t="shared" si="10"/>
        <v>6052.5899999999992</v>
      </c>
      <c r="AF10" s="334">
        <f t="shared" si="10"/>
        <v>6164.6749999999993</v>
      </c>
      <c r="AG10" s="334">
        <f t="shared" si="10"/>
        <v>6276.7599999999993</v>
      </c>
      <c r="AH10" s="334">
        <f t="shared" si="10"/>
        <v>6388.8449999999984</v>
      </c>
      <c r="AI10" s="337">
        <f t="shared" si="1"/>
        <v>136519.52999999997</v>
      </c>
      <c r="AJ10" s="324"/>
      <c r="AK10" s="324"/>
    </row>
    <row r="11" spans="1:37" s="74" customFormat="1" ht="19">
      <c r="A11" s="319"/>
      <c r="B11" s="299" t="str">
        <f>'Драфт_DF Office 2.0'!A10</f>
        <v>Почтовый ящик Enterprise 40 GB</v>
      </c>
      <c r="C11" s="77" t="s">
        <v>71</v>
      </c>
      <c r="D11" s="378">
        <v>0</v>
      </c>
      <c r="E11" s="357">
        <f>(F11-'Драфт_DF Office 2.0'!B10)/F11</f>
        <v>0.44496459016393447</v>
      </c>
      <c r="F11" s="284">
        <f>'Драфт_DF Office 2.0'!C10*(1-D11)</f>
        <v>1220</v>
      </c>
      <c r="G11" s="334">
        <f t="shared" ref="G11:AH11" si="11">$F11*G34</f>
        <v>3660</v>
      </c>
      <c r="H11" s="334">
        <f t="shared" si="11"/>
        <v>3782</v>
      </c>
      <c r="I11" s="334">
        <f t="shared" si="11"/>
        <v>3904</v>
      </c>
      <c r="J11" s="334">
        <f t="shared" si="11"/>
        <v>4026.0000000000005</v>
      </c>
      <c r="K11" s="334">
        <f t="shared" si="11"/>
        <v>4148</v>
      </c>
      <c r="L11" s="334">
        <f t="shared" si="11"/>
        <v>4270</v>
      </c>
      <c r="M11" s="334">
        <f t="shared" si="11"/>
        <v>4392</v>
      </c>
      <c r="N11" s="334">
        <f t="shared" si="11"/>
        <v>4514</v>
      </c>
      <c r="O11" s="334">
        <f t="shared" si="11"/>
        <v>4636</v>
      </c>
      <c r="P11" s="334">
        <f t="shared" si="11"/>
        <v>4758</v>
      </c>
      <c r="Q11" s="334">
        <f t="shared" si="11"/>
        <v>4880</v>
      </c>
      <c r="R11" s="334">
        <f t="shared" si="11"/>
        <v>5002</v>
      </c>
      <c r="S11" s="334">
        <f t="shared" si="11"/>
        <v>5123.9999999999991</v>
      </c>
      <c r="T11" s="334">
        <f t="shared" si="11"/>
        <v>5246</v>
      </c>
      <c r="U11" s="334">
        <f t="shared" si="11"/>
        <v>5367.9999999999991</v>
      </c>
      <c r="V11" s="334">
        <f t="shared" si="11"/>
        <v>5490</v>
      </c>
      <c r="W11" s="334">
        <f t="shared" si="11"/>
        <v>5612</v>
      </c>
      <c r="X11" s="334">
        <f t="shared" si="11"/>
        <v>5733.9999999999991</v>
      </c>
      <c r="Y11" s="334">
        <f t="shared" si="11"/>
        <v>5856</v>
      </c>
      <c r="Z11" s="334">
        <f t="shared" si="11"/>
        <v>5977.9999999999991</v>
      </c>
      <c r="AA11" s="334">
        <f t="shared" si="11"/>
        <v>6100</v>
      </c>
      <c r="AB11" s="334">
        <f t="shared" si="11"/>
        <v>6222</v>
      </c>
      <c r="AC11" s="334">
        <f t="shared" si="11"/>
        <v>6343.9999999999991</v>
      </c>
      <c r="AD11" s="334">
        <f t="shared" si="11"/>
        <v>6466</v>
      </c>
      <c r="AE11" s="334">
        <f t="shared" si="11"/>
        <v>6587.9999999999991</v>
      </c>
      <c r="AF11" s="334">
        <f t="shared" si="11"/>
        <v>6710</v>
      </c>
      <c r="AG11" s="334">
        <f t="shared" si="11"/>
        <v>6832</v>
      </c>
      <c r="AH11" s="334">
        <f t="shared" si="11"/>
        <v>6953.9999999999991</v>
      </c>
      <c r="AI11" s="337">
        <f t="shared" si="1"/>
        <v>148596</v>
      </c>
      <c r="AJ11" s="324"/>
      <c r="AK11" s="324"/>
    </row>
    <row r="12" spans="1:37" s="74" customFormat="1" ht="19">
      <c r="A12" s="319"/>
      <c r="B12" s="299" t="str">
        <f>'Драфт_DF Office 2.0'!A11</f>
        <v>Почтовый ящик Enterprise 50 GB</v>
      </c>
      <c r="C12" s="77" t="s">
        <v>71</v>
      </c>
      <c r="D12" s="378">
        <v>0</v>
      </c>
      <c r="E12" s="357">
        <f>(F12-'Драфт_DF Office 2.0'!B11)/F12</f>
        <v>0.44230101167315178</v>
      </c>
      <c r="F12" s="284">
        <f>'Драфт_DF Office 2.0'!C11*(1-D12)</f>
        <v>1285</v>
      </c>
      <c r="G12" s="334">
        <f t="shared" ref="G12:AH12" si="12">$F12*G35</f>
        <v>3855</v>
      </c>
      <c r="H12" s="334">
        <f t="shared" si="12"/>
        <v>3983.5</v>
      </c>
      <c r="I12" s="334">
        <f t="shared" si="12"/>
        <v>4112</v>
      </c>
      <c r="J12" s="334">
        <f t="shared" si="12"/>
        <v>4240.5</v>
      </c>
      <c r="K12" s="334">
        <f t="shared" si="12"/>
        <v>4369</v>
      </c>
      <c r="L12" s="334">
        <f t="shared" si="12"/>
        <v>4497.5</v>
      </c>
      <c r="M12" s="334">
        <f t="shared" si="12"/>
        <v>4626</v>
      </c>
      <c r="N12" s="334">
        <f t="shared" si="12"/>
        <v>4754.5</v>
      </c>
      <c r="O12" s="334">
        <f t="shared" si="12"/>
        <v>4883</v>
      </c>
      <c r="P12" s="334">
        <f t="shared" si="12"/>
        <v>5011.5</v>
      </c>
      <c r="Q12" s="334">
        <f t="shared" si="12"/>
        <v>5140</v>
      </c>
      <c r="R12" s="334">
        <f t="shared" si="12"/>
        <v>5268.4999999999991</v>
      </c>
      <c r="S12" s="334">
        <f t="shared" si="12"/>
        <v>5396.9999999999991</v>
      </c>
      <c r="T12" s="334">
        <f t="shared" si="12"/>
        <v>5525.5</v>
      </c>
      <c r="U12" s="334">
        <f t="shared" si="12"/>
        <v>5653.9999999999991</v>
      </c>
      <c r="V12" s="334">
        <f t="shared" si="12"/>
        <v>5782.5</v>
      </c>
      <c r="W12" s="334">
        <f t="shared" si="12"/>
        <v>5910.9999999999991</v>
      </c>
      <c r="X12" s="334">
        <f t="shared" si="12"/>
        <v>6039.4999999999991</v>
      </c>
      <c r="Y12" s="334">
        <f t="shared" si="12"/>
        <v>6168</v>
      </c>
      <c r="Z12" s="334">
        <f t="shared" si="12"/>
        <v>6296.4999999999991</v>
      </c>
      <c r="AA12" s="334">
        <f t="shared" si="12"/>
        <v>6425</v>
      </c>
      <c r="AB12" s="334">
        <f t="shared" si="12"/>
        <v>6553.4999999999991</v>
      </c>
      <c r="AC12" s="334">
        <f t="shared" si="12"/>
        <v>6681.9999999999991</v>
      </c>
      <c r="AD12" s="334">
        <f t="shared" si="12"/>
        <v>6810.5</v>
      </c>
      <c r="AE12" s="334">
        <f t="shared" si="12"/>
        <v>6938.9999999999991</v>
      </c>
      <c r="AF12" s="334">
        <f t="shared" si="12"/>
        <v>7067.5</v>
      </c>
      <c r="AG12" s="334">
        <f t="shared" si="12"/>
        <v>7195.9999999999991</v>
      </c>
      <c r="AH12" s="334">
        <f t="shared" si="12"/>
        <v>7324.4999999999991</v>
      </c>
      <c r="AI12" s="337">
        <f t="shared" si="1"/>
        <v>156513</v>
      </c>
      <c r="AJ12" s="324"/>
      <c r="AK12" s="324"/>
    </row>
    <row r="13" spans="1:37" s="75" customFormat="1" ht="20" thickBot="1">
      <c r="A13" s="320"/>
      <c r="B13" s="362"/>
      <c r="C13" s="317"/>
      <c r="D13" s="322"/>
      <c r="E13" s="363"/>
      <c r="F13" s="364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  <c r="AA13" s="336"/>
      <c r="AB13" s="336"/>
      <c r="AC13" s="336"/>
      <c r="AD13" s="336"/>
      <c r="AE13" s="336"/>
      <c r="AF13" s="336"/>
      <c r="AG13" s="336"/>
      <c r="AH13" s="336"/>
      <c r="AI13" s="337"/>
      <c r="AJ13" s="324"/>
      <c r="AK13" s="324"/>
    </row>
    <row r="14" spans="1:37" s="75" customFormat="1" ht="19">
      <c r="B14" s="132" t="s">
        <v>45</v>
      </c>
      <c r="C14" s="77" t="s">
        <v>71</v>
      </c>
      <c r="D14" s="77"/>
      <c r="E14" s="77"/>
      <c r="F14" s="77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100">
        <f t="shared" ref="AI14" si="13">SUM(G14:AH14)</f>
        <v>0</v>
      </c>
      <c r="AJ14" s="324">
        <f t="shared" si="3"/>
        <v>0</v>
      </c>
      <c r="AK14" s="324">
        <f t="shared" si="4"/>
        <v>0</v>
      </c>
    </row>
    <row r="15" spans="1:37" s="270" customFormat="1" ht="19">
      <c r="A15" s="257"/>
      <c r="B15" s="258" t="s">
        <v>112</v>
      </c>
      <c r="C15" s="261" t="s">
        <v>71</v>
      </c>
      <c r="D15" s="261"/>
      <c r="E15" s="261"/>
      <c r="F15" s="261"/>
      <c r="G15" s="323">
        <f t="shared" ref="G15:AI15" si="14">SUM(G3:G12)</f>
        <v>979813.875</v>
      </c>
      <c r="H15" s="323">
        <f t="shared" si="14"/>
        <v>1028555.8375</v>
      </c>
      <c r="I15" s="323">
        <f t="shared" si="14"/>
        <v>1079847.8</v>
      </c>
      <c r="J15" s="323">
        <f t="shared" si="14"/>
        <v>1133597.2625</v>
      </c>
      <c r="K15" s="323">
        <f t="shared" si="14"/>
        <v>1190121.2250000001</v>
      </c>
      <c r="L15" s="323">
        <f t="shared" si="14"/>
        <v>1249379.6875</v>
      </c>
      <c r="M15" s="323">
        <f t="shared" si="14"/>
        <v>1311617.1499999999</v>
      </c>
      <c r="N15" s="323">
        <f t="shared" si="14"/>
        <v>1377034.6125</v>
      </c>
      <c r="O15" s="323">
        <f t="shared" si="14"/>
        <v>1445463.575</v>
      </c>
      <c r="P15" s="323">
        <f t="shared" si="14"/>
        <v>1517439.0375000001</v>
      </c>
      <c r="Q15" s="323">
        <f t="shared" si="14"/>
        <v>1593020</v>
      </c>
      <c r="R15" s="323">
        <f t="shared" si="14"/>
        <v>1672245.9624999999</v>
      </c>
      <c r="S15" s="323">
        <f t="shared" si="14"/>
        <v>1755357.925</v>
      </c>
      <c r="T15" s="323">
        <f t="shared" si="14"/>
        <v>1842708.8875</v>
      </c>
      <c r="U15" s="323">
        <f t="shared" si="14"/>
        <v>1934371.35</v>
      </c>
      <c r="V15" s="323">
        <f t="shared" si="14"/>
        <v>2030615.8125</v>
      </c>
      <c r="W15" s="323">
        <f t="shared" si="14"/>
        <v>2131739.2749999999</v>
      </c>
      <c r="X15" s="323">
        <f t="shared" si="14"/>
        <v>2237870.2374999998</v>
      </c>
      <c r="Y15" s="323">
        <f t="shared" si="14"/>
        <v>2349223.2000000002</v>
      </c>
      <c r="Z15" s="323">
        <f t="shared" si="14"/>
        <v>2466085.1625000001</v>
      </c>
      <c r="AA15" s="323">
        <f t="shared" si="14"/>
        <v>2588799.125</v>
      </c>
      <c r="AB15" s="323">
        <f t="shared" si="14"/>
        <v>2717579.5874999999</v>
      </c>
      <c r="AC15" s="323">
        <f t="shared" si="14"/>
        <v>2852766.05</v>
      </c>
      <c r="AD15" s="323">
        <f t="shared" si="14"/>
        <v>2994665.5125000002</v>
      </c>
      <c r="AE15" s="323">
        <f t="shared" si="14"/>
        <v>3143624.4750000001</v>
      </c>
      <c r="AF15" s="323">
        <f t="shared" si="14"/>
        <v>3300078.4375</v>
      </c>
      <c r="AG15" s="323">
        <f t="shared" si="14"/>
        <v>3464274.4</v>
      </c>
      <c r="AH15" s="323">
        <f t="shared" si="14"/>
        <v>3636657.8624999998</v>
      </c>
      <c r="AI15" s="323">
        <f t="shared" si="14"/>
        <v>57024553.325000003</v>
      </c>
    </row>
    <row r="16" spans="1:37" s="281" customFormat="1">
      <c r="B16" s="282"/>
      <c r="C16" s="282"/>
      <c r="D16" s="282"/>
      <c r="E16" s="282"/>
      <c r="F16" s="282"/>
      <c r="G16" s="282">
        <v>0.2</v>
      </c>
      <c r="H16" s="282">
        <v>0.35</v>
      </c>
      <c r="I16" s="282">
        <v>0.4</v>
      </c>
      <c r="J16" s="282">
        <v>0.45</v>
      </c>
      <c r="K16" s="282">
        <v>0.5</v>
      </c>
      <c r="L16" s="282">
        <v>0.55000000000000004</v>
      </c>
      <c r="M16" s="282">
        <v>0.6</v>
      </c>
      <c r="N16" s="282">
        <v>0.65</v>
      </c>
      <c r="O16" s="282">
        <v>0.7</v>
      </c>
      <c r="P16" s="282">
        <v>0.75</v>
      </c>
      <c r="Q16" s="282">
        <v>0.8</v>
      </c>
      <c r="R16" s="282">
        <v>0.85</v>
      </c>
      <c r="S16" s="282">
        <v>0.9</v>
      </c>
      <c r="T16" s="282">
        <v>0.05</v>
      </c>
      <c r="U16" s="282">
        <v>0.1</v>
      </c>
      <c r="V16" s="282">
        <v>0.15</v>
      </c>
      <c r="W16" s="282">
        <v>0.2</v>
      </c>
      <c r="X16" s="282">
        <v>0.25</v>
      </c>
      <c r="Y16" s="282">
        <v>0.3</v>
      </c>
      <c r="Z16" s="282">
        <v>0.35</v>
      </c>
      <c r="AA16" s="282">
        <v>0.4</v>
      </c>
      <c r="AB16" s="282">
        <v>0.45</v>
      </c>
      <c r="AC16" s="282">
        <v>0.5</v>
      </c>
      <c r="AD16" s="282">
        <v>0.55000000000000004</v>
      </c>
      <c r="AE16" s="282">
        <v>0.6</v>
      </c>
      <c r="AF16" s="282">
        <v>0.65</v>
      </c>
      <c r="AG16" s="282">
        <v>0.7</v>
      </c>
      <c r="AH16" s="282">
        <v>0.75</v>
      </c>
      <c r="AI16" s="282"/>
    </row>
    <row r="17" spans="2:35" s="75" customFormat="1">
      <c r="B17" s="80"/>
      <c r="C17" s="80"/>
      <c r="D17" s="80"/>
      <c r="E17" s="80"/>
      <c r="F17" s="80"/>
      <c r="G17" s="80"/>
      <c r="H17" s="321">
        <f>SUM(G15:H15)</f>
        <v>2008369.7124999999</v>
      </c>
      <c r="I17" s="80"/>
      <c r="K17" s="80"/>
      <c r="L17" s="321">
        <f>SUM(I15:L15)</f>
        <v>4652945.9749999996</v>
      </c>
      <c r="M17" s="80"/>
      <c r="O17" s="80"/>
      <c r="P17" s="321">
        <f>SUM(M15:P15)</f>
        <v>5651554.375</v>
      </c>
      <c r="Q17" s="80"/>
      <c r="S17" s="80"/>
      <c r="T17" s="321">
        <f>SUM(Q15:T15)</f>
        <v>6863332.7750000004</v>
      </c>
      <c r="U17" s="80"/>
      <c r="W17" s="80"/>
      <c r="X17" s="321">
        <f>SUM(U15:X15)</f>
        <v>8334596.6749999998</v>
      </c>
      <c r="Y17" s="80"/>
      <c r="AA17" s="80"/>
      <c r="AB17" s="321">
        <f>SUM(Y15:AB15)</f>
        <v>10121687.075000001</v>
      </c>
      <c r="AC17" s="80"/>
      <c r="AE17" s="80"/>
      <c r="AF17" s="321">
        <f>SUM(AC15:AF15)</f>
        <v>12291134.475</v>
      </c>
      <c r="AG17" s="80"/>
      <c r="AI17" s="80"/>
    </row>
    <row r="18" spans="2:35" s="75" customFormat="1"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</row>
    <row r="19" spans="2:35" s="75" customFormat="1"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</row>
    <row r="20" spans="2:35" s="75" customFormat="1"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</row>
    <row r="21" spans="2:35" s="75" customFormat="1"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</row>
    <row r="22" spans="2:35" s="75" customFormat="1">
      <c r="B22" s="80"/>
      <c r="C22" s="80"/>
      <c r="D22" s="80"/>
      <c r="E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</row>
    <row r="23" spans="2:35" s="81" customFormat="1">
      <c r="B23" s="82"/>
      <c r="C23" s="82"/>
      <c r="D23" s="82"/>
      <c r="E23" s="82"/>
      <c r="F23" s="82"/>
      <c r="G23" s="83">
        <f>G15-OPEX!F24</f>
        <v>-286546.71249999991</v>
      </c>
      <c r="H23" s="83">
        <f>H15-OPEX!G24</f>
        <v>-242678.94624999992</v>
      </c>
      <c r="I23" s="83">
        <f>I15-OPEX!H24</f>
        <v>-196516.17999999993</v>
      </c>
      <c r="J23" s="83">
        <f>J15-OPEX!I24</f>
        <v>-148141.66375000007</v>
      </c>
      <c r="K23" s="83">
        <f>K15-OPEX!J24</f>
        <v>-97270.097499999916</v>
      </c>
      <c r="L23" s="83">
        <f>L15-OPEX!K24</f>
        <v>-43937.481249999953</v>
      </c>
      <c r="M23" s="83">
        <f>M15-OPEX!L24</f>
        <v>12076.23499999987</v>
      </c>
      <c r="N23" s="83">
        <f>N15-OPEX!M24</f>
        <v>70951.951250000158</v>
      </c>
      <c r="O23" s="83">
        <f>O15-OPEX!N24</f>
        <v>132538.01750000007</v>
      </c>
      <c r="P23" s="83">
        <f>P15-OPEX!O24</f>
        <v>197315.93375000008</v>
      </c>
      <c r="Q23" s="83">
        <f>Q15-OPEX!P24</f>
        <v>265338.80000000005</v>
      </c>
      <c r="R23" s="83">
        <f>R15-OPEX!Q24</f>
        <v>336642.16625000001</v>
      </c>
      <c r="S23" s="83">
        <f>S15-OPEX!R24</f>
        <v>411442.93250000011</v>
      </c>
      <c r="T23" s="83">
        <f>T15-OPEX!S24</f>
        <v>-13587.201249999925</v>
      </c>
      <c r="U23" s="83">
        <f>U15-OPEX!T24</f>
        <v>68909.01500000013</v>
      </c>
      <c r="V23" s="83">
        <f>V15-OPEX!U24</f>
        <v>155529.03125</v>
      </c>
      <c r="W23" s="83">
        <f>W15-OPEX!V24</f>
        <v>459714.07499999995</v>
      </c>
      <c r="X23" s="83">
        <f>X15-OPEX!W24</f>
        <v>342058.01374999993</v>
      </c>
      <c r="Y23" s="83">
        <f>Y15-OPEX!X24</f>
        <v>442275.68000000017</v>
      </c>
      <c r="Z23" s="83">
        <f>Z15-OPEX!Y24</f>
        <v>547451.44625000004</v>
      </c>
      <c r="AA23" s="83">
        <f>AA15-OPEX!Z24</f>
        <v>657894.01249999995</v>
      </c>
      <c r="AB23" s="83">
        <f>AB15-OPEX!AA24</f>
        <v>773796.42874999996</v>
      </c>
      <c r="AC23" s="83">
        <f>AC15-OPEX!AB24</f>
        <v>895464.24499999988</v>
      </c>
      <c r="AD23" s="83">
        <f>AD15-OPEX!AC24</f>
        <v>-991410.23875000002</v>
      </c>
      <c r="AE23" s="83">
        <f>AE15-OPEX!AD24</f>
        <v>-857347.17249999987</v>
      </c>
      <c r="AF23" s="83">
        <f>AF15-OPEX!AE24</f>
        <v>-716538.60625000019</v>
      </c>
      <c r="AG23" s="83">
        <f>AG15-OPEX!AF24</f>
        <v>-568762.24000000022</v>
      </c>
      <c r="AH23" s="83">
        <f>AH15-OPEX!AG24</f>
        <v>-413617.12375000026</v>
      </c>
      <c r="AI23" s="84"/>
    </row>
    <row r="24" spans="2:35" ht="19">
      <c r="B24" s="222" t="s">
        <v>139</v>
      </c>
      <c r="C24" s="222"/>
      <c r="D24" s="222"/>
      <c r="E24" s="289"/>
      <c r="F24" s="289"/>
      <c r="G24" s="86">
        <f>SUM(G26:G35)/3</f>
        <v>460</v>
      </c>
      <c r="H24" s="86">
        <f t="shared" ref="H24:AH24" si="15">SUM(H26:H35)/3</f>
        <v>482.93333333333322</v>
      </c>
      <c r="I24" s="86">
        <f t="shared" si="15"/>
        <v>507.06666666666678</v>
      </c>
      <c r="J24" s="86">
        <f t="shared" si="15"/>
        <v>532.36666666666667</v>
      </c>
      <c r="K24" s="86">
        <f t="shared" si="15"/>
        <v>558.96666666666681</v>
      </c>
      <c r="L24" s="86">
        <f t="shared" si="15"/>
        <v>586.86666666666667</v>
      </c>
      <c r="M24" s="86">
        <f t="shared" si="15"/>
        <v>616.16666666666663</v>
      </c>
      <c r="N24" s="86">
        <f t="shared" si="15"/>
        <v>646.9666666666667</v>
      </c>
      <c r="O24" s="86">
        <f t="shared" si="15"/>
        <v>679.19999999999993</v>
      </c>
      <c r="P24" s="86">
        <f t="shared" si="15"/>
        <v>713.10000000000025</v>
      </c>
      <c r="Q24" s="86">
        <f t="shared" si="15"/>
        <v>748.70000000000016</v>
      </c>
      <c r="R24" s="86">
        <f t="shared" si="15"/>
        <v>786.0333333333333</v>
      </c>
      <c r="S24" s="86">
        <f t="shared" si="15"/>
        <v>825.1999999999997</v>
      </c>
      <c r="T24" s="86">
        <f t="shared" si="15"/>
        <v>866.3666666666669</v>
      </c>
      <c r="U24" s="86">
        <f t="shared" si="15"/>
        <v>909.56666666666695</v>
      </c>
      <c r="V24" s="86">
        <f t="shared" si="15"/>
        <v>954.93333333333351</v>
      </c>
      <c r="W24" s="86">
        <f t="shared" si="15"/>
        <v>1002.5999999999999</v>
      </c>
      <c r="X24" s="86">
        <f t="shared" si="15"/>
        <v>1052.633333333333</v>
      </c>
      <c r="Y24" s="86">
        <f t="shared" si="15"/>
        <v>1105.1333333333337</v>
      </c>
      <c r="Z24" s="86">
        <f t="shared" si="15"/>
        <v>1160.2333333333336</v>
      </c>
      <c r="AA24" s="86">
        <f t="shared" si="15"/>
        <v>1218.1000000000001</v>
      </c>
      <c r="AB24" s="86">
        <f t="shared" si="15"/>
        <v>1278.8333333333333</v>
      </c>
      <c r="AC24" s="86">
        <f t="shared" si="15"/>
        <v>1342.5999999999997</v>
      </c>
      <c r="AD24" s="86">
        <f t="shared" si="15"/>
        <v>1409.5333333333335</v>
      </c>
      <c r="AE24" s="86">
        <f t="shared" si="15"/>
        <v>1479.7999999999995</v>
      </c>
      <c r="AF24" s="86">
        <f t="shared" si="15"/>
        <v>1553.6000000000001</v>
      </c>
      <c r="AG24" s="86">
        <f t="shared" si="15"/>
        <v>1631.0666666666668</v>
      </c>
      <c r="AH24" s="86">
        <f t="shared" si="15"/>
        <v>1712.3999999999996</v>
      </c>
      <c r="AI24" s="87"/>
    </row>
    <row r="25" spans="2:35" ht="33" thickBot="1">
      <c r="B25" s="287"/>
      <c r="C25" s="287"/>
      <c r="D25" s="355" t="s">
        <v>174</v>
      </c>
      <c r="E25" s="287"/>
      <c r="F25" s="341" t="s">
        <v>192</v>
      </c>
      <c r="G25" s="297" t="str">
        <f t="shared" ref="G25:AI25" si="16">G2</f>
        <v>3Q22</v>
      </c>
      <c r="H25" s="297" t="str">
        <f t="shared" si="16"/>
        <v>4Q22</v>
      </c>
      <c r="I25" s="297" t="str">
        <f t="shared" si="16"/>
        <v>1Q23</v>
      </c>
      <c r="J25" s="297" t="str">
        <f t="shared" si="16"/>
        <v>2Q23</v>
      </c>
      <c r="K25" s="297" t="str">
        <f t="shared" si="16"/>
        <v>3Q23</v>
      </c>
      <c r="L25" s="297" t="str">
        <f t="shared" si="16"/>
        <v>4Q23</v>
      </c>
      <c r="M25" s="297" t="str">
        <f t="shared" si="16"/>
        <v>1Q24</v>
      </c>
      <c r="N25" s="297" t="str">
        <f t="shared" si="16"/>
        <v>2Q24</v>
      </c>
      <c r="O25" s="297" t="str">
        <f t="shared" si="16"/>
        <v>3Q24</v>
      </c>
      <c r="P25" s="297" t="str">
        <f t="shared" si="16"/>
        <v>4Q24</v>
      </c>
      <c r="Q25" s="297" t="str">
        <f t="shared" si="16"/>
        <v>1Q25</v>
      </c>
      <c r="R25" s="297" t="str">
        <f t="shared" si="16"/>
        <v>2Q25</v>
      </c>
      <c r="S25" s="297" t="str">
        <f t="shared" si="16"/>
        <v>3Q25</v>
      </c>
      <c r="T25" s="297" t="str">
        <f t="shared" si="16"/>
        <v>4Q25</v>
      </c>
      <c r="U25" s="297" t="str">
        <f t="shared" si="16"/>
        <v>1Q26</v>
      </c>
      <c r="V25" s="297" t="str">
        <f t="shared" si="16"/>
        <v>2Q26</v>
      </c>
      <c r="W25" s="297" t="str">
        <f t="shared" si="16"/>
        <v>3Q26</v>
      </c>
      <c r="X25" s="297" t="str">
        <f t="shared" si="16"/>
        <v>4Q26</v>
      </c>
      <c r="Y25" s="297" t="str">
        <f t="shared" si="16"/>
        <v>1Q27</v>
      </c>
      <c r="Z25" s="297" t="str">
        <f t="shared" si="16"/>
        <v>2Q27</v>
      </c>
      <c r="AA25" s="297" t="str">
        <f t="shared" si="16"/>
        <v>3Q27</v>
      </c>
      <c r="AB25" s="297" t="str">
        <f t="shared" si="16"/>
        <v>4Q27</v>
      </c>
      <c r="AC25" s="297" t="str">
        <f t="shared" si="16"/>
        <v>1Q28</v>
      </c>
      <c r="AD25" s="297" t="str">
        <f t="shared" si="16"/>
        <v>2Q28</v>
      </c>
      <c r="AE25" s="297" t="str">
        <f t="shared" si="16"/>
        <v>3Q28</v>
      </c>
      <c r="AF25" s="297" t="str">
        <f t="shared" si="16"/>
        <v>4Q28</v>
      </c>
      <c r="AG25" s="297" t="str">
        <f t="shared" si="16"/>
        <v>1Q29</v>
      </c>
      <c r="AH25" s="297" t="str">
        <f t="shared" si="16"/>
        <v>2Q29</v>
      </c>
      <c r="AI25" s="197" t="str">
        <f t="shared" si="16"/>
        <v>Итого по проекту</v>
      </c>
    </row>
    <row r="26" spans="2:35" ht="16">
      <c r="B26" s="349" t="str">
        <f>'Драфт_DF Office 2.0'!A2</f>
        <v>Почтовый ящик Standart 5 GB</v>
      </c>
      <c r="C26" s="343" t="s">
        <v>164</v>
      </c>
      <c r="D26" s="346">
        <v>0.05</v>
      </c>
      <c r="E26" s="309"/>
      <c r="F26" s="339">
        <v>192</v>
      </c>
      <c r="G26" s="370">
        <f>F26*3</f>
        <v>576</v>
      </c>
      <c r="H26" s="300">
        <f t="shared" ref="H26:W35" si="17">ROUNDUP((G26+G26*$D26),1)</f>
        <v>604.79999999999995</v>
      </c>
      <c r="I26" s="300">
        <f t="shared" si="17"/>
        <v>635.1</v>
      </c>
      <c r="J26" s="300">
        <f t="shared" si="17"/>
        <v>666.9</v>
      </c>
      <c r="K26" s="300">
        <f t="shared" si="17"/>
        <v>700.30000000000007</v>
      </c>
      <c r="L26" s="300">
        <f t="shared" si="17"/>
        <v>735.4</v>
      </c>
      <c r="M26" s="300">
        <f t="shared" si="17"/>
        <v>772.2</v>
      </c>
      <c r="N26" s="300">
        <f t="shared" si="17"/>
        <v>810.9</v>
      </c>
      <c r="O26" s="300">
        <f t="shared" si="17"/>
        <v>851.5</v>
      </c>
      <c r="P26" s="300">
        <f t="shared" si="17"/>
        <v>894.1</v>
      </c>
      <c r="Q26" s="300">
        <f t="shared" si="17"/>
        <v>938.9</v>
      </c>
      <c r="R26" s="300">
        <f t="shared" si="17"/>
        <v>985.9</v>
      </c>
      <c r="S26" s="300">
        <f t="shared" si="17"/>
        <v>1035.1999999999998</v>
      </c>
      <c r="T26" s="300">
        <f t="shared" si="17"/>
        <v>1087</v>
      </c>
      <c r="U26" s="300">
        <f t="shared" si="17"/>
        <v>1141.3999999999999</v>
      </c>
      <c r="V26" s="300">
        <f t="shared" si="17"/>
        <v>1198.5</v>
      </c>
      <c r="W26" s="300">
        <f t="shared" si="17"/>
        <v>1258.5</v>
      </c>
      <c r="X26" s="300">
        <f t="shared" ref="I26:AH35" si="18">ROUNDUP((W26+W26*$D26),1)</f>
        <v>1321.5</v>
      </c>
      <c r="Y26" s="300">
        <f t="shared" si="18"/>
        <v>1387.6</v>
      </c>
      <c r="Z26" s="300">
        <f t="shared" si="18"/>
        <v>1457</v>
      </c>
      <c r="AA26" s="300">
        <f t="shared" si="18"/>
        <v>1529.8999999999999</v>
      </c>
      <c r="AB26" s="300">
        <f t="shared" si="18"/>
        <v>1606.3999999999999</v>
      </c>
      <c r="AC26" s="300">
        <f t="shared" si="18"/>
        <v>1686.8</v>
      </c>
      <c r="AD26" s="300">
        <f t="shared" si="18"/>
        <v>1771.1999999999998</v>
      </c>
      <c r="AE26" s="300">
        <f t="shared" si="18"/>
        <v>1859.8</v>
      </c>
      <c r="AF26" s="300">
        <f t="shared" si="18"/>
        <v>1952.8</v>
      </c>
      <c r="AG26" s="300">
        <f t="shared" si="18"/>
        <v>2050.5</v>
      </c>
      <c r="AH26" s="301">
        <f t="shared" si="18"/>
        <v>2153.1</v>
      </c>
      <c r="AI26" s="345">
        <f>SUM(W26:AH26)</f>
        <v>20035.099999999995</v>
      </c>
    </row>
    <row r="27" spans="2:35" ht="16">
      <c r="B27" s="349" t="str">
        <f>'Драфт_DF Office 2.0'!A3</f>
        <v>Почтовый ящик Standart 10 GB</v>
      </c>
      <c r="C27" s="342" t="s">
        <v>164</v>
      </c>
      <c r="D27" s="347">
        <v>0.05</v>
      </c>
      <c r="E27" s="306"/>
      <c r="F27" s="340">
        <v>115</v>
      </c>
      <c r="G27" s="358">
        <f>3*F27</f>
        <v>345</v>
      </c>
      <c r="H27" s="315">
        <f t="shared" si="17"/>
        <v>362.3</v>
      </c>
      <c r="I27" s="315">
        <f t="shared" ref="I27:I34" si="19">ROUNDUP((H27+H27*$D27),1)</f>
        <v>380.5</v>
      </c>
      <c r="J27" s="315">
        <f t="shared" ref="J27:J34" si="20">ROUNDUP((I27+I27*$D27),1)</f>
        <v>399.6</v>
      </c>
      <c r="K27" s="315">
        <f t="shared" ref="K27:K34" si="21">ROUNDUP((J27+J27*$D27),1)</f>
        <v>419.6</v>
      </c>
      <c r="L27" s="315">
        <f t="shared" ref="L27:L34" si="22">ROUNDUP((K27+K27*$D27),1)</f>
        <v>440.6</v>
      </c>
      <c r="M27" s="315">
        <f t="shared" ref="M27:M34" si="23">ROUNDUP((L27+L27*$D27),1)</f>
        <v>462.70000000000005</v>
      </c>
      <c r="N27" s="315">
        <f t="shared" ref="N27:N34" si="24">ROUNDUP((M27+M27*$D27),1)</f>
        <v>485.90000000000003</v>
      </c>
      <c r="O27" s="315">
        <f t="shared" ref="O27:O34" si="25">ROUNDUP((N27+N27*$D27),1)</f>
        <v>510.20000000000005</v>
      </c>
      <c r="P27" s="315">
        <f t="shared" ref="P27:P34" si="26">ROUNDUP((O27+O27*$D27),1)</f>
        <v>535.80000000000007</v>
      </c>
      <c r="Q27" s="315">
        <f t="shared" ref="Q27:Q34" si="27">ROUNDUP((P27+P27*$D27),1)</f>
        <v>562.6</v>
      </c>
      <c r="R27" s="315">
        <f t="shared" ref="R27:R34" si="28">ROUNDUP((Q27+Q27*$D27),1)</f>
        <v>590.80000000000007</v>
      </c>
      <c r="S27" s="315">
        <f t="shared" ref="S27:S34" si="29">ROUNDUP((R27+R27*$D27),1)</f>
        <v>620.4</v>
      </c>
      <c r="T27" s="315">
        <f t="shared" ref="T27:T34" si="30">ROUNDUP((S27+S27*$D27),1)</f>
        <v>651.5</v>
      </c>
      <c r="U27" s="315">
        <f t="shared" ref="U27:U34" si="31">ROUNDUP((T27+T27*$D27),1)</f>
        <v>684.1</v>
      </c>
      <c r="V27" s="315">
        <f t="shared" ref="V27:V34" si="32">ROUNDUP((U27+U27*$D27),1)</f>
        <v>718.4</v>
      </c>
      <c r="W27" s="315">
        <f t="shared" ref="W27:W34" si="33">ROUNDUP((V27+V27*$D27),1)</f>
        <v>754.4</v>
      </c>
      <c r="X27" s="315">
        <f t="shared" si="18"/>
        <v>792.2</v>
      </c>
      <c r="Y27" s="315">
        <f t="shared" si="18"/>
        <v>831.9</v>
      </c>
      <c r="Z27" s="315">
        <f t="shared" si="18"/>
        <v>873.5</v>
      </c>
      <c r="AA27" s="315">
        <f t="shared" si="18"/>
        <v>917.2</v>
      </c>
      <c r="AB27" s="315">
        <f t="shared" si="18"/>
        <v>963.1</v>
      </c>
      <c r="AC27" s="315">
        <f t="shared" si="18"/>
        <v>1011.3000000000001</v>
      </c>
      <c r="AD27" s="315">
        <f t="shared" si="18"/>
        <v>1061.8999999999999</v>
      </c>
      <c r="AE27" s="315">
        <f t="shared" si="18"/>
        <v>1115</v>
      </c>
      <c r="AF27" s="315">
        <f t="shared" si="18"/>
        <v>1170.8</v>
      </c>
      <c r="AG27" s="315">
        <f t="shared" si="18"/>
        <v>1229.3999999999999</v>
      </c>
      <c r="AH27" s="315">
        <f t="shared" si="18"/>
        <v>1290.8999999999999</v>
      </c>
      <c r="AI27" s="345">
        <f t="shared" ref="AI27:AI35" si="34">SUM(W27:AH27)</f>
        <v>12011.599999999999</v>
      </c>
    </row>
    <row r="28" spans="2:35" ht="16">
      <c r="B28" s="349" t="str">
        <f>'Драфт_DF Office 2.0'!A4</f>
        <v>Почтовый ящик Standart 25 GB</v>
      </c>
      <c r="C28" s="342" t="s">
        <v>164</v>
      </c>
      <c r="D28" s="347">
        <v>0.05</v>
      </c>
      <c r="E28" s="306"/>
      <c r="F28" s="340">
        <v>26</v>
      </c>
      <c r="G28" s="358">
        <f>3*F28</f>
        <v>78</v>
      </c>
      <c r="H28" s="315">
        <f t="shared" si="17"/>
        <v>81.900000000000006</v>
      </c>
      <c r="I28" s="315">
        <f t="shared" si="19"/>
        <v>86</v>
      </c>
      <c r="J28" s="315">
        <f t="shared" si="20"/>
        <v>90.3</v>
      </c>
      <c r="K28" s="315">
        <f t="shared" si="21"/>
        <v>94.899999999999991</v>
      </c>
      <c r="L28" s="315">
        <f t="shared" si="22"/>
        <v>99.699999999999989</v>
      </c>
      <c r="M28" s="315">
        <f t="shared" si="23"/>
        <v>104.69999999999999</v>
      </c>
      <c r="N28" s="315">
        <f t="shared" si="24"/>
        <v>110</v>
      </c>
      <c r="O28" s="315">
        <f t="shared" si="25"/>
        <v>115.5</v>
      </c>
      <c r="P28" s="315">
        <f t="shared" si="26"/>
        <v>121.3</v>
      </c>
      <c r="Q28" s="315">
        <f t="shared" si="27"/>
        <v>127.39999999999999</v>
      </c>
      <c r="R28" s="315">
        <f t="shared" si="28"/>
        <v>133.79999999999998</v>
      </c>
      <c r="S28" s="315">
        <f t="shared" si="29"/>
        <v>140.5</v>
      </c>
      <c r="T28" s="315">
        <f t="shared" si="30"/>
        <v>147.6</v>
      </c>
      <c r="U28" s="315">
        <f t="shared" si="31"/>
        <v>155</v>
      </c>
      <c r="V28" s="315">
        <f t="shared" si="32"/>
        <v>162.79999999999998</v>
      </c>
      <c r="W28" s="315">
        <f t="shared" si="33"/>
        <v>171</v>
      </c>
      <c r="X28" s="315">
        <f t="shared" si="18"/>
        <v>179.6</v>
      </c>
      <c r="Y28" s="315">
        <f t="shared" si="18"/>
        <v>188.6</v>
      </c>
      <c r="Z28" s="315">
        <f t="shared" si="18"/>
        <v>198.1</v>
      </c>
      <c r="AA28" s="315">
        <f t="shared" si="18"/>
        <v>208.1</v>
      </c>
      <c r="AB28" s="315">
        <f t="shared" si="18"/>
        <v>218.6</v>
      </c>
      <c r="AC28" s="315">
        <f t="shared" si="18"/>
        <v>229.6</v>
      </c>
      <c r="AD28" s="315">
        <f t="shared" si="18"/>
        <v>241.1</v>
      </c>
      <c r="AE28" s="315">
        <f t="shared" si="18"/>
        <v>253.2</v>
      </c>
      <c r="AF28" s="315">
        <f t="shared" si="18"/>
        <v>265.90000000000003</v>
      </c>
      <c r="AG28" s="315">
        <f t="shared" si="18"/>
        <v>279.20000000000005</v>
      </c>
      <c r="AH28" s="315">
        <f t="shared" si="18"/>
        <v>293.20000000000005</v>
      </c>
      <c r="AI28" s="345">
        <f t="shared" si="34"/>
        <v>2726.2</v>
      </c>
    </row>
    <row r="29" spans="2:35" ht="16">
      <c r="B29" s="349" t="str">
        <f>'Драфт_DF Office 2.0'!A5</f>
        <v>Почтовый ящик Standart 40 GB</v>
      </c>
      <c r="C29" s="342" t="s">
        <v>164</v>
      </c>
      <c r="D29" s="347">
        <v>0.05</v>
      </c>
      <c r="E29" s="306"/>
      <c r="F29" s="340">
        <v>116</v>
      </c>
      <c r="G29" s="358">
        <f t="shared" ref="G29:G34" si="35">3*F29</f>
        <v>348</v>
      </c>
      <c r="H29" s="315">
        <f t="shared" si="17"/>
        <v>365.4</v>
      </c>
      <c r="I29" s="315">
        <f t="shared" si="19"/>
        <v>383.70000000000005</v>
      </c>
      <c r="J29" s="315">
        <f t="shared" si="20"/>
        <v>402.90000000000003</v>
      </c>
      <c r="K29" s="315">
        <f t="shared" si="21"/>
        <v>423.1</v>
      </c>
      <c r="L29" s="315">
        <f t="shared" si="22"/>
        <v>444.3</v>
      </c>
      <c r="M29" s="315">
        <f t="shared" si="23"/>
        <v>466.6</v>
      </c>
      <c r="N29" s="315">
        <f t="shared" si="24"/>
        <v>490</v>
      </c>
      <c r="O29" s="315">
        <f t="shared" si="25"/>
        <v>514.5</v>
      </c>
      <c r="P29" s="315">
        <f t="shared" si="26"/>
        <v>540.30000000000007</v>
      </c>
      <c r="Q29" s="315">
        <f t="shared" si="27"/>
        <v>567.4</v>
      </c>
      <c r="R29" s="315">
        <f t="shared" si="28"/>
        <v>595.80000000000007</v>
      </c>
      <c r="S29" s="315">
        <f t="shared" si="29"/>
        <v>625.6</v>
      </c>
      <c r="T29" s="315">
        <f t="shared" si="30"/>
        <v>656.9</v>
      </c>
      <c r="U29" s="315">
        <f t="shared" si="31"/>
        <v>689.80000000000007</v>
      </c>
      <c r="V29" s="315">
        <f t="shared" si="32"/>
        <v>724.30000000000007</v>
      </c>
      <c r="W29" s="315">
        <f t="shared" si="33"/>
        <v>760.6</v>
      </c>
      <c r="X29" s="315">
        <f t="shared" si="18"/>
        <v>798.7</v>
      </c>
      <c r="Y29" s="315">
        <f t="shared" si="18"/>
        <v>838.7</v>
      </c>
      <c r="Z29" s="315">
        <f t="shared" si="18"/>
        <v>880.7</v>
      </c>
      <c r="AA29" s="315">
        <f t="shared" si="18"/>
        <v>924.80000000000007</v>
      </c>
      <c r="AB29" s="315">
        <f t="shared" si="18"/>
        <v>971.1</v>
      </c>
      <c r="AC29" s="315">
        <f t="shared" si="18"/>
        <v>1019.7</v>
      </c>
      <c r="AD29" s="315">
        <f t="shared" si="18"/>
        <v>1070.6999999999998</v>
      </c>
      <c r="AE29" s="315">
        <f t="shared" si="18"/>
        <v>1124.3</v>
      </c>
      <c r="AF29" s="315">
        <f t="shared" si="18"/>
        <v>1180.5999999999999</v>
      </c>
      <c r="AG29" s="315">
        <f t="shared" si="18"/>
        <v>1239.6999999999998</v>
      </c>
      <c r="AH29" s="315">
        <f t="shared" si="18"/>
        <v>1301.6999999999998</v>
      </c>
      <c r="AI29" s="345">
        <f t="shared" si="34"/>
        <v>12111.3</v>
      </c>
    </row>
    <row r="30" spans="2:35" ht="16">
      <c r="B30" s="349" t="str">
        <f>'Драфт_DF Office 2.0'!A6</f>
        <v>Почтовый ящик Standart 50 GB</v>
      </c>
      <c r="C30" s="342" t="s">
        <v>164</v>
      </c>
      <c r="D30" s="347">
        <v>0.05</v>
      </c>
      <c r="E30" s="306"/>
      <c r="F30" s="340">
        <v>6</v>
      </c>
      <c r="G30" s="358">
        <f t="shared" si="35"/>
        <v>18</v>
      </c>
      <c r="H30" s="315">
        <f t="shared" si="17"/>
        <v>18.899999999999999</v>
      </c>
      <c r="I30" s="315">
        <f t="shared" si="19"/>
        <v>19.900000000000002</v>
      </c>
      <c r="J30" s="315">
        <f t="shared" si="20"/>
        <v>20.900000000000002</v>
      </c>
      <c r="K30" s="315">
        <f t="shared" si="21"/>
        <v>22</v>
      </c>
      <c r="L30" s="315">
        <f t="shared" si="22"/>
        <v>23.1</v>
      </c>
      <c r="M30" s="315">
        <f t="shared" si="23"/>
        <v>24.3</v>
      </c>
      <c r="N30" s="315">
        <f t="shared" si="24"/>
        <v>25.6</v>
      </c>
      <c r="O30" s="315">
        <f t="shared" si="25"/>
        <v>26.900000000000002</v>
      </c>
      <c r="P30" s="315">
        <f t="shared" si="26"/>
        <v>28.3</v>
      </c>
      <c r="Q30" s="315">
        <f t="shared" si="27"/>
        <v>29.8</v>
      </c>
      <c r="R30" s="315">
        <f t="shared" si="28"/>
        <v>31.3</v>
      </c>
      <c r="S30" s="315">
        <f t="shared" si="29"/>
        <v>32.9</v>
      </c>
      <c r="T30" s="315">
        <f t="shared" si="30"/>
        <v>34.6</v>
      </c>
      <c r="U30" s="315">
        <f t="shared" si="31"/>
        <v>36.4</v>
      </c>
      <c r="V30" s="315">
        <f t="shared" si="32"/>
        <v>38.300000000000004</v>
      </c>
      <c r="W30" s="315">
        <f t="shared" si="33"/>
        <v>40.300000000000004</v>
      </c>
      <c r="X30" s="315">
        <f t="shared" si="18"/>
        <v>42.4</v>
      </c>
      <c r="Y30" s="315">
        <f t="shared" si="18"/>
        <v>44.6</v>
      </c>
      <c r="Z30" s="315">
        <f t="shared" si="18"/>
        <v>46.9</v>
      </c>
      <c r="AA30" s="315">
        <f t="shared" si="18"/>
        <v>49.300000000000004</v>
      </c>
      <c r="AB30" s="315">
        <f t="shared" si="18"/>
        <v>51.800000000000004</v>
      </c>
      <c r="AC30" s="315">
        <f t="shared" si="18"/>
        <v>54.4</v>
      </c>
      <c r="AD30" s="315">
        <f t="shared" si="18"/>
        <v>57.2</v>
      </c>
      <c r="AE30" s="315">
        <f t="shared" si="18"/>
        <v>60.1</v>
      </c>
      <c r="AF30" s="315">
        <f t="shared" si="18"/>
        <v>63.2</v>
      </c>
      <c r="AG30" s="315">
        <f t="shared" si="18"/>
        <v>66.399999999999991</v>
      </c>
      <c r="AH30" s="315">
        <f t="shared" si="18"/>
        <v>69.8</v>
      </c>
      <c r="AI30" s="345">
        <f t="shared" si="34"/>
        <v>646.4</v>
      </c>
    </row>
    <row r="31" spans="2:35" ht="16">
      <c r="B31" s="349" t="str">
        <f>'Драфт_DF Office 2.0'!A7</f>
        <v>Почтовый ящик Enterprise 5 GB</v>
      </c>
      <c r="C31" s="342" t="s">
        <v>164</v>
      </c>
      <c r="D31" s="347">
        <v>0.01</v>
      </c>
      <c r="E31" s="306"/>
      <c r="F31" s="340">
        <v>1</v>
      </c>
      <c r="G31" s="358">
        <f t="shared" si="35"/>
        <v>3</v>
      </c>
      <c r="H31" s="315">
        <f t="shared" si="17"/>
        <v>3.1</v>
      </c>
      <c r="I31" s="315">
        <f t="shared" si="19"/>
        <v>3.2</v>
      </c>
      <c r="J31" s="315">
        <f t="shared" si="20"/>
        <v>3.3000000000000003</v>
      </c>
      <c r="K31" s="315">
        <f t="shared" si="21"/>
        <v>3.4</v>
      </c>
      <c r="L31" s="315">
        <f t="shared" si="22"/>
        <v>3.5</v>
      </c>
      <c r="M31" s="315">
        <f t="shared" si="23"/>
        <v>3.6</v>
      </c>
      <c r="N31" s="315">
        <f t="shared" si="24"/>
        <v>3.7</v>
      </c>
      <c r="O31" s="315">
        <f t="shared" si="25"/>
        <v>3.8000000000000003</v>
      </c>
      <c r="P31" s="315">
        <f t="shared" si="26"/>
        <v>3.9</v>
      </c>
      <c r="Q31" s="315">
        <f t="shared" si="27"/>
        <v>4</v>
      </c>
      <c r="R31" s="315">
        <f t="shared" si="28"/>
        <v>4.0999999999999996</v>
      </c>
      <c r="S31" s="315">
        <f t="shared" si="29"/>
        <v>4.1999999999999993</v>
      </c>
      <c r="T31" s="315">
        <f t="shared" si="30"/>
        <v>4.3</v>
      </c>
      <c r="U31" s="315">
        <f t="shared" si="31"/>
        <v>4.3999999999999995</v>
      </c>
      <c r="V31" s="315">
        <f t="shared" si="32"/>
        <v>4.5</v>
      </c>
      <c r="W31" s="315">
        <f t="shared" si="33"/>
        <v>4.5999999999999996</v>
      </c>
      <c r="X31" s="315">
        <f t="shared" si="18"/>
        <v>4.6999999999999993</v>
      </c>
      <c r="Y31" s="315">
        <f t="shared" si="18"/>
        <v>4.8</v>
      </c>
      <c r="Z31" s="315">
        <f t="shared" si="18"/>
        <v>4.8999999999999995</v>
      </c>
      <c r="AA31" s="315">
        <f t="shared" si="18"/>
        <v>5</v>
      </c>
      <c r="AB31" s="315">
        <f t="shared" si="18"/>
        <v>5.0999999999999996</v>
      </c>
      <c r="AC31" s="315">
        <f t="shared" si="18"/>
        <v>5.1999999999999993</v>
      </c>
      <c r="AD31" s="315">
        <f t="shared" si="18"/>
        <v>5.3</v>
      </c>
      <c r="AE31" s="315">
        <f t="shared" si="18"/>
        <v>5.3999999999999995</v>
      </c>
      <c r="AF31" s="315">
        <f t="shared" si="18"/>
        <v>5.5</v>
      </c>
      <c r="AG31" s="315">
        <f t="shared" si="18"/>
        <v>5.6</v>
      </c>
      <c r="AH31" s="315">
        <f t="shared" si="18"/>
        <v>5.6999999999999993</v>
      </c>
      <c r="AI31" s="345">
        <f t="shared" si="34"/>
        <v>61.8</v>
      </c>
    </row>
    <row r="32" spans="2:35" ht="16">
      <c r="B32" s="349" t="str">
        <f>'Драфт_DF Office 2.0'!A8</f>
        <v>Почтовый ящик Enterprise 10 GB</v>
      </c>
      <c r="C32" s="342" t="s">
        <v>164</v>
      </c>
      <c r="D32" s="347">
        <v>0.01</v>
      </c>
      <c r="E32" s="306"/>
      <c r="F32" s="340">
        <v>1</v>
      </c>
      <c r="G32" s="358">
        <f t="shared" si="35"/>
        <v>3</v>
      </c>
      <c r="H32" s="315">
        <f t="shared" si="17"/>
        <v>3.1</v>
      </c>
      <c r="I32" s="315">
        <f t="shared" si="19"/>
        <v>3.2</v>
      </c>
      <c r="J32" s="315">
        <f t="shared" si="20"/>
        <v>3.3000000000000003</v>
      </c>
      <c r="K32" s="315">
        <f t="shared" si="21"/>
        <v>3.4</v>
      </c>
      <c r="L32" s="315">
        <f t="shared" si="22"/>
        <v>3.5</v>
      </c>
      <c r="M32" s="315">
        <f t="shared" si="23"/>
        <v>3.6</v>
      </c>
      <c r="N32" s="315">
        <f t="shared" si="24"/>
        <v>3.7</v>
      </c>
      <c r="O32" s="315">
        <f t="shared" si="25"/>
        <v>3.8000000000000003</v>
      </c>
      <c r="P32" s="315">
        <f t="shared" si="26"/>
        <v>3.9</v>
      </c>
      <c r="Q32" s="315">
        <f t="shared" si="27"/>
        <v>4</v>
      </c>
      <c r="R32" s="315">
        <f t="shared" si="28"/>
        <v>4.0999999999999996</v>
      </c>
      <c r="S32" s="315">
        <f t="shared" si="29"/>
        <v>4.1999999999999993</v>
      </c>
      <c r="T32" s="315">
        <f t="shared" si="30"/>
        <v>4.3</v>
      </c>
      <c r="U32" s="315">
        <f t="shared" si="31"/>
        <v>4.3999999999999995</v>
      </c>
      <c r="V32" s="315">
        <f t="shared" si="32"/>
        <v>4.5</v>
      </c>
      <c r="W32" s="315">
        <f t="shared" si="33"/>
        <v>4.5999999999999996</v>
      </c>
      <c r="X32" s="315">
        <f t="shared" si="18"/>
        <v>4.6999999999999993</v>
      </c>
      <c r="Y32" s="315">
        <f t="shared" si="18"/>
        <v>4.8</v>
      </c>
      <c r="Z32" s="315">
        <f t="shared" si="18"/>
        <v>4.8999999999999995</v>
      </c>
      <c r="AA32" s="315">
        <f t="shared" si="18"/>
        <v>5</v>
      </c>
      <c r="AB32" s="315">
        <f t="shared" si="18"/>
        <v>5.0999999999999996</v>
      </c>
      <c r="AC32" s="315">
        <f t="shared" si="18"/>
        <v>5.1999999999999993</v>
      </c>
      <c r="AD32" s="315">
        <f t="shared" si="18"/>
        <v>5.3</v>
      </c>
      <c r="AE32" s="315">
        <f t="shared" si="18"/>
        <v>5.3999999999999995</v>
      </c>
      <c r="AF32" s="315">
        <f t="shared" si="18"/>
        <v>5.5</v>
      </c>
      <c r="AG32" s="315">
        <f t="shared" si="18"/>
        <v>5.6</v>
      </c>
      <c r="AH32" s="315">
        <f t="shared" si="18"/>
        <v>5.6999999999999993</v>
      </c>
      <c r="AI32" s="345">
        <f t="shared" si="34"/>
        <v>61.8</v>
      </c>
    </row>
    <row r="33" spans="1:35" ht="16">
      <c r="B33" s="349" t="str">
        <f>'Драфт_DF Office 2.0'!A9</f>
        <v>Почтовый ящик Enterprise 25 GB</v>
      </c>
      <c r="C33" s="342" t="s">
        <v>164</v>
      </c>
      <c r="D33" s="347">
        <v>0.01</v>
      </c>
      <c r="E33" s="306"/>
      <c r="F33" s="340">
        <v>1</v>
      </c>
      <c r="G33" s="358">
        <f t="shared" si="35"/>
        <v>3</v>
      </c>
      <c r="H33" s="315">
        <f t="shared" si="17"/>
        <v>3.1</v>
      </c>
      <c r="I33" s="315">
        <f t="shared" si="19"/>
        <v>3.2</v>
      </c>
      <c r="J33" s="315">
        <f t="shared" si="20"/>
        <v>3.3000000000000003</v>
      </c>
      <c r="K33" s="315">
        <f t="shared" si="21"/>
        <v>3.4</v>
      </c>
      <c r="L33" s="315">
        <f t="shared" si="22"/>
        <v>3.5</v>
      </c>
      <c r="M33" s="315">
        <f t="shared" si="23"/>
        <v>3.6</v>
      </c>
      <c r="N33" s="315">
        <f t="shared" si="24"/>
        <v>3.7</v>
      </c>
      <c r="O33" s="315">
        <f t="shared" si="25"/>
        <v>3.8000000000000003</v>
      </c>
      <c r="P33" s="315">
        <f t="shared" si="26"/>
        <v>3.9</v>
      </c>
      <c r="Q33" s="315">
        <f t="shared" si="27"/>
        <v>4</v>
      </c>
      <c r="R33" s="315">
        <f t="shared" si="28"/>
        <v>4.0999999999999996</v>
      </c>
      <c r="S33" s="315">
        <f t="shared" si="29"/>
        <v>4.1999999999999993</v>
      </c>
      <c r="T33" s="315">
        <f t="shared" si="30"/>
        <v>4.3</v>
      </c>
      <c r="U33" s="315">
        <f t="shared" si="31"/>
        <v>4.3999999999999995</v>
      </c>
      <c r="V33" s="315">
        <f t="shared" si="32"/>
        <v>4.5</v>
      </c>
      <c r="W33" s="315">
        <f t="shared" si="33"/>
        <v>4.5999999999999996</v>
      </c>
      <c r="X33" s="315">
        <f t="shared" si="18"/>
        <v>4.6999999999999993</v>
      </c>
      <c r="Y33" s="315">
        <f t="shared" si="18"/>
        <v>4.8</v>
      </c>
      <c r="Z33" s="315">
        <f t="shared" si="18"/>
        <v>4.8999999999999995</v>
      </c>
      <c r="AA33" s="315">
        <f t="shared" si="18"/>
        <v>5</v>
      </c>
      <c r="AB33" s="315">
        <f t="shared" si="18"/>
        <v>5.0999999999999996</v>
      </c>
      <c r="AC33" s="315">
        <f t="shared" si="18"/>
        <v>5.1999999999999993</v>
      </c>
      <c r="AD33" s="315">
        <f t="shared" si="18"/>
        <v>5.3</v>
      </c>
      <c r="AE33" s="315">
        <f t="shared" si="18"/>
        <v>5.3999999999999995</v>
      </c>
      <c r="AF33" s="315">
        <f t="shared" si="18"/>
        <v>5.5</v>
      </c>
      <c r="AG33" s="315">
        <f t="shared" si="18"/>
        <v>5.6</v>
      </c>
      <c r="AH33" s="315">
        <f t="shared" si="18"/>
        <v>5.6999999999999993</v>
      </c>
      <c r="AI33" s="345">
        <f t="shared" si="34"/>
        <v>61.8</v>
      </c>
    </row>
    <row r="34" spans="1:35" ht="16">
      <c r="B34" s="349" t="str">
        <f>'Драфт_DF Office 2.0'!A10</f>
        <v>Почтовый ящик Enterprise 40 GB</v>
      </c>
      <c r="C34" s="342" t="s">
        <v>164</v>
      </c>
      <c r="D34" s="347">
        <v>0.01</v>
      </c>
      <c r="E34" s="306"/>
      <c r="F34" s="340">
        <v>1</v>
      </c>
      <c r="G34" s="358">
        <f t="shared" si="35"/>
        <v>3</v>
      </c>
      <c r="H34" s="315">
        <f t="shared" si="17"/>
        <v>3.1</v>
      </c>
      <c r="I34" s="315">
        <f t="shared" si="19"/>
        <v>3.2</v>
      </c>
      <c r="J34" s="315">
        <f t="shared" si="20"/>
        <v>3.3000000000000003</v>
      </c>
      <c r="K34" s="315">
        <f t="shared" si="21"/>
        <v>3.4</v>
      </c>
      <c r="L34" s="315">
        <f t="shared" si="22"/>
        <v>3.5</v>
      </c>
      <c r="M34" s="315">
        <f t="shared" si="23"/>
        <v>3.6</v>
      </c>
      <c r="N34" s="315">
        <f t="shared" si="24"/>
        <v>3.7</v>
      </c>
      <c r="O34" s="315">
        <f t="shared" si="25"/>
        <v>3.8000000000000003</v>
      </c>
      <c r="P34" s="315">
        <f t="shared" si="26"/>
        <v>3.9</v>
      </c>
      <c r="Q34" s="315">
        <f t="shared" si="27"/>
        <v>4</v>
      </c>
      <c r="R34" s="315">
        <f t="shared" si="28"/>
        <v>4.0999999999999996</v>
      </c>
      <c r="S34" s="315">
        <f t="shared" si="29"/>
        <v>4.1999999999999993</v>
      </c>
      <c r="T34" s="315">
        <f t="shared" si="30"/>
        <v>4.3</v>
      </c>
      <c r="U34" s="315">
        <f t="shared" si="31"/>
        <v>4.3999999999999995</v>
      </c>
      <c r="V34" s="315">
        <f t="shared" si="32"/>
        <v>4.5</v>
      </c>
      <c r="W34" s="315">
        <f t="shared" si="33"/>
        <v>4.5999999999999996</v>
      </c>
      <c r="X34" s="315">
        <f t="shared" si="18"/>
        <v>4.6999999999999993</v>
      </c>
      <c r="Y34" s="315">
        <f t="shared" si="18"/>
        <v>4.8</v>
      </c>
      <c r="Z34" s="315">
        <f t="shared" si="18"/>
        <v>4.8999999999999995</v>
      </c>
      <c r="AA34" s="315">
        <f t="shared" si="18"/>
        <v>5</v>
      </c>
      <c r="AB34" s="315">
        <f t="shared" si="18"/>
        <v>5.0999999999999996</v>
      </c>
      <c r="AC34" s="315">
        <f t="shared" si="18"/>
        <v>5.1999999999999993</v>
      </c>
      <c r="AD34" s="315">
        <f t="shared" si="18"/>
        <v>5.3</v>
      </c>
      <c r="AE34" s="315">
        <f t="shared" si="18"/>
        <v>5.3999999999999995</v>
      </c>
      <c r="AF34" s="315">
        <f t="shared" si="18"/>
        <v>5.5</v>
      </c>
      <c r="AG34" s="315">
        <f t="shared" si="18"/>
        <v>5.6</v>
      </c>
      <c r="AH34" s="315">
        <f t="shared" si="18"/>
        <v>5.6999999999999993</v>
      </c>
      <c r="AI34" s="345">
        <f t="shared" si="34"/>
        <v>61.8</v>
      </c>
    </row>
    <row r="35" spans="1:35" ht="17" thickBot="1">
      <c r="B35" s="349" t="str">
        <f>'Драфт_DF Office 2.0'!A11</f>
        <v>Почтовый ящик Enterprise 50 GB</v>
      </c>
      <c r="C35" s="372" t="s">
        <v>164</v>
      </c>
      <c r="D35" s="348">
        <v>0.01</v>
      </c>
      <c r="E35" s="373"/>
      <c r="F35" s="374">
        <v>1</v>
      </c>
      <c r="G35" s="375">
        <f>3*F35</f>
        <v>3</v>
      </c>
      <c r="H35" s="351">
        <f t="shared" si="17"/>
        <v>3.1</v>
      </c>
      <c r="I35" s="351">
        <f t="shared" si="18"/>
        <v>3.2</v>
      </c>
      <c r="J35" s="351">
        <f t="shared" si="18"/>
        <v>3.3000000000000003</v>
      </c>
      <c r="K35" s="351">
        <f t="shared" si="18"/>
        <v>3.4</v>
      </c>
      <c r="L35" s="351">
        <f t="shared" si="18"/>
        <v>3.5</v>
      </c>
      <c r="M35" s="351">
        <f t="shared" si="18"/>
        <v>3.6</v>
      </c>
      <c r="N35" s="351">
        <f t="shared" si="18"/>
        <v>3.7</v>
      </c>
      <c r="O35" s="351">
        <f t="shared" si="18"/>
        <v>3.8000000000000003</v>
      </c>
      <c r="P35" s="351">
        <f t="shared" si="18"/>
        <v>3.9</v>
      </c>
      <c r="Q35" s="351">
        <f t="shared" si="18"/>
        <v>4</v>
      </c>
      <c r="R35" s="351">
        <f t="shared" si="18"/>
        <v>4.0999999999999996</v>
      </c>
      <c r="S35" s="351">
        <f t="shared" si="18"/>
        <v>4.1999999999999993</v>
      </c>
      <c r="T35" s="351">
        <f t="shared" si="18"/>
        <v>4.3</v>
      </c>
      <c r="U35" s="351">
        <f t="shared" si="18"/>
        <v>4.3999999999999995</v>
      </c>
      <c r="V35" s="351">
        <f t="shared" si="18"/>
        <v>4.5</v>
      </c>
      <c r="W35" s="351">
        <f t="shared" si="18"/>
        <v>4.5999999999999996</v>
      </c>
      <c r="X35" s="351">
        <f t="shared" si="18"/>
        <v>4.6999999999999993</v>
      </c>
      <c r="Y35" s="351">
        <f t="shared" si="18"/>
        <v>4.8</v>
      </c>
      <c r="Z35" s="351">
        <f t="shared" si="18"/>
        <v>4.8999999999999995</v>
      </c>
      <c r="AA35" s="351">
        <f t="shared" si="18"/>
        <v>5</v>
      </c>
      <c r="AB35" s="351">
        <f t="shared" si="18"/>
        <v>5.0999999999999996</v>
      </c>
      <c r="AC35" s="351">
        <f t="shared" si="18"/>
        <v>5.1999999999999993</v>
      </c>
      <c r="AD35" s="351">
        <f t="shared" si="18"/>
        <v>5.3</v>
      </c>
      <c r="AE35" s="351">
        <f t="shared" si="18"/>
        <v>5.3999999999999995</v>
      </c>
      <c r="AF35" s="351">
        <f t="shared" si="18"/>
        <v>5.5</v>
      </c>
      <c r="AG35" s="351">
        <f t="shared" si="18"/>
        <v>5.6</v>
      </c>
      <c r="AH35" s="376">
        <f t="shared" si="18"/>
        <v>5.6999999999999993</v>
      </c>
      <c r="AI35" s="345">
        <f t="shared" si="34"/>
        <v>61.8</v>
      </c>
    </row>
    <row r="36" spans="1:35">
      <c r="B36" s="349"/>
      <c r="C36" s="400"/>
      <c r="D36" s="353"/>
      <c r="E36" s="401"/>
      <c r="F36" s="402"/>
      <c r="G36" s="358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  <c r="AI36" s="345">
        <f t="shared" ref="AI36" si="36">SUM(G36:AH36)</f>
        <v>0</v>
      </c>
    </row>
    <row r="37" spans="1:35" ht="16" hidden="1">
      <c r="B37" s="305" t="s">
        <v>157</v>
      </c>
      <c r="C37" s="314" t="s">
        <v>164</v>
      </c>
      <c r="D37" s="353">
        <v>0.03</v>
      </c>
      <c r="E37" s="400"/>
      <c r="F37" s="401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71"/>
      <c r="AI37" s="296"/>
    </row>
    <row r="38" spans="1:35" ht="16" hidden="1">
      <c r="B38" s="310" t="s">
        <v>158</v>
      </c>
      <c r="C38" s="310" t="s">
        <v>164</v>
      </c>
      <c r="D38" s="347">
        <v>0.03</v>
      </c>
      <c r="E38" s="349"/>
      <c r="F38" s="352"/>
      <c r="G38" s="315"/>
      <c r="H38" s="298"/>
      <c r="I38" s="298"/>
      <c r="J38" s="298"/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98"/>
      <c r="AD38" s="298"/>
      <c r="AE38" s="298"/>
      <c r="AF38" s="298"/>
      <c r="AG38" s="298"/>
      <c r="AH38" s="302"/>
      <c r="AI38" s="296"/>
    </row>
    <row r="39" spans="1:35" ht="16" hidden="1">
      <c r="B39" s="310" t="s">
        <v>159</v>
      </c>
      <c r="C39" s="310" t="s">
        <v>164</v>
      </c>
      <c r="D39" s="347">
        <v>0.03</v>
      </c>
      <c r="E39" s="349"/>
      <c r="F39" s="352"/>
      <c r="G39" s="315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  <c r="AC39" s="298"/>
      <c r="AD39" s="298"/>
      <c r="AE39" s="298"/>
      <c r="AF39" s="298"/>
      <c r="AG39" s="298"/>
      <c r="AH39" s="302"/>
      <c r="AI39" s="296"/>
    </row>
    <row r="40" spans="1:35" ht="17" hidden="1" thickBot="1">
      <c r="B40" s="312" t="s">
        <v>160</v>
      </c>
      <c r="C40" s="312" t="s">
        <v>165</v>
      </c>
      <c r="D40" s="348">
        <v>0.03</v>
      </c>
      <c r="E40" s="350"/>
      <c r="F40" s="303"/>
      <c r="G40" s="351"/>
      <c r="H40" s="303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Y40" s="303"/>
      <c r="Z40" s="303"/>
      <c r="AA40" s="303"/>
      <c r="AB40" s="303"/>
      <c r="AC40" s="303"/>
      <c r="AD40" s="303"/>
      <c r="AE40" s="303"/>
      <c r="AF40" s="303"/>
      <c r="AG40" s="303"/>
      <c r="AH40" s="304"/>
      <c r="AI40" s="296"/>
    </row>
    <row r="41" spans="1:35" ht="48" hidden="1">
      <c r="B41" s="314" t="s">
        <v>172</v>
      </c>
      <c r="C41" s="307" t="s">
        <v>164</v>
      </c>
      <c r="D41" s="346">
        <v>0.03</v>
      </c>
      <c r="E41" s="308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  <c r="AD41" s="300"/>
      <c r="AE41" s="300"/>
      <c r="AF41" s="300"/>
      <c r="AG41" s="300"/>
      <c r="AH41" s="301"/>
      <c r="AI41" s="296"/>
    </row>
    <row r="42" spans="1:35" ht="16" hidden="1">
      <c r="B42" s="311" t="s">
        <v>173</v>
      </c>
      <c r="C42" s="310" t="s">
        <v>164</v>
      </c>
      <c r="D42" s="347">
        <v>0.03</v>
      </c>
      <c r="E42" s="305"/>
      <c r="F42" s="298"/>
      <c r="G42" s="315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302"/>
      <c r="AI42" s="296"/>
    </row>
    <row r="43" spans="1:35" ht="48" hidden="1">
      <c r="B43" s="310" t="s">
        <v>170</v>
      </c>
      <c r="C43" s="310" t="s">
        <v>164</v>
      </c>
      <c r="D43" s="347">
        <v>0.03</v>
      </c>
      <c r="E43" s="305"/>
      <c r="F43" s="298"/>
      <c r="G43" s="315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  <c r="AH43" s="302"/>
      <c r="AI43" s="296"/>
    </row>
    <row r="44" spans="1:35" ht="16.5" hidden="1" customHeight="1">
      <c r="B44" s="310" t="s">
        <v>171</v>
      </c>
      <c r="C44" s="310" t="s">
        <v>164</v>
      </c>
      <c r="D44" s="344">
        <v>0.03</v>
      </c>
      <c r="E44" s="305"/>
      <c r="F44" s="298"/>
      <c r="G44" s="315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  <c r="AC44" s="298"/>
      <c r="AD44" s="298"/>
      <c r="AE44" s="298"/>
      <c r="AF44" s="298"/>
      <c r="AG44" s="298"/>
      <c r="AH44" s="302"/>
      <c r="AI44" s="296"/>
    </row>
    <row r="45" spans="1:35" ht="16" hidden="1">
      <c r="B45" s="310" t="s">
        <v>159</v>
      </c>
      <c r="C45" s="310" t="s">
        <v>164</v>
      </c>
      <c r="D45" s="353">
        <v>0.03</v>
      </c>
      <c r="E45" s="305"/>
      <c r="F45" s="298"/>
      <c r="G45" s="315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298"/>
      <c r="AB45" s="298"/>
      <c r="AC45" s="298"/>
      <c r="AD45" s="298"/>
      <c r="AE45" s="298"/>
      <c r="AF45" s="298"/>
      <c r="AG45" s="298"/>
      <c r="AH45" s="302"/>
      <c r="AI45" s="296"/>
    </row>
    <row r="46" spans="1:35" ht="17" hidden="1" thickBot="1">
      <c r="B46" s="312" t="s">
        <v>160</v>
      </c>
      <c r="C46" s="312" t="s">
        <v>165</v>
      </c>
      <c r="D46" s="348">
        <v>0.03</v>
      </c>
      <c r="E46" s="313"/>
      <c r="F46" s="303"/>
      <c r="G46" s="351"/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Y46" s="303"/>
      <c r="Z46" s="303"/>
      <c r="AA46" s="303"/>
      <c r="AB46" s="303"/>
      <c r="AC46" s="303"/>
      <c r="AD46" s="303"/>
      <c r="AE46" s="303"/>
      <c r="AF46" s="303"/>
      <c r="AG46" s="303"/>
      <c r="AH46" s="304"/>
      <c r="AI46" s="354"/>
    </row>
    <row r="47" spans="1:35">
      <c r="A47" s="87"/>
      <c r="B47" s="87"/>
      <c r="C47" s="87"/>
      <c r="D47" s="87"/>
      <c r="E47" s="87"/>
      <c r="F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</row>
    <row r="48" spans="1:35">
      <c r="A48" s="87"/>
      <c r="B48" s="87"/>
      <c r="C48" s="87"/>
      <c r="D48" s="87"/>
      <c r="E48" s="87"/>
      <c r="F48" s="87"/>
      <c r="G48" s="88"/>
      <c r="H48" s="88"/>
      <c r="I48" s="88"/>
      <c r="J48" s="88"/>
      <c r="K48" s="88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</row>
    <row r="49" spans="1:35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</row>
    <row r="50" spans="1:35">
      <c r="A50" s="87"/>
      <c r="B50" s="87"/>
      <c r="C50" s="87"/>
      <c r="D50" s="87"/>
      <c r="E50" s="87"/>
      <c r="G50" s="88"/>
      <c r="H50" s="88"/>
      <c r="I50" s="88"/>
      <c r="J50" s="88"/>
      <c r="K50" s="88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</row>
    <row r="51" spans="1:35"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</row>
    <row r="52" spans="1:35"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</row>
    <row r="53" spans="1:35"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</row>
    <row r="54" spans="1:35"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</row>
    <row r="55" spans="1:35"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</row>
    <row r="56" spans="1:35"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</row>
    <row r="57" spans="1:35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</row>
    <row r="58" spans="1:35"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</row>
    <row r="59" spans="1:35">
      <c r="B59" s="87"/>
      <c r="C59" s="87"/>
      <c r="D59" s="87"/>
      <c r="E59" s="87"/>
      <c r="F59" s="87"/>
      <c r="G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</row>
    <row r="60" spans="1:35">
      <c r="B60" s="87"/>
      <c r="C60" s="87"/>
      <c r="D60" s="87"/>
      <c r="E60" s="87"/>
      <c r="F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</row>
    <row r="61" spans="1:35"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</row>
    <row r="62" spans="1:35"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</row>
    <row r="63" spans="1:35"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</row>
    <row r="64" spans="1:35"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</row>
    <row r="65" spans="2:35"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</row>
    <row r="66" spans="2:35"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</row>
    <row r="67" spans="2:35"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</row>
    <row r="68" spans="2:35">
      <c r="B68" s="87"/>
      <c r="C68" s="87"/>
      <c r="D68" s="87"/>
      <c r="E68" s="87"/>
      <c r="F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</row>
    <row r="69" spans="2:35">
      <c r="B69" s="87"/>
      <c r="C69" s="87"/>
      <c r="D69" s="87"/>
      <c r="E69" s="87"/>
      <c r="F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</row>
    <row r="70" spans="2:35"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</row>
    <row r="71" spans="2:35"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</row>
    <row r="72" spans="2:35"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</row>
    <row r="73" spans="2:35"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</row>
    <row r="74" spans="2:35"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</row>
    <row r="75" spans="2:35"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</row>
    <row r="76" spans="2:35"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</row>
    <row r="77" spans="2:35"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</row>
    <row r="78" spans="2:35"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</row>
    <row r="79" spans="2:35"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</row>
    <row r="80" spans="2:35"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</row>
    <row r="81" spans="2:35"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</row>
    <row r="82" spans="2:35"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</row>
    <row r="83" spans="2:35"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</row>
    <row r="84" spans="2:35"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</row>
    <row r="85" spans="2:35"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</row>
    <row r="86" spans="2:35"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</row>
    <row r="87" spans="2:35"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</row>
    <row r="88" spans="2:35"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</row>
    <row r="89" spans="2:35"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</row>
    <row r="90" spans="2:35"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</row>
    <row r="91" spans="2:35"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</row>
    <row r="92" spans="2:35"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</row>
  </sheetData>
  <phoneticPr fontId="0" type="noConversion"/>
  <printOptions horizontalCentered="1"/>
  <pageMargins left="0" right="0" top="0" bottom="0" header="0" footer="0"/>
  <pageSetup paperSize="9" scale="24" fitToHeight="20" orientation="landscape" r:id="rId1"/>
  <headerFooter alignWithMargins="0">
    <oddHeader>&amp;RРП -199-2
Прил. 7. Станд. модель расчета эффективности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34998626667073579"/>
    <pageSetUpPr fitToPage="1"/>
  </sheetPr>
  <dimension ref="A1:AI66"/>
  <sheetViews>
    <sheetView showGridLines="0" zoomScale="75" zoomScaleNormal="75" workbookViewId="0">
      <pane xSplit="5" ySplit="2" topLeftCell="F5" activePane="bottomRight" state="frozen"/>
      <selection activeCell="C10" sqref="C10"/>
      <selection pane="topRight" activeCell="C10" sqref="C10"/>
      <selection pane="bottomLeft" activeCell="C10" sqref="C10"/>
      <selection pane="bottomRight" activeCell="F27" sqref="F27:AG28"/>
    </sheetView>
  </sheetViews>
  <sheetFormatPr baseColWidth="10" defaultColWidth="9" defaultRowHeight="15"/>
  <cols>
    <col min="1" max="1" width="5" style="90" customWidth="1"/>
    <col min="2" max="2" width="79.5" style="90" customWidth="1"/>
    <col min="3" max="3" width="15.83203125" style="90" customWidth="1"/>
    <col min="4" max="4" width="18.5" style="90" customWidth="1"/>
    <col min="5" max="5" width="18.5" style="90" bestFit="1" customWidth="1"/>
    <col min="6" max="6" width="36.1640625" style="102" customWidth="1"/>
    <col min="7" max="8" width="12.83203125" style="102" bestFit="1" customWidth="1"/>
    <col min="9" max="9" width="14.5" style="102" bestFit="1" customWidth="1"/>
    <col min="10" max="10" width="12.83203125" style="102" bestFit="1" customWidth="1"/>
    <col min="11" max="16" width="12.83203125" style="90" bestFit="1" customWidth="1"/>
    <col min="17" max="33" width="14.5" style="90" bestFit="1" customWidth="1"/>
    <col min="34" max="34" width="16.5" style="90" bestFit="1" customWidth="1"/>
    <col min="35" max="16384" width="9" style="90"/>
  </cols>
  <sheetData>
    <row r="1" spans="1:35" ht="32">
      <c r="A1" s="89"/>
      <c r="B1" s="213" t="s">
        <v>1</v>
      </c>
      <c r="C1" s="213"/>
      <c r="D1" s="89"/>
      <c r="E1" s="89"/>
      <c r="F1" s="89">
        <f>Осн.положения!E1</f>
        <v>0</v>
      </c>
      <c r="G1" s="89">
        <f>Осн.положения!F1</f>
        <v>1</v>
      </c>
      <c r="H1" s="89">
        <f>Осн.положения!G1</f>
        <v>2</v>
      </c>
      <c r="I1" s="89">
        <f>Осн.положения!H1</f>
        <v>3</v>
      </c>
      <c r="J1" s="89">
        <f>Осн.положения!I1</f>
        <v>4</v>
      </c>
      <c r="K1" s="89">
        <f>Осн.положения!J1</f>
        <v>5</v>
      </c>
      <c r="L1" s="89">
        <f>Осн.положения!K1</f>
        <v>6</v>
      </c>
      <c r="M1" s="89">
        <f>Осн.положения!L1</f>
        <v>7</v>
      </c>
      <c r="N1" s="89">
        <f>Осн.положения!M1</f>
        <v>8</v>
      </c>
      <c r="O1" s="89">
        <f>Осн.положения!N1</f>
        <v>9</v>
      </c>
      <c r="P1" s="89">
        <f>Осн.положения!O1</f>
        <v>10</v>
      </c>
      <c r="Q1" s="89">
        <f>Осн.положения!P1</f>
        <v>11</v>
      </c>
      <c r="R1" s="89">
        <f>Осн.положения!Q1</f>
        <v>12</v>
      </c>
      <c r="S1" s="294" t="s">
        <v>169</v>
      </c>
      <c r="T1" s="89">
        <f>Осн.положения!S1</f>
        <v>14</v>
      </c>
      <c r="U1" s="89">
        <f>Осн.положения!T1</f>
        <v>15</v>
      </c>
      <c r="V1" s="89">
        <f>Осн.положения!U1</f>
        <v>16</v>
      </c>
      <c r="W1" s="89">
        <f>Осн.положения!V1</f>
        <v>17</v>
      </c>
      <c r="X1" s="89">
        <f>Осн.положения!W1</f>
        <v>18</v>
      </c>
      <c r="Y1" s="89">
        <f>Осн.положения!X1</f>
        <v>19</v>
      </c>
      <c r="Z1" s="89">
        <f>Осн.положения!Y1</f>
        <v>20</v>
      </c>
      <c r="AA1" s="89">
        <f>Осн.положения!Z1</f>
        <v>21</v>
      </c>
      <c r="AB1" s="89">
        <f>Осн.положения!AA1</f>
        <v>22</v>
      </c>
      <c r="AC1" s="89">
        <f>Осн.положения!AB1</f>
        <v>23</v>
      </c>
      <c r="AD1" s="89">
        <f>Осн.положения!AC1</f>
        <v>24</v>
      </c>
      <c r="AE1" s="89">
        <f>Осн.положения!AD1</f>
        <v>25</v>
      </c>
      <c r="AF1" s="89">
        <f>Осн.положения!AE1</f>
        <v>26</v>
      </c>
      <c r="AG1" s="89">
        <f>Осн.положения!AF1</f>
        <v>27</v>
      </c>
      <c r="AH1" s="89"/>
    </row>
    <row r="2" spans="1:35" s="74" customFormat="1" ht="19">
      <c r="A2" s="242"/>
      <c r="B2" s="247" t="s">
        <v>78</v>
      </c>
      <c r="C2" s="247"/>
      <c r="D2" s="245"/>
      <c r="E2" s="231" t="s">
        <v>2</v>
      </c>
      <c r="F2" s="231" t="str">
        <f>Осн.положения!E3</f>
        <v>3Q22</v>
      </c>
      <c r="G2" s="231" t="str">
        <f>Осн.положения!F3</f>
        <v>4Q22</v>
      </c>
      <c r="H2" s="231" t="str">
        <f>Осн.положения!G3</f>
        <v>1Q23</v>
      </c>
      <c r="I2" s="231" t="str">
        <f>Осн.положения!H3</f>
        <v>2Q23</v>
      </c>
      <c r="J2" s="231" t="str">
        <f>Осн.положения!I3</f>
        <v>3Q23</v>
      </c>
      <c r="K2" s="231" t="str">
        <f>Осн.положения!J3</f>
        <v>4Q23</v>
      </c>
      <c r="L2" s="231" t="str">
        <f>Осн.положения!K3</f>
        <v>1Q24</v>
      </c>
      <c r="M2" s="231" t="str">
        <f>Осн.положения!L3</f>
        <v>2Q24</v>
      </c>
      <c r="N2" s="231" t="str">
        <f>Осн.положения!M3</f>
        <v>3Q24</v>
      </c>
      <c r="O2" s="231" t="str">
        <f>Осн.положения!N3</f>
        <v>4Q24</v>
      </c>
      <c r="P2" s="231" t="str">
        <f>Осн.положения!O3</f>
        <v>1Q25</v>
      </c>
      <c r="Q2" s="231" t="str">
        <f>Осн.положения!P3</f>
        <v>2Q25</v>
      </c>
      <c r="R2" s="231" t="str">
        <f>Осн.положения!Q3</f>
        <v>3Q25</v>
      </c>
      <c r="S2" s="231" t="str">
        <f>Осн.положения!R3</f>
        <v>4Q25</v>
      </c>
      <c r="T2" s="231" t="str">
        <f>Осн.положения!S3</f>
        <v>1Q26</v>
      </c>
      <c r="U2" s="231" t="str">
        <f>Осн.положения!T3</f>
        <v>2Q26</v>
      </c>
      <c r="V2" s="231" t="str">
        <f>Осн.положения!U3</f>
        <v>3Q26</v>
      </c>
      <c r="W2" s="231" t="str">
        <f>Осн.положения!V3</f>
        <v>4Q26</v>
      </c>
      <c r="X2" s="231" t="str">
        <f>Осн.положения!W3</f>
        <v>1Q27</v>
      </c>
      <c r="Y2" s="231" t="str">
        <f>Осн.положения!X3</f>
        <v>2Q27</v>
      </c>
      <c r="Z2" s="231" t="str">
        <f>Осн.положения!Y3</f>
        <v>3Q27</v>
      </c>
      <c r="AA2" s="231" t="str">
        <f>Осн.положения!Z3</f>
        <v>4Q27</v>
      </c>
      <c r="AB2" s="231" t="str">
        <f>Осн.положения!AA3</f>
        <v>1Q28</v>
      </c>
      <c r="AC2" s="231" t="str">
        <f>Осн.положения!AB3</f>
        <v>2Q28</v>
      </c>
      <c r="AD2" s="231" t="str">
        <f>Осн.положения!AC3</f>
        <v>3Q28</v>
      </c>
      <c r="AE2" s="231" t="str">
        <f>Осн.положения!AD3</f>
        <v>4Q28</v>
      </c>
      <c r="AF2" s="231" t="str">
        <f>Осн.положения!AE3</f>
        <v>1Q29</v>
      </c>
      <c r="AG2" s="231" t="str">
        <f>Осн.положения!AF3</f>
        <v>2Q29</v>
      </c>
      <c r="AH2" s="231" t="s">
        <v>42</v>
      </c>
    </row>
    <row r="3" spans="1:35" ht="19">
      <c r="A3" s="76"/>
      <c r="B3" s="133"/>
      <c r="C3" s="133"/>
      <c r="D3" s="76"/>
      <c r="E3" s="77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</row>
    <row r="4" spans="1:35" ht="19">
      <c r="A4" s="258"/>
      <c r="B4" s="365" t="s">
        <v>137</v>
      </c>
      <c r="C4" s="258"/>
      <c r="D4" s="258"/>
      <c r="E4" s="261" t="s">
        <v>71</v>
      </c>
      <c r="F4" s="257">
        <f>SUM(F5:F17)</f>
        <v>1266360.5874999999</v>
      </c>
      <c r="G4" s="257">
        <f t="shared" ref="G4:AG4" si="0">SUM(G5:G17)</f>
        <v>1271234.7837499999</v>
      </c>
      <c r="H4" s="257">
        <f t="shared" si="0"/>
        <v>1276363.98</v>
      </c>
      <c r="I4" s="257">
        <f t="shared" si="0"/>
        <v>1281738.92625</v>
      </c>
      <c r="J4" s="257">
        <f t="shared" si="0"/>
        <v>1287391.3225</v>
      </c>
      <c r="K4" s="257">
        <f t="shared" si="0"/>
        <v>1293317.16875</v>
      </c>
      <c r="L4" s="257">
        <f t="shared" si="0"/>
        <v>1299540.915</v>
      </c>
      <c r="M4" s="257">
        <f t="shared" si="0"/>
        <v>1306082.6612499999</v>
      </c>
      <c r="N4" s="257">
        <f t="shared" si="0"/>
        <v>1312925.5574999999</v>
      </c>
      <c r="O4" s="257">
        <f t="shared" si="0"/>
        <v>1320123.10375</v>
      </c>
      <c r="P4" s="257">
        <f t="shared" si="0"/>
        <v>1327681.2</v>
      </c>
      <c r="Q4" s="257">
        <f t="shared" si="0"/>
        <v>1335603.7962499999</v>
      </c>
      <c r="R4" s="257">
        <f t="shared" si="0"/>
        <v>1343914.9924999999</v>
      </c>
      <c r="S4" s="257">
        <f t="shared" si="0"/>
        <v>1856296.0887499999</v>
      </c>
      <c r="T4" s="257">
        <f t="shared" si="0"/>
        <v>1865462.335</v>
      </c>
      <c r="U4" s="257">
        <f t="shared" si="0"/>
        <v>1875086.78125</v>
      </c>
      <c r="V4" s="257">
        <f t="shared" si="0"/>
        <v>1672025.2</v>
      </c>
      <c r="W4" s="257">
        <f t="shared" si="0"/>
        <v>1895812.2237499999</v>
      </c>
      <c r="X4" s="257">
        <f t="shared" si="0"/>
        <v>1906947.52</v>
      </c>
      <c r="Y4" s="257">
        <f t="shared" si="0"/>
        <v>1918633.7162500001</v>
      </c>
      <c r="Z4" s="257">
        <f t="shared" si="0"/>
        <v>1930905.1125</v>
      </c>
      <c r="AA4" s="257">
        <f t="shared" si="0"/>
        <v>1943783.1587499999</v>
      </c>
      <c r="AB4" s="257">
        <f t="shared" si="0"/>
        <v>1957301.8049999999</v>
      </c>
      <c r="AC4" s="257">
        <f t="shared" si="0"/>
        <v>3986075.7512500002</v>
      </c>
      <c r="AD4" s="257">
        <f t="shared" si="0"/>
        <v>4000971.6475</v>
      </c>
      <c r="AE4" s="257">
        <f t="shared" si="0"/>
        <v>4016617.0437500002</v>
      </c>
      <c r="AF4" s="257">
        <f t="shared" si="0"/>
        <v>4033036.64</v>
      </c>
      <c r="AG4" s="257">
        <f t="shared" si="0"/>
        <v>4050274.9862500001</v>
      </c>
      <c r="AH4" s="269">
        <f>SUM(F4:AG4)</f>
        <v>55831509.004999995</v>
      </c>
    </row>
    <row r="5" spans="1:35" s="93" customFormat="1" ht="19">
      <c r="A5" s="76"/>
      <c r="B5" s="360" t="str">
        <f>B32</f>
        <v>Стоимость инфры</v>
      </c>
      <c r="C5" s="132"/>
      <c r="E5" s="77" t="s">
        <v>71</v>
      </c>
      <c r="F5" s="285">
        <f>F32</f>
        <v>528733.19999999995</v>
      </c>
      <c r="G5" s="285">
        <f t="shared" ref="G5:AG5" si="1">G32</f>
        <v>528733.19999999995</v>
      </c>
      <c r="H5" s="285">
        <f t="shared" si="1"/>
        <v>528733.19999999995</v>
      </c>
      <c r="I5" s="285">
        <f t="shared" si="1"/>
        <v>528733.19999999995</v>
      </c>
      <c r="J5" s="285">
        <f t="shared" si="1"/>
        <v>528733.19999999995</v>
      </c>
      <c r="K5" s="285">
        <f t="shared" si="1"/>
        <v>528733.19999999995</v>
      </c>
      <c r="L5" s="285">
        <f t="shared" si="1"/>
        <v>528733.19999999995</v>
      </c>
      <c r="M5" s="285">
        <f t="shared" si="1"/>
        <v>528733.19999999995</v>
      </c>
      <c r="N5" s="285">
        <f t="shared" si="1"/>
        <v>528733.19999999995</v>
      </c>
      <c r="O5" s="285">
        <f t="shared" si="1"/>
        <v>528733.19999999995</v>
      </c>
      <c r="P5" s="285">
        <f t="shared" si="1"/>
        <v>528733.19999999995</v>
      </c>
      <c r="Q5" s="285">
        <f t="shared" si="1"/>
        <v>528733.19999999995</v>
      </c>
      <c r="R5" s="285">
        <f t="shared" si="1"/>
        <v>528733.19999999995</v>
      </c>
      <c r="S5" s="285">
        <f t="shared" si="1"/>
        <v>528733.19999999995</v>
      </c>
      <c r="T5" s="285">
        <f t="shared" si="1"/>
        <v>528733.19999999995</v>
      </c>
      <c r="U5" s="285">
        <f t="shared" si="1"/>
        <v>528733.19999999995</v>
      </c>
      <c r="V5" s="285">
        <f t="shared" si="1"/>
        <v>528733.19999999995</v>
      </c>
      <c r="W5" s="285">
        <f t="shared" si="1"/>
        <v>528733.19999999995</v>
      </c>
      <c r="X5" s="285">
        <f t="shared" si="1"/>
        <v>528733.19999999995</v>
      </c>
      <c r="Y5" s="285">
        <f t="shared" si="1"/>
        <v>528733.19999999995</v>
      </c>
      <c r="Z5" s="285">
        <f t="shared" si="1"/>
        <v>528733.19999999995</v>
      </c>
      <c r="AA5" s="285">
        <f t="shared" si="1"/>
        <v>528733.19999999995</v>
      </c>
      <c r="AB5" s="285">
        <f t="shared" si="1"/>
        <v>528733.19999999995</v>
      </c>
      <c r="AC5" s="285">
        <f t="shared" si="1"/>
        <v>528733.19999999995</v>
      </c>
      <c r="AD5" s="285">
        <f t="shared" si="1"/>
        <v>528733.19999999995</v>
      </c>
      <c r="AE5" s="285">
        <f t="shared" si="1"/>
        <v>528733.19999999995</v>
      </c>
      <c r="AF5" s="285">
        <f t="shared" si="1"/>
        <v>528733.19999999995</v>
      </c>
      <c r="AG5" s="285">
        <f t="shared" si="1"/>
        <v>528733.19999999995</v>
      </c>
      <c r="AH5" s="79">
        <f t="shared" ref="AH5:AH6" si="2">SUM(F5:AG5)</f>
        <v>14804529.599999992</v>
      </c>
    </row>
    <row r="6" spans="1:35" s="93" customFormat="1" ht="19">
      <c r="A6" s="76"/>
      <c r="B6" s="360" t="str">
        <f>B33</f>
        <v>MachPanel</v>
      </c>
      <c r="C6" s="132"/>
      <c r="E6" s="77" t="s">
        <v>71</v>
      </c>
      <c r="F6" s="285">
        <f>F33</f>
        <v>503646</v>
      </c>
      <c r="G6" s="285">
        <f t="shared" ref="G6:AG6" si="3">G33</f>
        <v>503646</v>
      </c>
      <c r="H6" s="285">
        <f t="shared" si="3"/>
        <v>503646</v>
      </c>
      <c r="I6" s="285">
        <f t="shared" si="3"/>
        <v>503646</v>
      </c>
      <c r="J6" s="285">
        <f t="shared" si="3"/>
        <v>503646</v>
      </c>
      <c r="K6" s="285">
        <f t="shared" si="3"/>
        <v>503646</v>
      </c>
      <c r="L6" s="285">
        <f t="shared" si="3"/>
        <v>503646</v>
      </c>
      <c r="M6" s="285">
        <f t="shared" si="3"/>
        <v>503646</v>
      </c>
      <c r="N6" s="285">
        <f t="shared" si="3"/>
        <v>503646</v>
      </c>
      <c r="O6" s="285">
        <f t="shared" si="3"/>
        <v>503646</v>
      </c>
      <c r="P6" s="285">
        <f t="shared" si="3"/>
        <v>503646</v>
      </c>
      <c r="Q6" s="285">
        <f t="shared" si="3"/>
        <v>503646</v>
      </c>
      <c r="R6" s="285">
        <f t="shared" si="3"/>
        <v>503646</v>
      </c>
      <c r="S6" s="285">
        <f t="shared" si="3"/>
        <v>1007292</v>
      </c>
      <c r="T6" s="285">
        <f t="shared" si="3"/>
        <v>1007292</v>
      </c>
      <c r="U6" s="285">
        <f t="shared" si="3"/>
        <v>1007292</v>
      </c>
      <c r="V6" s="285">
        <f t="shared" si="3"/>
        <v>1007292</v>
      </c>
      <c r="W6" s="285">
        <f t="shared" si="3"/>
        <v>1007292</v>
      </c>
      <c r="X6" s="285">
        <f t="shared" si="3"/>
        <v>1007292</v>
      </c>
      <c r="Y6" s="285">
        <f t="shared" si="3"/>
        <v>1007292</v>
      </c>
      <c r="Z6" s="285">
        <f t="shared" si="3"/>
        <v>1007292</v>
      </c>
      <c r="AA6" s="285">
        <f t="shared" si="3"/>
        <v>1007292</v>
      </c>
      <c r="AB6" s="285">
        <f t="shared" si="3"/>
        <v>1007292</v>
      </c>
      <c r="AC6" s="285">
        <f t="shared" si="3"/>
        <v>3021876</v>
      </c>
      <c r="AD6" s="285">
        <f t="shared" si="3"/>
        <v>3021876</v>
      </c>
      <c r="AE6" s="285">
        <f t="shared" si="3"/>
        <v>3021876</v>
      </c>
      <c r="AF6" s="285">
        <f t="shared" si="3"/>
        <v>3021876</v>
      </c>
      <c r="AG6" s="285">
        <f t="shared" si="3"/>
        <v>3021876</v>
      </c>
      <c r="AH6" s="79">
        <f t="shared" si="2"/>
        <v>31729698</v>
      </c>
    </row>
    <row r="7" spans="1:35" s="93" customFormat="1" ht="19">
      <c r="A7" s="76"/>
      <c r="B7" s="133" t="s">
        <v>116</v>
      </c>
      <c r="C7" s="133"/>
      <c r="D7" s="76"/>
      <c r="E7" s="77" t="s">
        <v>71</v>
      </c>
      <c r="F7" s="78">
        <f>F44</f>
        <v>0</v>
      </c>
      <c r="G7" s="78">
        <f>G44</f>
        <v>0</v>
      </c>
      <c r="H7" s="78">
        <f>H44</f>
        <v>0</v>
      </c>
      <c r="I7" s="78">
        <f t="shared" ref="I7:AG7" si="4">I44</f>
        <v>0</v>
      </c>
      <c r="J7" s="78">
        <f t="shared" si="4"/>
        <v>0</v>
      </c>
      <c r="K7" s="78">
        <f t="shared" si="4"/>
        <v>0</v>
      </c>
      <c r="L7" s="78">
        <f t="shared" si="4"/>
        <v>0</v>
      </c>
      <c r="M7" s="78">
        <f t="shared" si="4"/>
        <v>0</v>
      </c>
      <c r="N7" s="78">
        <f t="shared" si="4"/>
        <v>0</v>
      </c>
      <c r="O7" s="78">
        <f t="shared" si="4"/>
        <v>0</v>
      </c>
      <c r="P7" s="78">
        <f t="shared" si="4"/>
        <v>0</v>
      </c>
      <c r="Q7" s="78">
        <f t="shared" si="4"/>
        <v>0</v>
      </c>
      <c r="R7" s="78">
        <f t="shared" si="4"/>
        <v>0</v>
      </c>
      <c r="S7" s="78">
        <f t="shared" si="4"/>
        <v>0</v>
      </c>
      <c r="T7" s="78">
        <f t="shared" si="4"/>
        <v>0</v>
      </c>
      <c r="U7" s="78">
        <f t="shared" si="4"/>
        <v>0</v>
      </c>
      <c r="V7" s="78">
        <f t="shared" si="4"/>
        <v>0</v>
      </c>
      <c r="W7" s="78">
        <f t="shared" si="4"/>
        <v>0</v>
      </c>
      <c r="X7" s="78">
        <f t="shared" si="4"/>
        <v>0</v>
      </c>
      <c r="Y7" s="78">
        <f t="shared" si="4"/>
        <v>0</v>
      </c>
      <c r="Z7" s="78">
        <f t="shared" si="4"/>
        <v>0</v>
      </c>
      <c r="AA7" s="78">
        <f t="shared" si="4"/>
        <v>0</v>
      </c>
      <c r="AB7" s="78">
        <f t="shared" si="4"/>
        <v>0</v>
      </c>
      <c r="AC7" s="78">
        <f t="shared" si="4"/>
        <v>0</v>
      </c>
      <c r="AD7" s="78">
        <f t="shared" si="4"/>
        <v>0</v>
      </c>
      <c r="AE7" s="78">
        <f t="shared" si="4"/>
        <v>0</v>
      </c>
      <c r="AF7" s="78">
        <f t="shared" si="4"/>
        <v>0</v>
      </c>
      <c r="AG7" s="78">
        <f t="shared" si="4"/>
        <v>0</v>
      </c>
      <c r="AH7" s="79">
        <f t="shared" ref="AH7:AH15" si="5">SUM(F7:AG7)</f>
        <v>0</v>
      </c>
    </row>
    <row r="8" spans="1:35" s="93" customFormat="1" ht="19">
      <c r="A8" s="76"/>
      <c r="B8" s="133" t="s">
        <v>131</v>
      </c>
      <c r="C8" s="133"/>
      <c r="D8" s="278">
        <f>Осн.положения!D11</f>
        <v>0.1</v>
      </c>
      <c r="E8" s="77" t="s">
        <v>71</v>
      </c>
      <c r="F8" s="78">
        <f>Доходы!G15*$D$8</f>
        <v>97981.387500000012</v>
      </c>
      <c r="G8" s="78">
        <f>Доходы!H15*$D$8</f>
        <v>102855.58375000001</v>
      </c>
      <c r="H8" s="78">
        <f>Доходы!I15*$D$8</f>
        <v>107984.78000000001</v>
      </c>
      <c r="I8" s="78">
        <f>Доходы!J15*$D$8</f>
        <v>113359.72625000001</v>
      </c>
      <c r="J8" s="78">
        <f>Доходы!K15*$D$8</f>
        <v>119012.12250000001</v>
      </c>
      <c r="K8" s="78">
        <f>Доходы!L15*$D$8</f>
        <v>124937.96875</v>
      </c>
      <c r="L8" s="78">
        <f>Доходы!M15*$D$8</f>
        <v>131161.715</v>
      </c>
      <c r="M8" s="78">
        <f>Доходы!N15*$D$8</f>
        <v>137703.46125000002</v>
      </c>
      <c r="N8" s="78">
        <f>Доходы!O15*$D$8</f>
        <v>144546.35750000001</v>
      </c>
      <c r="O8" s="78">
        <f>Доходы!P15*$D$8</f>
        <v>151743.90375000003</v>
      </c>
      <c r="P8" s="78">
        <f>Доходы!Q15*$D$8</f>
        <v>159302</v>
      </c>
      <c r="Q8" s="78">
        <f>Доходы!R15*$D$8</f>
        <v>167224.59625</v>
      </c>
      <c r="R8" s="78">
        <f>Доходы!S15*$D$8</f>
        <v>175535.79250000001</v>
      </c>
      <c r="S8" s="78">
        <f>Доходы!T15*$D$8</f>
        <v>184270.88875000001</v>
      </c>
      <c r="T8" s="78">
        <f>Доходы!U15*$D$8</f>
        <v>193437.13500000001</v>
      </c>
      <c r="U8" s="78">
        <f>Доходы!V15*$D$8</f>
        <v>203061.58125000002</v>
      </c>
      <c r="V8" s="78">
        <f>Доходы!W17*$D$8</f>
        <v>0</v>
      </c>
      <c r="W8" s="78">
        <f>Доходы!X15*$D$8</f>
        <v>223787.02374999999</v>
      </c>
      <c r="X8" s="78">
        <f>Доходы!Y15*$D$8</f>
        <v>234922.32000000004</v>
      </c>
      <c r="Y8" s="78">
        <f>Доходы!Z15*$D$8</f>
        <v>246608.51625000002</v>
      </c>
      <c r="Z8" s="78">
        <f>Доходы!AA15*$D$8</f>
        <v>258879.91250000001</v>
      </c>
      <c r="AA8" s="78">
        <f>Доходы!AB15*$D$8</f>
        <v>271757.95874999999</v>
      </c>
      <c r="AB8" s="78">
        <f>Доходы!AC15*$D$8</f>
        <v>285276.60499999998</v>
      </c>
      <c r="AC8" s="78">
        <f>Доходы!AD15*$D$8</f>
        <v>299466.55125000002</v>
      </c>
      <c r="AD8" s="78">
        <f>Доходы!AE15*$D$8</f>
        <v>314362.44750000001</v>
      </c>
      <c r="AE8" s="78">
        <f>Доходы!AF15*$D$8</f>
        <v>330007.84375</v>
      </c>
      <c r="AF8" s="78">
        <f>Доходы!AG15*$D$8</f>
        <v>346427.44</v>
      </c>
      <c r="AG8" s="78">
        <f>Доходы!AH15*$D$8</f>
        <v>363665.78625</v>
      </c>
      <c r="AH8" s="79">
        <f t="shared" si="5"/>
        <v>5489281.4050000003</v>
      </c>
    </row>
    <row r="9" spans="1:35" s="93" customFormat="1" ht="19">
      <c r="A9" s="76"/>
      <c r="B9" s="133" t="s">
        <v>66</v>
      </c>
      <c r="C9" s="133"/>
      <c r="D9" s="76"/>
      <c r="E9" s="77" t="s">
        <v>71</v>
      </c>
      <c r="F9" s="368">
        <f t="shared" ref="F9:AG9" si="6">SUM(F10:F13)*3</f>
        <v>102000</v>
      </c>
      <c r="G9" s="368">
        <f t="shared" si="6"/>
        <v>102000</v>
      </c>
      <c r="H9" s="368">
        <f t="shared" si="6"/>
        <v>102000</v>
      </c>
      <c r="I9" s="368">
        <f t="shared" si="6"/>
        <v>102000</v>
      </c>
      <c r="J9" s="368">
        <f t="shared" si="6"/>
        <v>102000</v>
      </c>
      <c r="K9" s="368">
        <f t="shared" si="6"/>
        <v>102000</v>
      </c>
      <c r="L9" s="368">
        <f t="shared" si="6"/>
        <v>102000</v>
      </c>
      <c r="M9" s="368">
        <f t="shared" si="6"/>
        <v>102000</v>
      </c>
      <c r="N9" s="368">
        <f t="shared" si="6"/>
        <v>102000</v>
      </c>
      <c r="O9" s="368">
        <f t="shared" si="6"/>
        <v>102000</v>
      </c>
      <c r="P9" s="368">
        <f t="shared" si="6"/>
        <v>102000</v>
      </c>
      <c r="Q9" s="368">
        <f t="shared" si="6"/>
        <v>102000</v>
      </c>
      <c r="R9" s="368">
        <f t="shared" si="6"/>
        <v>102000</v>
      </c>
      <c r="S9" s="368">
        <f t="shared" si="6"/>
        <v>102000</v>
      </c>
      <c r="T9" s="368">
        <f t="shared" si="6"/>
        <v>102000</v>
      </c>
      <c r="U9" s="368">
        <f t="shared" si="6"/>
        <v>102000</v>
      </c>
      <c r="V9" s="368">
        <f t="shared" si="6"/>
        <v>102000</v>
      </c>
      <c r="W9" s="368">
        <f t="shared" si="6"/>
        <v>102000</v>
      </c>
      <c r="X9" s="368">
        <f t="shared" si="6"/>
        <v>102000</v>
      </c>
      <c r="Y9" s="368">
        <f t="shared" si="6"/>
        <v>102000</v>
      </c>
      <c r="Z9" s="368">
        <f t="shared" si="6"/>
        <v>102000</v>
      </c>
      <c r="AA9" s="368">
        <f t="shared" si="6"/>
        <v>102000</v>
      </c>
      <c r="AB9" s="368">
        <f t="shared" si="6"/>
        <v>102000</v>
      </c>
      <c r="AC9" s="368">
        <f t="shared" si="6"/>
        <v>102000</v>
      </c>
      <c r="AD9" s="368">
        <f t="shared" si="6"/>
        <v>102000</v>
      </c>
      <c r="AE9" s="368">
        <f t="shared" si="6"/>
        <v>102000</v>
      </c>
      <c r="AF9" s="368">
        <f t="shared" si="6"/>
        <v>102000</v>
      </c>
      <c r="AG9" s="368">
        <f t="shared" si="6"/>
        <v>102000</v>
      </c>
      <c r="AH9" s="79">
        <f t="shared" si="5"/>
        <v>2856000</v>
      </c>
    </row>
    <row r="10" spans="1:35" s="93" customFormat="1" ht="19">
      <c r="A10" s="76"/>
      <c r="B10" s="133" t="s">
        <v>175</v>
      </c>
      <c r="C10" s="367">
        <v>0</v>
      </c>
      <c r="D10" s="366">
        <v>0.1</v>
      </c>
      <c r="E10" s="77" t="s">
        <v>71</v>
      </c>
      <c r="F10" s="78">
        <f>D10*C10</f>
        <v>0</v>
      </c>
      <c r="G10" s="78">
        <f>$F$10</f>
        <v>0</v>
      </c>
      <c r="H10" s="78">
        <f t="shared" ref="H10:AG10" si="7">$F$10</f>
        <v>0</v>
      </c>
      <c r="I10" s="78">
        <f t="shared" si="7"/>
        <v>0</v>
      </c>
      <c r="J10" s="78">
        <f t="shared" si="7"/>
        <v>0</v>
      </c>
      <c r="K10" s="78">
        <f t="shared" si="7"/>
        <v>0</v>
      </c>
      <c r="L10" s="78">
        <f t="shared" si="7"/>
        <v>0</v>
      </c>
      <c r="M10" s="78">
        <f t="shared" si="7"/>
        <v>0</v>
      </c>
      <c r="N10" s="78">
        <f t="shared" si="7"/>
        <v>0</v>
      </c>
      <c r="O10" s="78">
        <f t="shared" si="7"/>
        <v>0</v>
      </c>
      <c r="P10" s="78">
        <f t="shared" si="7"/>
        <v>0</v>
      </c>
      <c r="Q10" s="78">
        <f t="shared" si="7"/>
        <v>0</v>
      </c>
      <c r="R10" s="78">
        <f t="shared" si="7"/>
        <v>0</v>
      </c>
      <c r="S10" s="78">
        <f t="shared" si="7"/>
        <v>0</v>
      </c>
      <c r="T10" s="78">
        <f t="shared" si="7"/>
        <v>0</v>
      </c>
      <c r="U10" s="78">
        <f t="shared" si="7"/>
        <v>0</v>
      </c>
      <c r="V10" s="78">
        <f t="shared" si="7"/>
        <v>0</v>
      </c>
      <c r="W10" s="78">
        <f t="shared" si="7"/>
        <v>0</v>
      </c>
      <c r="X10" s="78">
        <f t="shared" si="7"/>
        <v>0</v>
      </c>
      <c r="Y10" s="78">
        <f t="shared" si="7"/>
        <v>0</v>
      </c>
      <c r="Z10" s="78">
        <f t="shared" si="7"/>
        <v>0</v>
      </c>
      <c r="AA10" s="78">
        <f t="shared" si="7"/>
        <v>0</v>
      </c>
      <c r="AB10" s="78">
        <f t="shared" si="7"/>
        <v>0</v>
      </c>
      <c r="AC10" s="78">
        <f t="shared" si="7"/>
        <v>0</v>
      </c>
      <c r="AD10" s="78">
        <f t="shared" si="7"/>
        <v>0</v>
      </c>
      <c r="AE10" s="78">
        <f t="shared" si="7"/>
        <v>0</v>
      </c>
      <c r="AF10" s="78">
        <f t="shared" si="7"/>
        <v>0</v>
      </c>
      <c r="AG10" s="78">
        <f t="shared" si="7"/>
        <v>0</v>
      </c>
      <c r="AH10" s="79">
        <f t="shared" si="5"/>
        <v>0</v>
      </c>
    </row>
    <row r="11" spans="1:35" ht="19">
      <c r="A11" s="76"/>
      <c r="B11" s="133" t="s">
        <v>176</v>
      </c>
      <c r="C11" s="367">
        <v>0</v>
      </c>
      <c r="D11" s="366">
        <v>0.3</v>
      </c>
      <c r="E11" s="77" t="s">
        <v>71</v>
      </c>
      <c r="F11" s="78">
        <f>D11*C11</f>
        <v>0</v>
      </c>
      <c r="G11" s="78">
        <f>$F$11</f>
        <v>0</v>
      </c>
      <c r="H11" s="78">
        <f t="shared" ref="H11:AG11" si="8">$F$11</f>
        <v>0</v>
      </c>
      <c r="I11" s="78">
        <f t="shared" si="8"/>
        <v>0</v>
      </c>
      <c r="J11" s="78">
        <f t="shared" si="8"/>
        <v>0</v>
      </c>
      <c r="K11" s="78">
        <f t="shared" si="8"/>
        <v>0</v>
      </c>
      <c r="L11" s="78">
        <f t="shared" si="8"/>
        <v>0</v>
      </c>
      <c r="M11" s="78">
        <f t="shared" si="8"/>
        <v>0</v>
      </c>
      <c r="N11" s="78">
        <f t="shared" si="8"/>
        <v>0</v>
      </c>
      <c r="O11" s="78">
        <f t="shared" si="8"/>
        <v>0</v>
      </c>
      <c r="P11" s="78">
        <f t="shared" si="8"/>
        <v>0</v>
      </c>
      <c r="Q11" s="78">
        <f t="shared" si="8"/>
        <v>0</v>
      </c>
      <c r="R11" s="78">
        <f t="shared" si="8"/>
        <v>0</v>
      </c>
      <c r="S11" s="78">
        <f t="shared" si="8"/>
        <v>0</v>
      </c>
      <c r="T11" s="78">
        <f t="shared" si="8"/>
        <v>0</v>
      </c>
      <c r="U11" s="78">
        <f t="shared" si="8"/>
        <v>0</v>
      </c>
      <c r="V11" s="78">
        <f t="shared" si="8"/>
        <v>0</v>
      </c>
      <c r="W11" s="78">
        <f t="shared" si="8"/>
        <v>0</v>
      </c>
      <c r="X11" s="78">
        <f t="shared" si="8"/>
        <v>0</v>
      </c>
      <c r="Y11" s="78">
        <f t="shared" si="8"/>
        <v>0</v>
      </c>
      <c r="Z11" s="78">
        <f t="shared" si="8"/>
        <v>0</v>
      </c>
      <c r="AA11" s="78">
        <f t="shared" si="8"/>
        <v>0</v>
      </c>
      <c r="AB11" s="78">
        <f t="shared" si="8"/>
        <v>0</v>
      </c>
      <c r="AC11" s="78">
        <f t="shared" si="8"/>
        <v>0</v>
      </c>
      <c r="AD11" s="78">
        <f t="shared" si="8"/>
        <v>0</v>
      </c>
      <c r="AE11" s="78">
        <f t="shared" si="8"/>
        <v>0</v>
      </c>
      <c r="AF11" s="78">
        <f t="shared" si="8"/>
        <v>0</v>
      </c>
      <c r="AG11" s="78">
        <f t="shared" si="8"/>
        <v>0</v>
      </c>
      <c r="AH11" s="79">
        <f t="shared" si="5"/>
        <v>0</v>
      </c>
    </row>
    <row r="12" spans="1:35" ht="19">
      <c r="A12" s="76"/>
      <c r="B12" s="133"/>
      <c r="C12" s="367"/>
      <c r="D12" s="366"/>
      <c r="E12" s="77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9"/>
    </row>
    <row r="13" spans="1:35" ht="19">
      <c r="A13" s="76"/>
      <c r="B13" s="133" t="s">
        <v>177</v>
      </c>
      <c r="C13" s="367">
        <v>170000</v>
      </c>
      <c r="D13" s="366">
        <v>0.2</v>
      </c>
      <c r="E13" s="77" t="s">
        <v>71</v>
      </c>
      <c r="F13" s="78">
        <f>D13*C13</f>
        <v>34000</v>
      </c>
      <c r="G13" s="78">
        <f>$F$13</f>
        <v>34000</v>
      </c>
      <c r="H13" s="78">
        <f t="shared" ref="H13:AG13" si="9">$F$13</f>
        <v>34000</v>
      </c>
      <c r="I13" s="78">
        <f t="shared" si="9"/>
        <v>34000</v>
      </c>
      <c r="J13" s="78">
        <f t="shared" si="9"/>
        <v>34000</v>
      </c>
      <c r="K13" s="78">
        <f t="shared" si="9"/>
        <v>34000</v>
      </c>
      <c r="L13" s="78">
        <f t="shared" si="9"/>
        <v>34000</v>
      </c>
      <c r="M13" s="78">
        <f t="shared" si="9"/>
        <v>34000</v>
      </c>
      <c r="N13" s="78">
        <f t="shared" si="9"/>
        <v>34000</v>
      </c>
      <c r="O13" s="78">
        <f t="shared" si="9"/>
        <v>34000</v>
      </c>
      <c r="P13" s="78">
        <f t="shared" si="9"/>
        <v>34000</v>
      </c>
      <c r="Q13" s="78">
        <f t="shared" si="9"/>
        <v>34000</v>
      </c>
      <c r="R13" s="78">
        <f t="shared" si="9"/>
        <v>34000</v>
      </c>
      <c r="S13" s="78">
        <f t="shared" si="9"/>
        <v>34000</v>
      </c>
      <c r="T13" s="78">
        <f t="shared" si="9"/>
        <v>34000</v>
      </c>
      <c r="U13" s="78">
        <f t="shared" si="9"/>
        <v>34000</v>
      </c>
      <c r="V13" s="78">
        <f t="shared" si="9"/>
        <v>34000</v>
      </c>
      <c r="W13" s="78">
        <f t="shared" si="9"/>
        <v>34000</v>
      </c>
      <c r="X13" s="78">
        <f t="shared" si="9"/>
        <v>34000</v>
      </c>
      <c r="Y13" s="78">
        <f t="shared" si="9"/>
        <v>34000</v>
      </c>
      <c r="Z13" s="78">
        <f t="shared" si="9"/>
        <v>34000</v>
      </c>
      <c r="AA13" s="78">
        <f t="shared" si="9"/>
        <v>34000</v>
      </c>
      <c r="AB13" s="78">
        <f t="shared" si="9"/>
        <v>34000</v>
      </c>
      <c r="AC13" s="78">
        <f t="shared" si="9"/>
        <v>34000</v>
      </c>
      <c r="AD13" s="78">
        <f t="shared" si="9"/>
        <v>34000</v>
      </c>
      <c r="AE13" s="78">
        <f t="shared" si="9"/>
        <v>34000</v>
      </c>
      <c r="AF13" s="78">
        <f t="shared" si="9"/>
        <v>34000</v>
      </c>
      <c r="AG13" s="78">
        <f t="shared" si="9"/>
        <v>34000</v>
      </c>
      <c r="AH13" s="79">
        <f t="shared" si="5"/>
        <v>952000</v>
      </c>
    </row>
    <row r="14" spans="1:35" ht="19">
      <c r="A14" s="76"/>
      <c r="B14" s="133" t="s">
        <v>117</v>
      </c>
      <c r="C14" s="133"/>
      <c r="D14" s="76"/>
      <c r="E14" s="77" t="s">
        <v>71</v>
      </c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9">
        <f t="shared" si="5"/>
        <v>0</v>
      </c>
    </row>
    <row r="15" spans="1:35" ht="19">
      <c r="A15" s="76"/>
      <c r="B15" s="133" t="s">
        <v>118</v>
      </c>
      <c r="C15" s="133"/>
      <c r="D15" s="76"/>
      <c r="E15" s="77" t="s">
        <v>71</v>
      </c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9">
        <f t="shared" si="5"/>
        <v>0</v>
      </c>
    </row>
    <row r="16" spans="1:35" ht="19">
      <c r="A16" s="76"/>
      <c r="B16" s="133"/>
      <c r="C16" s="133"/>
      <c r="D16" s="76"/>
      <c r="E16" s="77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9"/>
    </row>
    <row r="17" spans="1:35" ht="19">
      <c r="A17" s="76"/>
      <c r="B17" s="133" t="s">
        <v>119</v>
      </c>
      <c r="C17" s="133"/>
      <c r="D17" s="76"/>
      <c r="E17" s="77" t="s">
        <v>71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9"/>
    </row>
    <row r="18" spans="1:35">
      <c r="A18" s="215"/>
      <c r="B18" s="216"/>
      <c r="C18" s="216"/>
      <c r="D18" s="216"/>
      <c r="E18" s="216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</row>
    <row r="19" spans="1:35" ht="19">
      <c r="A19" s="258"/>
      <c r="B19" s="258" t="s">
        <v>133</v>
      </c>
      <c r="C19" s="258"/>
      <c r="D19" s="258"/>
      <c r="E19" s="261"/>
      <c r="F19" s="257">
        <f>SUM(F20:F22)</f>
        <v>0</v>
      </c>
      <c r="G19" s="257">
        <f>SUM(G20:G22)</f>
        <v>0</v>
      </c>
      <c r="H19" s="257">
        <f t="shared" ref="H19:I19" si="10">SUM(H20:H22)</f>
        <v>0</v>
      </c>
      <c r="I19" s="257">
        <f t="shared" si="10"/>
        <v>0</v>
      </c>
      <c r="J19" s="257">
        <f t="shared" ref="J19" si="11">SUM(J20:J22)</f>
        <v>0</v>
      </c>
      <c r="K19" s="257">
        <f t="shared" ref="K19" si="12">SUM(K20:K22)</f>
        <v>0</v>
      </c>
      <c r="L19" s="257">
        <f t="shared" ref="L19" si="13">SUM(L20:L22)</f>
        <v>0</v>
      </c>
      <c r="M19" s="257">
        <f t="shared" ref="M19" si="14">SUM(M20:M22)</f>
        <v>0</v>
      </c>
      <c r="N19" s="257">
        <f t="shared" ref="N19" si="15">SUM(N20:N22)</f>
        <v>0</v>
      </c>
      <c r="O19" s="257">
        <f t="shared" ref="O19" si="16">SUM(O20:O22)</f>
        <v>0</v>
      </c>
      <c r="P19" s="257">
        <f t="shared" ref="P19" si="17">SUM(P20:P22)</f>
        <v>0</v>
      </c>
      <c r="Q19" s="257">
        <f t="shared" ref="Q19" si="18">SUM(Q20:Q22)</f>
        <v>0</v>
      </c>
      <c r="R19" s="257">
        <f t="shared" ref="R19" si="19">SUM(R20:R22)</f>
        <v>0</v>
      </c>
      <c r="S19" s="257">
        <f t="shared" ref="S19" si="20">SUM(S20:S22)</f>
        <v>0</v>
      </c>
      <c r="T19" s="257">
        <f t="shared" ref="T19" si="21">SUM(T20:T22)</f>
        <v>0</v>
      </c>
      <c r="U19" s="257">
        <f t="shared" ref="U19" si="22">SUM(U20:U22)</f>
        <v>0</v>
      </c>
      <c r="V19" s="257">
        <f t="shared" ref="V19" si="23">SUM(V20:V22)</f>
        <v>0</v>
      </c>
      <c r="W19" s="257">
        <f t="shared" ref="W19" si="24">SUM(W20:W22)</f>
        <v>0</v>
      </c>
      <c r="X19" s="257">
        <f t="shared" ref="X19" si="25">SUM(X20:X22)</f>
        <v>0</v>
      </c>
      <c r="Y19" s="257">
        <f t="shared" ref="Y19" si="26">SUM(Y20:Y22)</f>
        <v>0</v>
      </c>
      <c r="Z19" s="257">
        <f t="shared" ref="Z19" si="27">SUM(Z20:Z22)</f>
        <v>0</v>
      </c>
      <c r="AA19" s="257">
        <f t="shared" ref="AA19" si="28">SUM(AA20:AA22)</f>
        <v>0</v>
      </c>
      <c r="AB19" s="257">
        <f t="shared" ref="AB19" si="29">SUM(AB20:AB22)</f>
        <v>0</v>
      </c>
      <c r="AC19" s="257">
        <f t="shared" ref="AC19" si="30">SUM(AC20:AC22)</f>
        <v>0</v>
      </c>
      <c r="AD19" s="257">
        <f t="shared" ref="AD19" si="31">SUM(AD20:AD22)</f>
        <v>0</v>
      </c>
      <c r="AE19" s="257">
        <f t="shared" ref="AE19" si="32">SUM(AE20:AE22)</f>
        <v>0</v>
      </c>
      <c r="AF19" s="257">
        <f t="shared" ref="AF19" si="33">SUM(AF20:AF22)</f>
        <v>0</v>
      </c>
      <c r="AG19" s="257">
        <f t="shared" ref="AG19" si="34">SUM(AG20:AG22)</f>
        <v>0</v>
      </c>
      <c r="AH19" s="269">
        <f>SUM(F19:AG19)</f>
        <v>0</v>
      </c>
    </row>
    <row r="20" spans="1:35" ht="19">
      <c r="A20" s="76"/>
      <c r="B20" s="133" t="s">
        <v>134</v>
      </c>
      <c r="C20" s="133"/>
      <c r="D20" s="76"/>
      <c r="E20" s="77" t="s">
        <v>71</v>
      </c>
      <c r="F20" s="78">
        <f>F57-F53</f>
        <v>0</v>
      </c>
      <c r="G20" s="78">
        <f>G57-G53</f>
        <v>0</v>
      </c>
      <c r="H20" s="78">
        <f t="shared" ref="H20:AG20" si="35">H57-H53</f>
        <v>0</v>
      </c>
      <c r="I20" s="78">
        <f t="shared" si="35"/>
        <v>0</v>
      </c>
      <c r="J20" s="78">
        <f t="shared" si="35"/>
        <v>0</v>
      </c>
      <c r="K20" s="78">
        <f t="shared" si="35"/>
        <v>0</v>
      </c>
      <c r="L20" s="78">
        <f t="shared" si="35"/>
        <v>0</v>
      </c>
      <c r="M20" s="78">
        <f t="shared" si="35"/>
        <v>0</v>
      </c>
      <c r="N20" s="78">
        <f t="shared" si="35"/>
        <v>0</v>
      </c>
      <c r="O20" s="78">
        <f t="shared" si="35"/>
        <v>0</v>
      </c>
      <c r="P20" s="78">
        <f t="shared" si="35"/>
        <v>0</v>
      </c>
      <c r="Q20" s="78">
        <f t="shared" si="35"/>
        <v>0</v>
      </c>
      <c r="R20" s="78">
        <f t="shared" si="35"/>
        <v>0</v>
      </c>
      <c r="S20" s="78">
        <f t="shared" si="35"/>
        <v>0</v>
      </c>
      <c r="T20" s="78">
        <f t="shared" si="35"/>
        <v>0</v>
      </c>
      <c r="U20" s="78">
        <f t="shared" si="35"/>
        <v>0</v>
      </c>
      <c r="V20" s="78">
        <f t="shared" si="35"/>
        <v>0</v>
      </c>
      <c r="W20" s="78">
        <f t="shared" si="35"/>
        <v>0</v>
      </c>
      <c r="X20" s="78">
        <f t="shared" si="35"/>
        <v>0</v>
      </c>
      <c r="Y20" s="78">
        <f t="shared" si="35"/>
        <v>0</v>
      </c>
      <c r="Z20" s="78">
        <f t="shared" si="35"/>
        <v>0</v>
      </c>
      <c r="AA20" s="78">
        <f t="shared" si="35"/>
        <v>0</v>
      </c>
      <c r="AB20" s="78">
        <f t="shared" si="35"/>
        <v>0</v>
      </c>
      <c r="AC20" s="78">
        <f t="shared" si="35"/>
        <v>0</v>
      </c>
      <c r="AD20" s="78">
        <f t="shared" si="35"/>
        <v>0</v>
      </c>
      <c r="AE20" s="78">
        <f t="shared" si="35"/>
        <v>0</v>
      </c>
      <c r="AF20" s="78">
        <f t="shared" si="35"/>
        <v>0</v>
      </c>
      <c r="AG20" s="78">
        <f t="shared" si="35"/>
        <v>0</v>
      </c>
      <c r="AH20" s="79">
        <f>SUM(F20:AG20)</f>
        <v>0</v>
      </c>
    </row>
    <row r="21" spans="1:35" ht="19">
      <c r="A21" s="76"/>
      <c r="B21" s="133" t="s">
        <v>141</v>
      </c>
      <c r="C21" s="133"/>
      <c r="D21" s="76"/>
      <c r="E21" s="77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9">
        <f>SUM(F21:AG21)</f>
        <v>0</v>
      </c>
    </row>
    <row r="22" spans="1:35" ht="19">
      <c r="A22" s="218"/>
      <c r="B22" s="219" t="s">
        <v>141</v>
      </c>
      <c r="C22" s="219"/>
      <c r="D22" s="218"/>
      <c r="E22" s="220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79">
        <f>SUM(F22:AG22)</f>
        <v>0</v>
      </c>
    </row>
    <row r="23" spans="1:35" ht="19">
      <c r="A23" s="76"/>
      <c r="B23" s="133"/>
      <c r="C23" s="133"/>
      <c r="D23" s="76"/>
      <c r="E23" s="77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</row>
    <row r="24" spans="1:35" s="93" customFormat="1" ht="23.25" customHeight="1">
      <c r="A24" s="258"/>
      <c r="B24" s="258" t="s">
        <v>113</v>
      </c>
      <c r="C24" s="258"/>
      <c r="D24" s="258"/>
      <c r="E24" s="258" t="s">
        <v>71</v>
      </c>
      <c r="F24" s="258">
        <f t="shared" ref="F24:AG24" si="36">SUM(F4,F19)</f>
        <v>1266360.5874999999</v>
      </c>
      <c r="G24" s="258">
        <f t="shared" si="36"/>
        <v>1271234.7837499999</v>
      </c>
      <c r="H24" s="258">
        <f t="shared" si="36"/>
        <v>1276363.98</v>
      </c>
      <c r="I24" s="258">
        <f t="shared" si="36"/>
        <v>1281738.92625</v>
      </c>
      <c r="J24" s="258">
        <f t="shared" si="36"/>
        <v>1287391.3225</v>
      </c>
      <c r="K24" s="258">
        <f t="shared" si="36"/>
        <v>1293317.16875</v>
      </c>
      <c r="L24" s="258">
        <f t="shared" si="36"/>
        <v>1299540.915</v>
      </c>
      <c r="M24" s="258">
        <f t="shared" si="36"/>
        <v>1306082.6612499999</v>
      </c>
      <c r="N24" s="258">
        <f t="shared" si="36"/>
        <v>1312925.5574999999</v>
      </c>
      <c r="O24" s="258">
        <f t="shared" si="36"/>
        <v>1320123.10375</v>
      </c>
      <c r="P24" s="258">
        <f t="shared" si="36"/>
        <v>1327681.2</v>
      </c>
      <c r="Q24" s="258">
        <f t="shared" si="36"/>
        <v>1335603.7962499999</v>
      </c>
      <c r="R24" s="258">
        <f t="shared" si="36"/>
        <v>1343914.9924999999</v>
      </c>
      <c r="S24" s="258">
        <f t="shared" si="36"/>
        <v>1856296.0887499999</v>
      </c>
      <c r="T24" s="258">
        <f t="shared" si="36"/>
        <v>1865462.335</v>
      </c>
      <c r="U24" s="258">
        <f t="shared" si="36"/>
        <v>1875086.78125</v>
      </c>
      <c r="V24" s="258">
        <f t="shared" si="36"/>
        <v>1672025.2</v>
      </c>
      <c r="W24" s="258">
        <f t="shared" si="36"/>
        <v>1895812.2237499999</v>
      </c>
      <c r="X24" s="258">
        <f t="shared" si="36"/>
        <v>1906947.52</v>
      </c>
      <c r="Y24" s="258">
        <f t="shared" si="36"/>
        <v>1918633.7162500001</v>
      </c>
      <c r="Z24" s="258">
        <f t="shared" si="36"/>
        <v>1930905.1125</v>
      </c>
      <c r="AA24" s="258">
        <f t="shared" si="36"/>
        <v>1943783.1587499999</v>
      </c>
      <c r="AB24" s="258">
        <f t="shared" si="36"/>
        <v>1957301.8049999999</v>
      </c>
      <c r="AC24" s="258">
        <f t="shared" si="36"/>
        <v>3986075.7512500002</v>
      </c>
      <c r="AD24" s="258">
        <f t="shared" si="36"/>
        <v>4000971.6475</v>
      </c>
      <c r="AE24" s="258">
        <f t="shared" si="36"/>
        <v>4016617.0437500002</v>
      </c>
      <c r="AF24" s="258">
        <f t="shared" si="36"/>
        <v>4033036.64</v>
      </c>
      <c r="AG24" s="258">
        <f t="shared" si="36"/>
        <v>4050274.9862500001</v>
      </c>
      <c r="AH24" s="258">
        <f>SUM(F24:AG24)</f>
        <v>55831509.004999995</v>
      </c>
    </row>
    <row r="27" spans="1:35"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</row>
    <row r="28" spans="1:35">
      <c r="B28" s="214"/>
      <c r="C28" s="214"/>
      <c r="F28" s="406"/>
      <c r="G28" s="406"/>
      <c r="H28" s="406"/>
      <c r="I28" s="406"/>
      <c r="J28" s="406"/>
      <c r="K28" s="406"/>
      <c r="L28" s="406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  <c r="AA28" s="406"/>
      <c r="AB28" s="406"/>
      <c r="AC28" s="406"/>
      <c r="AD28" s="406"/>
      <c r="AE28" s="406"/>
      <c r="AF28" s="406"/>
      <c r="AG28" s="406"/>
    </row>
    <row r="30" spans="1:35" s="85" customFormat="1" ht="70.5" customHeight="1">
      <c r="B30" s="222" t="s">
        <v>138</v>
      </c>
      <c r="C30" s="222"/>
      <c r="D30" s="290" t="s">
        <v>166</v>
      </c>
      <c r="E30" s="291" t="s">
        <v>168</v>
      </c>
      <c r="F30" s="292">
        <f>Доходы!G16</f>
        <v>0.2</v>
      </c>
      <c r="G30" s="292">
        <f>Доходы!H16</f>
        <v>0.35</v>
      </c>
      <c r="H30" s="292">
        <f>Доходы!I16</f>
        <v>0.4</v>
      </c>
      <c r="I30" s="292">
        <f>Доходы!J16</f>
        <v>0.45</v>
      </c>
      <c r="J30" s="292">
        <f>Доходы!K16</f>
        <v>0.5</v>
      </c>
      <c r="K30" s="292">
        <f>Доходы!L16</f>
        <v>0.55000000000000004</v>
      </c>
      <c r="L30" s="292">
        <f>Доходы!M16</f>
        <v>0.6</v>
      </c>
      <c r="M30" s="292">
        <f>Доходы!N16</f>
        <v>0.65</v>
      </c>
      <c r="N30" s="292">
        <f>Доходы!O16</f>
        <v>0.7</v>
      </c>
      <c r="O30" s="292">
        <f>Доходы!P16</f>
        <v>0.75</v>
      </c>
      <c r="P30" s="292">
        <f>Доходы!Q16</f>
        <v>0.8</v>
      </c>
      <c r="Q30" s="292">
        <f>Доходы!R16</f>
        <v>0.85</v>
      </c>
      <c r="R30" s="292">
        <f>Доходы!S16</f>
        <v>0.9</v>
      </c>
      <c r="S30" s="292">
        <f>Доходы!T16</f>
        <v>0.05</v>
      </c>
      <c r="T30" s="292">
        <f>Доходы!U16</f>
        <v>0.1</v>
      </c>
      <c r="U30" s="292">
        <f>Доходы!V16</f>
        <v>0.15</v>
      </c>
      <c r="V30" s="292">
        <f>Доходы!W16</f>
        <v>0.2</v>
      </c>
      <c r="W30" s="292">
        <f>Доходы!X16</f>
        <v>0.25</v>
      </c>
      <c r="X30" s="292">
        <f>Доходы!Y16</f>
        <v>0.3</v>
      </c>
      <c r="Y30" s="292">
        <f>Доходы!Z16</f>
        <v>0.35</v>
      </c>
      <c r="Z30" s="292">
        <f>Доходы!AA16</f>
        <v>0.4</v>
      </c>
      <c r="AA30" s="292">
        <f>Доходы!AB16</f>
        <v>0.45</v>
      </c>
      <c r="AB30" s="292">
        <f>Доходы!AC16</f>
        <v>0.5</v>
      </c>
      <c r="AC30" s="292">
        <f>Доходы!AD16</f>
        <v>0.55000000000000004</v>
      </c>
      <c r="AD30" s="292">
        <f>Доходы!AE16</f>
        <v>0.6</v>
      </c>
      <c r="AE30" s="292">
        <f>Доходы!AF16</f>
        <v>0.65</v>
      </c>
      <c r="AF30" s="292">
        <f>Доходы!AG16</f>
        <v>0.7</v>
      </c>
      <c r="AG30" s="292">
        <f>Доходы!AH16</f>
        <v>0.75</v>
      </c>
    </row>
    <row r="31" spans="1:35" s="85" customFormat="1" ht="32">
      <c r="B31" s="327"/>
      <c r="C31" s="327" t="s">
        <v>2</v>
      </c>
      <c r="D31" s="328" t="s">
        <v>102</v>
      </c>
      <c r="E31" s="326" t="s">
        <v>99</v>
      </c>
      <c r="F31" s="197" t="str">
        <f t="shared" ref="F31:AH31" si="37">F2</f>
        <v>3Q22</v>
      </c>
      <c r="G31" s="197" t="str">
        <f t="shared" si="37"/>
        <v>4Q22</v>
      </c>
      <c r="H31" s="197" t="str">
        <f t="shared" si="37"/>
        <v>1Q23</v>
      </c>
      <c r="I31" s="197" t="str">
        <f t="shared" si="37"/>
        <v>2Q23</v>
      </c>
      <c r="J31" s="197" t="str">
        <f t="shared" si="37"/>
        <v>3Q23</v>
      </c>
      <c r="K31" s="197" t="str">
        <f t="shared" si="37"/>
        <v>4Q23</v>
      </c>
      <c r="L31" s="197" t="str">
        <f t="shared" si="37"/>
        <v>1Q24</v>
      </c>
      <c r="M31" s="197" t="str">
        <f t="shared" si="37"/>
        <v>2Q24</v>
      </c>
      <c r="N31" s="197" t="str">
        <f t="shared" si="37"/>
        <v>3Q24</v>
      </c>
      <c r="O31" s="197" t="str">
        <f t="shared" si="37"/>
        <v>4Q24</v>
      </c>
      <c r="P31" s="197" t="str">
        <f t="shared" si="37"/>
        <v>1Q25</v>
      </c>
      <c r="Q31" s="197" t="str">
        <f t="shared" si="37"/>
        <v>2Q25</v>
      </c>
      <c r="R31" s="197" t="str">
        <f t="shared" si="37"/>
        <v>3Q25</v>
      </c>
      <c r="S31" s="197" t="str">
        <f t="shared" si="37"/>
        <v>4Q25</v>
      </c>
      <c r="T31" s="197" t="str">
        <f t="shared" si="37"/>
        <v>1Q26</v>
      </c>
      <c r="U31" s="197" t="str">
        <f t="shared" si="37"/>
        <v>2Q26</v>
      </c>
      <c r="V31" s="197" t="str">
        <f t="shared" si="37"/>
        <v>3Q26</v>
      </c>
      <c r="W31" s="197" t="str">
        <f t="shared" si="37"/>
        <v>4Q26</v>
      </c>
      <c r="X31" s="197" t="str">
        <f t="shared" si="37"/>
        <v>1Q27</v>
      </c>
      <c r="Y31" s="197" t="str">
        <f t="shared" si="37"/>
        <v>2Q27</v>
      </c>
      <c r="Z31" s="197" t="str">
        <f t="shared" si="37"/>
        <v>3Q27</v>
      </c>
      <c r="AA31" s="197" t="str">
        <f t="shared" si="37"/>
        <v>4Q27</v>
      </c>
      <c r="AB31" s="197" t="str">
        <f t="shared" si="37"/>
        <v>1Q28</v>
      </c>
      <c r="AC31" s="197" t="str">
        <f t="shared" si="37"/>
        <v>2Q28</v>
      </c>
      <c r="AD31" s="197" t="str">
        <f t="shared" si="37"/>
        <v>3Q28</v>
      </c>
      <c r="AE31" s="197" t="str">
        <f t="shared" si="37"/>
        <v>4Q28</v>
      </c>
      <c r="AF31" s="197" t="str">
        <f t="shared" si="37"/>
        <v>1Q29</v>
      </c>
      <c r="AG31" s="197" t="str">
        <f t="shared" si="37"/>
        <v>2Q29</v>
      </c>
      <c r="AH31" s="197" t="str">
        <f t="shared" si="37"/>
        <v>Итого по проекту</v>
      </c>
    </row>
    <row r="32" spans="1:35" s="85" customFormat="1" ht="15" customHeight="1">
      <c r="B32" s="310" t="s">
        <v>238</v>
      </c>
      <c r="C32" s="325"/>
      <c r="D32" s="325"/>
      <c r="E32" s="338">
        <f>'Драфт_DF Office 2.0'!C17</f>
        <v>176244.4</v>
      </c>
      <c r="F32" s="396">
        <f>$E$32*3</f>
        <v>528733.19999999995</v>
      </c>
      <c r="G32" s="396">
        <f t="shared" ref="G32:AG32" si="38">$E$32*3</f>
        <v>528733.19999999995</v>
      </c>
      <c r="H32" s="396">
        <f t="shared" si="38"/>
        <v>528733.19999999995</v>
      </c>
      <c r="I32" s="396">
        <f t="shared" si="38"/>
        <v>528733.19999999995</v>
      </c>
      <c r="J32" s="396">
        <f t="shared" si="38"/>
        <v>528733.19999999995</v>
      </c>
      <c r="K32" s="396">
        <f t="shared" si="38"/>
        <v>528733.19999999995</v>
      </c>
      <c r="L32" s="396">
        <f t="shared" si="38"/>
        <v>528733.19999999995</v>
      </c>
      <c r="M32" s="396">
        <f t="shared" si="38"/>
        <v>528733.19999999995</v>
      </c>
      <c r="N32" s="396">
        <f t="shared" si="38"/>
        <v>528733.19999999995</v>
      </c>
      <c r="O32" s="396">
        <f t="shared" si="38"/>
        <v>528733.19999999995</v>
      </c>
      <c r="P32" s="396">
        <f t="shared" si="38"/>
        <v>528733.19999999995</v>
      </c>
      <c r="Q32" s="396">
        <f t="shared" si="38"/>
        <v>528733.19999999995</v>
      </c>
      <c r="R32" s="396">
        <f t="shared" si="38"/>
        <v>528733.19999999995</v>
      </c>
      <c r="S32" s="396">
        <f t="shared" si="38"/>
        <v>528733.19999999995</v>
      </c>
      <c r="T32" s="396">
        <f t="shared" si="38"/>
        <v>528733.19999999995</v>
      </c>
      <c r="U32" s="396">
        <f t="shared" si="38"/>
        <v>528733.19999999995</v>
      </c>
      <c r="V32" s="396">
        <f t="shared" si="38"/>
        <v>528733.19999999995</v>
      </c>
      <c r="W32" s="396">
        <f t="shared" si="38"/>
        <v>528733.19999999995</v>
      </c>
      <c r="X32" s="396">
        <f t="shared" si="38"/>
        <v>528733.19999999995</v>
      </c>
      <c r="Y32" s="396">
        <f t="shared" si="38"/>
        <v>528733.19999999995</v>
      </c>
      <c r="Z32" s="396">
        <f t="shared" si="38"/>
        <v>528733.19999999995</v>
      </c>
      <c r="AA32" s="396">
        <f t="shared" si="38"/>
        <v>528733.19999999995</v>
      </c>
      <c r="AB32" s="396">
        <f t="shared" si="38"/>
        <v>528733.19999999995</v>
      </c>
      <c r="AC32" s="396">
        <f t="shared" si="38"/>
        <v>528733.19999999995</v>
      </c>
      <c r="AD32" s="396">
        <f t="shared" si="38"/>
        <v>528733.19999999995</v>
      </c>
      <c r="AE32" s="396">
        <f t="shared" si="38"/>
        <v>528733.19999999995</v>
      </c>
      <c r="AF32" s="396">
        <f t="shared" si="38"/>
        <v>528733.19999999995</v>
      </c>
      <c r="AG32" s="396">
        <f t="shared" si="38"/>
        <v>528733.19999999995</v>
      </c>
      <c r="AH32" s="403">
        <f t="shared" ref="AH32:AH34" si="39">SUM(F32:AG32)</f>
        <v>14804529.599999992</v>
      </c>
    </row>
    <row r="33" spans="2:34" s="85" customFormat="1" ht="15" customHeight="1">
      <c r="B33" s="310" t="s">
        <v>227</v>
      </c>
      <c r="C33" s="325"/>
      <c r="D33" s="325"/>
      <c r="E33" s="397">
        <f>'Драфт_DF Office 2.0'!C29</f>
        <v>2582.8000000000002</v>
      </c>
      <c r="F33" s="396">
        <f>$E$33*Осн.положения!D15*3</f>
        <v>503646</v>
      </c>
      <c r="G33" s="396">
        <f>F33</f>
        <v>503646</v>
      </c>
      <c r="H33" s="396">
        <f t="shared" ref="H33:AG33" si="40">G33</f>
        <v>503646</v>
      </c>
      <c r="I33" s="396">
        <f t="shared" si="40"/>
        <v>503646</v>
      </c>
      <c r="J33" s="396">
        <f t="shared" si="40"/>
        <v>503646</v>
      </c>
      <c r="K33" s="396">
        <f t="shared" si="40"/>
        <v>503646</v>
      </c>
      <c r="L33" s="396">
        <f t="shared" si="40"/>
        <v>503646</v>
      </c>
      <c r="M33" s="396">
        <f t="shared" si="40"/>
        <v>503646</v>
      </c>
      <c r="N33" s="396">
        <f t="shared" si="40"/>
        <v>503646</v>
      </c>
      <c r="O33" s="396">
        <f t="shared" si="40"/>
        <v>503646</v>
      </c>
      <c r="P33" s="396">
        <f t="shared" si="40"/>
        <v>503646</v>
      </c>
      <c r="Q33" s="396">
        <f t="shared" si="40"/>
        <v>503646</v>
      </c>
      <c r="R33" s="396">
        <f t="shared" si="40"/>
        <v>503646</v>
      </c>
      <c r="S33" s="396">
        <f>R33*2</f>
        <v>1007292</v>
      </c>
      <c r="T33" s="396">
        <f>S33</f>
        <v>1007292</v>
      </c>
      <c r="U33" s="396">
        <f t="shared" ref="U33:AB33" si="41">T33</f>
        <v>1007292</v>
      </c>
      <c r="V33" s="396">
        <f t="shared" si="41"/>
        <v>1007292</v>
      </c>
      <c r="W33" s="396">
        <f t="shared" si="41"/>
        <v>1007292</v>
      </c>
      <c r="X33" s="396">
        <f t="shared" si="41"/>
        <v>1007292</v>
      </c>
      <c r="Y33" s="396">
        <f t="shared" si="41"/>
        <v>1007292</v>
      </c>
      <c r="Z33" s="396">
        <f t="shared" si="41"/>
        <v>1007292</v>
      </c>
      <c r="AA33" s="396">
        <f t="shared" si="41"/>
        <v>1007292</v>
      </c>
      <c r="AB33" s="396">
        <f t="shared" si="41"/>
        <v>1007292</v>
      </c>
      <c r="AC33" s="396">
        <f>AB33*3</f>
        <v>3021876</v>
      </c>
      <c r="AD33" s="396">
        <f t="shared" si="40"/>
        <v>3021876</v>
      </c>
      <c r="AE33" s="396">
        <f t="shared" si="40"/>
        <v>3021876</v>
      </c>
      <c r="AF33" s="396">
        <f t="shared" si="40"/>
        <v>3021876</v>
      </c>
      <c r="AG33" s="396">
        <f t="shared" si="40"/>
        <v>3021876</v>
      </c>
      <c r="AH33" s="403">
        <f t="shared" si="39"/>
        <v>31729698</v>
      </c>
    </row>
    <row r="34" spans="2:34" s="85" customFormat="1" ht="15.75" customHeight="1" thickBot="1">
      <c r="B34" s="312" t="str">
        <f>Доходы!B46</f>
        <v>Пространство для хранения бэкапов</v>
      </c>
      <c r="C34" s="331"/>
      <c r="D34" s="331"/>
      <c r="E34" s="338">
        <f>E35</f>
        <v>0.4</v>
      </c>
      <c r="F34" s="332">
        <f>Доходы!G46</f>
        <v>0</v>
      </c>
      <c r="G34" s="332">
        <f>Доходы!H46</f>
        <v>0</v>
      </c>
      <c r="H34" s="332">
        <f>Доходы!I46</f>
        <v>0</v>
      </c>
      <c r="I34" s="332">
        <f>Доходы!J46</f>
        <v>0</v>
      </c>
      <c r="J34" s="332">
        <f>Доходы!K46</f>
        <v>0</v>
      </c>
      <c r="K34" s="332">
        <f>Доходы!L46</f>
        <v>0</v>
      </c>
      <c r="L34" s="332">
        <f>Доходы!M46</f>
        <v>0</v>
      </c>
      <c r="M34" s="332">
        <f>Доходы!N46</f>
        <v>0</v>
      </c>
      <c r="N34" s="332">
        <f>Доходы!O46</f>
        <v>0</v>
      </c>
      <c r="O34" s="332">
        <f>Доходы!P46</f>
        <v>0</v>
      </c>
      <c r="P34" s="332">
        <f>Доходы!Q46</f>
        <v>0</v>
      </c>
      <c r="Q34" s="332">
        <f>Доходы!R46</f>
        <v>0</v>
      </c>
      <c r="R34" s="332">
        <f>Доходы!S46</f>
        <v>0</v>
      </c>
      <c r="S34" s="332">
        <f>Доходы!T46</f>
        <v>0</v>
      </c>
      <c r="T34" s="332">
        <f>Доходы!U46</f>
        <v>0</v>
      </c>
      <c r="U34" s="332">
        <f>Доходы!V46</f>
        <v>0</v>
      </c>
      <c r="V34" s="332">
        <f>Доходы!W46</f>
        <v>0</v>
      </c>
      <c r="W34" s="332">
        <f>Доходы!X46</f>
        <v>0</v>
      </c>
      <c r="X34" s="332">
        <f>Доходы!Y46</f>
        <v>0</v>
      </c>
      <c r="Y34" s="332">
        <f>Доходы!Z46</f>
        <v>0</v>
      </c>
      <c r="Z34" s="332">
        <f>Доходы!AA46</f>
        <v>0</v>
      </c>
      <c r="AA34" s="332">
        <f>Доходы!AB46</f>
        <v>0</v>
      </c>
      <c r="AB34" s="332">
        <f>Доходы!AC46</f>
        <v>0</v>
      </c>
      <c r="AC34" s="332">
        <f>Доходы!AD46</f>
        <v>0</v>
      </c>
      <c r="AD34" s="332">
        <f>Доходы!AE46</f>
        <v>0</v>
      </c>
      <c r="AE34" s="332">
        <f>Доходы!AF46</f>
        <v>0</v>
      </c>
      <c r="AF34" s="332">
        <f>Доходы!AG46</f>
        <v>0</v>
      </c>
      <c r="AG34" s="332">
        <f>Доходы!AH46</f>
        <v>0</v>
      </c>
      <c r="AH34" s="333">
        <f t="shared" si="39"/>
        <v>0</v>
      </c>
    </row>
    <row r="35" spans="2:34" s="85" customFormat="1" ht="15" customHeight="1">
      <c r="B35" s="329"/>
      <c r="C35" s="330"/>
      <c r="D35" s="288"/>
      <c r="E35" s="338">
        <v>0.4</v>
      </c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197"/>
    </row>
    <row r="36" spans="2:34" s="85" customFormat="1" ht="15" customHeight="1">
      <c r="B36" s="206" t="s">
        <v>143</v>
      </c>
      <c r="C36" s="206"/>
      <c r="D36" s="199"/>
      <c r="E36" s="207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0">
        <f t="shared" ref="AH36:AH47" si="42">SUM(F36:AG36)</f>
        <v>0</v>
      </c>
    </row>
    <row r="37" spans="2:34" s="85" customFormat="1" ht="15" customHeight="1">
      <c r="B37" s="206"/>
      <c r="C37" s="206"/>
      <c r="D37" s="199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>
        <f t="shared" si="42"/>
        <v>0</v>
      </c>
    </row>
    <row r="38" spans="2:34" s="85" customFormat="1" ht="15.75" customHeight="1">
      <c r="B38" s="206"/>
      <c r="C38" s="206"/>
      <c r="D38" s="199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>
        <f t="shared" si="42"/>
        <v>0</v>
      </c>
    </row>
    <row r="39" spans="2:34" s="85" customFormat="1">
      <c r="B39" s="198"/>
      <c r="C39" s="198"/>
      <c r="D39" s="199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>
        <f t="shared" si="42"/>
        <v>0</v>
      </c>
    </row>
    <row r="40" spans="2:34" s="85" customFormat="1">
      <c r="B40" s="206" t="s">
        <v>144</v>
      </c>
      <c r="C40" s="206"/>
      <c r="D40" s="199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>
        <f t="shared" si="42"/>
        <v>0</v>
      </c>
    </row>
    <row r="41" spans="2:34" s="85" customFormat="1">
      <c r="B41" s="206"/>
      <c r="C41" s="206"/>
      <c r="D41" s="199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200"/>
      <c r="AG41" s="200"/>
      <c r="AH41" s="200">
        <f t="shared" si="42"/>
        <v>0</v>
      </c>
    </row>
    <row r="42" spans="2:34" s="85" customFormat="1">
      <c r="B42" s="206"/>
      <c r="C42" s="206"/>
      <c r="D42" s="199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>
        <f t="shared" si="42"/>
        <v>0</v>
      </c>
    </row>
    <row r="43" spans="2:34" s="85" customFormat="1">
      <c r="B43" s="198"/>
      <c r="C43" s="198"/>
      <c r="D43" s="199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>
        <f t="shared" si="42"/>
        <v>0</v>
      </c>
    </row>
    <row r="44" spans="2:34" s="85" customFormat="1">
      <c r="B44" s="206" t="s">
        <v>116</v>
      </c>
      <c r="C44" s="206"/>
      <c r="D44" s="199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  <c r="AH44" s="200">
        <f t="shared" si="42"/>
        <v>0</v>
      </c>
    </row>
    <row r="45" spans="2:34" s="85" customFormat="1">
      <c r="B45" s="206"/>
      <c r="C45" s="206"/>
      <c r="D45" s="199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  <c r="AH45" s="200">
        <f t="shared" si="42"/>
        <v>0</v>
      </c>
    </row>
    <row r="46" spans="2:34" s="85" customFormat="1">
      <c r="B46" s="206"/>
      <c r="C46" s="206"/>
      <c r="D46" s="199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>
        <f t="shared" si="42"/>
        <v>0</v>
      </c>
    </row>
    <row r="47" spans="2:34" s="85" customFormat="1">
      <c r="B47" s="198"/>
      <c r="C47" s="198"/>
      <c r="D47" s="199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>
        <f t="shared" si="42"/>
        <v>0</v>
      </c>
    </row>
    <row r="51" spans="2:34" s="85" customFormat="1" ht="22.75" customHeight="1">
      <c r="B51" s="222" t="s">
        <v>145</v>
      </c>
      <c r="C51" s="222"/>
      <c r="D51" s="223"/>
      <c r="E51" s="221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</row>
    <row r="52" spans="2:34" s="85" customFormat="1" ht="16">
      <c r="B52" s="203"/>
      <c r="C52" s="203"/>
      <c r="D52" s="204" t="s">
        <v>102</v>
      </c>
      <c r="E52" s="205" t="s">
        <v>99</v>
      </c>
      <c r="F52" s="197" t="str">
        <f t="shared" ref="F52:AH52" si="43">F2</f>
        <v>3Q22</v>
      </c>
      <c r="G52" s="197" t="str">
        <f t="shared" si="43"/>
        <v>4Q22</v>
      </c>
      <c r="H52" s="197" t="str">
        <f t="shared" si="43"/>
        <v>1Q23</v>
      </c>
      <c r="I52" s="197" t="str">
        <f t="shared" si="43"/>
        <v>2Q23</v>
      </c>
      <c r="J52" s="197" t="str">
        <f t="shared" si="43"/>
        <v>3Q23</v>
      </c>
      <c r="K52" s="197" t="str">
        <f t="shared" si="43"/>
        <v>4Q23</v>
      </c>
      <c r="L52" s="197" t="str">
        <f t="shared" si="43"/>
        <v>1Q24</v>
      </c>
      <c r="M52" s="197" t="str">
        <f t="shared" si="43"/>
        <v>2Q24</v>
      </c>
      <c r="N52" s="197" t="str">
        <f t="shared" si="43"/>
        <v>3Q24</v>
      </c>
      <c r="O52" s="197" t="str">
        <f t="shared" si="43"/>
        <v>4Q24</v>
      </c>
      <c r="P52" s="197" t="str">
        <f t="shared" si="43"/>
        <v>1Q25</v>
      </c>
      <c r="Q52" s="197" t="str">
        <f t="shared" si="43"/>
        <v>2Q25</v>
      </c>
      <c r="R52" s="197" t="str">
        <f t="shared" si="43"/>
        <v>3Q25</v>
      </c>
      <c r="S52" s="197" t="str">
        <f t="shared" si="43"/>
        <v>4Q25</v>
      </c>
      <c r="T52" s="197" t="str">
        <f t="shared" si="43"/>
        <v>1Q26</v>
      </c>
      <c r="U52" s="197" t="str">
        <f t="shared" si="43"/>
        <v>2Q26</v>
      </c>
      <c r="V52" s="197" t="str">
        <f t="shared" si="43"/>
        <v>3Q26</v>
      </c>
      <c r="W52" s="197" t="str">
        <f t="shared" si="43"/>
        <v>4Q26</v>
      </c>
      <c r="X52" s="197" t="str">
        <f t="shared" si="43"/>
        <v>1Q27</v>
      </c>
      <c r="Y52" s="197" t="str">
        <f t="shared" si="43"/>
        <v>2Q27</v>
      </c>
      <c r="Z52" s="197" t="str">
        <f t="shared" si="43"/>
        <v>3Q27</v>
      </c>
      <c r="AA52" s="197" t="str">
        <f t="shared" si="43"/>
        <v>4Q27</v>
      </c>
      <c r="AB52" s="197" t="str">
        <f t="shared" si="43"/>
        <v>1Q28</v>
      </c>
      <c r="AC52" s="197" t="str">
        <f t="shared" si="43"/>
        <v>2Q28</v>
      </c>
      <c r="AD52" s="197" t="str">
        <f t="shared" si="43"/>
        <v>3Q28</v>
      </c>
      <c r="AE52" s="197" t="str">
        <f t="shared" si="43"/>
        <v>4Q28</v>
      </c>
      <c r="AF52" s="197" t="str">
        <f t="shared" si="43"/>
        <v>1Q29</v>
      </c>
      <c r="AG52" s="197" t="str">
        <f t="shared" si="43"/>
        <v>2Q29</v>
      </c>
      <c r="AH52" s="197" t="str">
        <f t="shared" si="43"/>
        <v>Итого по проекту</v>
      </c>
    </row>
    <row r="53" spans="2:34" s="85" customFormat="1">
      <c r="B53" s="206" t="s">
        <v>135</v>
      </c>
      <c r="C53" s="206"/>
      <c r="D53" s="199"/>
      <c r="E53" s="207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0">
        <f>SUM(F53:AG53)</f>
        <v>0</v>
      </c>
    </row>
    <row r="54" spans="2:34" s="85" customFormat="1">
      <c r="B54" s="206"/>
      <c r="C54" s="206"/>
      <c r="D54" s="199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>
        <f t="shared" ref="AH54:AH60" si="44">SUM(F54:AG54)</f>
        <v>0</v>
      </c>
    </row>
    <row r="55" spans="2:34" s="85" customFormat="1">
      <c r="B55" s="206"/>
      <c r="C55" s="206"/>
      <c r="D55" s="199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>
        <f t="shared" si="44"/>
        <v>0</v>
      </c>
    </row>
    <row r="56" spans="2:34" s="85" customFormat="1">
      <c r="B56" s="198"/>
      <c r="C56" s="198"/>
      <c r="D56" s="199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>
        <f t="shared" si="44"/>
        <v>0</v>
      </c>
    </row>
    <row r="57" spans="2:34" s="85" customFormat="1">
      <c r="B57" s="206" t="s">
        <v>136</v>
      </c>
      <c r="C57" s="206"/>
      <c r="D57" s="199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>
        <f t="shared" si="44"/>
        <v>0</v>
      </c>
    </row>
    <row r="58" spans="2:34" s="85" customFormat="1">
      <c r="B58" s="206"/>
      <c r="C58" s="206"/>
      <c r="D58" s="199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0">
        <f t="shared" si="44"/>
        <v>0</v>
      </c>
    </row>
    <row r="59" spans="2:34" s="85" customFormat="1">
      <c r="B59" s="206"/>
      <c r="C59" s="206"/>
      <c r="D59" s="199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0">
        <f t="shared" si="44"/>
        <v>0</v>
      </c>
    </row>
    <row r="60" spans="2:34" s="85" customFormat="1">
      <c r="B60" s="198"/>
      <c r="C60" s="198"/>
      <c r="D60" s="199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>
        <f t="shared" si="44"/>
        <v>0</v>
      </c>
    </row>
    <row r="62" spans="2:34">
      <c r="B62" s="90" t="s">
        <v>146</v>
      </c>
    </row>
    <row r="66" spans="6:6" ht="19">
      <c r="F66" s="381" t="s">
        <v>179</v>
      </c>
    </row>
  </sheetData>
  <phoneticPr fontId="0" type="noConversion"/>
  <pageMargins left="0.75" right="0.75" top="1" bottom="1" header="0.5" footer="0.5"/>
  <pageSetup paperSize="9" scale="37" fitToHeight="6" orientation="landscape" r:id="rId1"/>
  <headerFooter alignWithMargins="0">
    <oddHeader>&amp;C&amp;A&amp;RРП-199-2 Прил. 7. Станд. модель расчета эффективности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34998626667073579"/>
    <pageSetUpPr fitToPage="1"/>
  </sheetPr>
  <dimension ref="A1:AG65"/>
  <sheetViews>
    <sheetView showGridLines="0" zoomScaleNormal="100" workbookViewId="0">
      <pane xSplit="3" ySplit="2" topLeftCell="D42" activePane="bottomRight" state="frozen"/>
      <selection activeCell="A21" sqref="A21"/>
      <selection pane="topRight" activeCell="A21" sqref="A21"/>
      <selection pane="bottomLeft" activeCell="A21" sqref="A21"/>
      <selection pane="bottomRight" activeCell="F61" sqref="F61"/>
    </sheetView>
  </sheetViews>
  <sheetFormatPr baseColWidth="10" defaultColWidth="9" defaultRowHeight="15"/>
  <cols>
    <col min="1" max="1" width="41.5" style="90" customWidth="1"/>
    <col min="2" max="2" width="19" style="90" customWidth="1"/>
    <col min="3" max="3" width="13.5" style="91" customWidth="1"/>
    <col min="4" max="4" width="13.5" style="92" customWidth="1"/>
    <col min="5" max="5" width="13.5" style="91" customWidth="1"/>
    <col min="6" max="11" width="13.5" style="92" customWidth="1"/>
    <col min="12" max="21" width="13.5" style="91" customWidth="1"/>
    <col min="22" max="24" width="13.5" style="90" customWidth="1"/>
    <col min="25" max="25" width="13.5" style="91" customWidth="1"/>
    <col min="26" max="28" width="13.5" style="90" customWidth="1"/>
    <col min="29" max="29" width="13.5" style="91" customWidth="1"/>
    <col min="30" max="32" width="13.5" style="90" customWidth="1"/>
    <col min="33" max="33" width="17.5" style="90" bestFit="1" customWidth="1"/>
    <col min="34" max="16384" width="9" style="90"/>
  </cols>
  <sheetData>
    <row r="1" spans="1:33">
      <c r="A1" s="213" t="s">
        <v>1</v>
      </c>
      <c r="E1" s="89">
        <f>Осн.положения!E1</f>
        <v>0</v>
      </c>
      <c r="F1" s="89">
        <f>Осн.положения!F1</f>
        <v>1</v>
      </c>
      <c r="G1" s="89">
        <f>Осн.положения!G1</f>
        <v>2</v>
      </c>
      <c r="H1" s="89">
        <f>Осн.положения!H1</f>
        <v>3</v>
      </c>
      <c r="I1" s="89">
        <f>Осн.положения!I1</f>
        <v>4</v>
      </c>
      <c r="J1" s="89">
        <f>Осн.положения!J1</f>
        <v>5</v>
      </c>
      <c r="K1" s="89">
        <f>Осн.положения!K1</f>
        <v>6</v>
      </c>
      <c r="L1" s="89">
        <f>Осн.положения!L1</f>
        <v>7</v>
      </c>
      <c r="M1" s="89">
        <f>Осн.положения!M1</f>
        <v>8</v>
      </c>
      <c r="N1" s="89">
        <f>Осн.положения!N1</f>
        <v>9</v>
      </c>
      <c r="O1" s="89">
        <f>Осн.положения!O1</f>
        <v>10</v>
      </c>
      <c r="P1" s="89">
        <f>Осн.положения!P1</f>
        <v>11</v>
      </c>
      <c r="Q1" s="89">
        <f>Осн.положения!Q1</f>
        <v>12</v>
      </c>
      <c r="R1" s="89">
        <f>Осн.положения!R1</f>
        <v>13</v>
      </c>
      <c r="S1" s="89">
        <f>Осн.положения!S1</f>
        <v>14</v>
      </c>
      <c r="T1" s="89">
        <f>Осн.положения!T1</f>
        <v>15</v>
      </c>
      <c r="U1" s="89">
        <f>Осн.положения!U1</f>
        <v>16</v>
      </c>
      <c r="V1" s="89">
        <f>Осн.положения!V1</f>
        <v>17</v>
      </c>
      <c r="W1" s="89">
        <f>Осн.положения!W1</f>
        <v>18</v>
      </c>
      <c r="X1" s="89">
        <f>Осн.положения!X1</f>
        <v>19</v>
      </c>
      <c r="Y1" s="89">
        <f>Осн.положения!Y1</f>
        <v>20</v>
      </c>
      <c r="Z1" s="89">
        <f>Осн.положения!Z1</f>
        <v>21</v>
      </c>
      <c r="AA1" s="89">
        <f>Осн.положения!AA1</f>
        <v>22</v>
      </c>
      <c r="AB1" s="89">
        <f>Осн.положения!AB1</f>
        <v>23</v>
      </c>
      <c r="AC1" s="89">
        <f>Осн.положения!AC1</f>
        <v>24</v>
      </c>
      <c r="AD1" s="89">
        <f>Осн.положения!AD1</f>
        <v>25</v>
      </c>
      <c r="AE1" s="89">
        <f>Осн.положения!AE1</f>
        <v>26</v>
      </c>
      <c r="AF1" s="89">
        <f>Осн.положения!AF1</f>
        <v>27</v>
      </c>
      <c r="AG1" s="89"/>
    </row>
    <row r="2" spans="1:33" s="74" customFormat="1" ht="27" customHeight="1">
      <c r="A2" s="246" t="s">
        <v>77</v>
      </c>
      <c r="B2" s="245"/>
      <c r="C2" s="231" t="s">
        <v>2</v>
      </c>
      <c r="D2" s="231" t="s">
        <v>101</v>
      </c>
      <c r="E2" s="231" t="str">
        <f>Осн.положения!E3</f>
        <v>3Q22</v>
      </c>
      <c r="F2" s="231" t="str">
        <f>Осн.положения!F3</f>
        <v>4Q22</v>
      </c>
      <c r="G2" s="231" t="str">
        <f>Осн.положения!G3</f>
        <v>1Q23</v>
      </c>
      <c r="H2" s="231" t="str">
        <f>Осн.положения!H3</f>
        <v>2Q23</v>
      </c>
      <c r="I2" s="231" t="str">
        <f>Осн.положения!I3</f>
        <v>3Q23</v>
      </c>
      <c r="J2" s="231" t="str">
        <f>Осн.положения!J3</f>
        <v>4Q23</v>
      </c>
      <c r="K2" s="231" t="str">
        <f>Осн.положения!K3</f>
        <v>1Q24</v>
      </c>
      <c r="L2" s="231" t="str">
        <f>Осн.положения!L3</f>
        <v>2Q24</v>
      </c>
      <c r="M2" s="231" t="str">
        <f>Осн.положения!M3</f>
        <v>3Q24</v>
      </c>
      <c r="N2" s="231" t="str">
        <f>Осн.положения!N3</f>
        <v>4Q24</v>
      </c>
      <c r="O2" s="231" t="str">
        <f>Осн.положения!O3</f>
        <v>1Q25</v>
      </c>
      <c r="P2" s="231" t="str">
        <f>Осн.положения!P3</f>
        <v>2Q25</v>
      </c>
      <c r="Q2" s="231" t="str">
        <f>Осн.положения!Q3</f>
        <v>3Q25</v>
      </c>
      <c r="R2" s="231" t="str">
        <f>Осн.положения!R3</f>
        <v>4Q25</v>
      </c>
      <c r="S2" s="231" t="str">
        <f>Осн.положения!S3</f>
        <v>1Q26</v>
      </c>
      <c r="T2" s="231" t="str">
        <f>Осн.положения!T3</f>
        <v>2Q26</v>
      </c>
      <c r="U2" s="231" t="str">
        <f>Осн.положения!U3</f>
        <v>3Q26</v>
      </c>
      <c r="V2" s="231" t="str">
        <f>Осн.положения!V3</f>
        <v>4Q26</v>
      </c>
      <c r="W2" s="231" t="str">
        <f>Осн.положения!W3</f>
        <v>1Q27</v>
      </c>
      <c r="X2" s="231" t="str">
        <f>Осн.положения!X3</f>
        <v>2Q27</v>
      </c>
      <c r="Y2" s="231" t="str">
        <f>Осн.положения!Y3</f>
        <v>3Q27</v>
      </c>
      <c r="Z2" s="231" t="str">
        <f>Осн.положения!Z3</f>
        <v>4Q27</v>
      </c>
      <c r="AA2" s="231" t="str">
        <f>Осн.положения!AA3</f>
        <v>1Q28</v>
      </c>
      <c r="AB2" s="231" t="str">
        <f>Осн.положения!AB3</f>
        <v>2Q28</v>
      </c>
      <c r="AC2" s="231" t="str">
        <f>Осн.положения!AC3</f>
        <v>3Q28</v>
      </c>
      <c r="AD2" s="231" t="str">
        <f>Осн.положения!AD3</f>
        <v>4Q28</v>
      </c>
      <c r="AE2" s="231" t="str">
        <f>Осн.положения!AE3</f>
        <v>1Q29</v>
      </c>
      <c r="AF2" s="231" t="str">
        <f>Осн.положения!AF3</f>
        <v>2Q29</v>
      </c>
      <c r="AG2" s="231" t="s">
        <v>42</v>
      </c>
    </row>
    <row r="3" spans="1:33" s="115" customFormat="1" ht="19">
      <c r="A3" s="117" t="s">
        <v>114</v>
      </c>
      <c r="B3" s="113"/>
      <c r="C3" s="114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</row>
    <row r="4" spans="1:33" ht="19">
      <c r="A4" s="258" t="s">
        <v>110</v>
      </c>
      <c r="B4" s="257"/>
      <c r="C4" s="261" t="s">
        <v>71</v>
      </c>
      <c r="D4" s="257">
        <f t="shared" ref="D4:AF4" si="0">SUM(D5:D25)</f>
        <v>0</v>
      </c>
      <c r="E4" s="257">
        <f t="shared" si="0"/>
        <v>1</v>
      </c>
      <c r="F4" s="257">
        <f t="shared" si="0"/>
        <v>0</v>
      </c>
      <c r="G4" s="257">
        <f t="shared" si="0"/>
        <v>0</v>
      </c>
      <c r="H4" s="257">
        <f t="shared" si="0"/>
        <v>0</v>
      </c>
      <c r="I4" s="257">
        <f t="shared" si="0"/>
        <v>0</v>
      </c>
      <c r="J4" s="257">
        <f t="shared" si="0"/>
        <v>0</v>
      </c>
      <c r="K4" s="257">
        <f t="shared" si="0"/>
        <v>0</v>
      </c>
      <c r="L4" s="257">
        <f t="shared" si="0"/>
        <v>0</v>
      </c>
      <c r="M4" s="257">
        <f t="shared" si="0"/>
        <v>0</v>
      </c>
      <c r="N4" s="257">
        <f t="shared" si="0"/>
        <v>0</v>
      </c>
      <c r="O4" s="257">
        <f t="shared" si="0"/>
        <v>0</v>
      </c>
      <c r="P4" s="257">
        <f t="shared" si="0"/>
        <v>0</v>
      </c>
      <c r="Q4" s="257">
        <f t="shared" si="0"/>
        <v>0</v>
      </c>
      <c r="R4" s="257">
        <f t="shared" si="0"/>
        <v>0</v>
      </c>
      <c r="S4" s="257">
        <f t="shared" si="0"/>
        <v>0</v>
      </c>
      <c r="T4" s="257">
        <f t="shared" si="0"/>
        <v>0</v>
      </c>
      <c r="U4" s="257">
        <f t="shared" si="0"/>
        <v>0</v>
      </c>
      <c r="V4" s="257">
        <f t="shared" si="0"/>
        <v>0</v>
      </c>
      <c r="W4" s="257">
        <f t="shared" si="0"/>
        <v>0</v>
      </c>
      <c r="X4" s="257">
        <f t="shared" si="0"/>
        <v>0</v>
      </c>
      <c r="Y4" s="257">
        <f t="shared" si="0"/>
        <v>0</v>
      </c>
      <c r="Z4" s="257">
        <f t="shared" si="0"/>
        <v>0</v>
      </c>
      <c r="AA4" s="257">
        <f t="shared" si="0"/>
        <v>0</v>
      </c>
      <c r="AB4" s="257">
        <f t="shared" si="0"/>
        <v>0</v>
      </c>
      <c r="AC4" s="257">
        <f t="shared" si="0"/>
        <v>0</v>
      </c>
      <c r="AD4" s="257">
        <f t="shared" si="0"/>
        <v>0</v>
      </c>
      <c r="AE4" s="257">
        <f t="shared" si="0"/>
        <v>0</v>
      </c>
      <c r="AF4" s="257">
        <f t="shared" si="0"/>
        <v>0</v>
      </c>
      <c r="AG4" s="269">
        <f>SUM(AG5:AG25)</f>
        <v>1</v>
      </c>
    </row>
    <row r="5" spans="1:33">
      <c r="A5" s="94" t="s">
        <v>46</v>
      </c>
      <c r="C5" s="91" t="s">
        <v>71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95">
        <f t="shared" ref="AG5:AG25" si="1">SUM(D5:AF5)</f>
        <v>0</v>
      </c>
    </row>
    <row r="6" spans="1:33" ht="12.75" customHeight="1">
      <c r="A6" s="94" t="s">
        <v>47</v>
      </c>
      <c r="B6" s="96"/>
      <c r="C6" s="91" t="s">
        <v>71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95">
        <f t="shared" si="1"/>
        <v>0</v>
      </c>
    </row>
    <row r="7" spans="1:33">
      <c r="A7" s="90" t="s">
        <v>48</v>
      </c>
      <c r="C7" s="91" t="s">
        <v>71</v>
      </c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95">
        <f t="shared" si="1"/>
        <v>0</v>
      </c>
    </row>
    <row r="8" spans="1:33">
      <c r="A8" s="90" t="s">
        <v>49</v>
      </c>
      <c r="C8" s="91" t="s">
        <v>71</v>
      </c>
      <c r="D8" s="78"/>
      <c r="E8" s="78">
        <f>E57</f>
        <v>1</v>
      </c>
      <c r="F8" s="78">
        <f t="shared" ref="F8:AF8" si="2">F56</f>
        <v>0</v>
      </c>
      <c r="G8" s="78">
        <f t="shared" si="2"/>
        <v>0</v>
      </c>
      <c r="H8" s="78">
        <f t="shared" si="2"/>
        <v>0</v>
      </c>
      <c r="I8" s="78">
        <f t="shared" si="2"/>
        <v>0</v>
      </c>
      <c r="J8" s="78">
        <f t="shared" si="2"/>
        <v>0</v>
      </c>
      <c r="K8" s="78">
        <f t="shared" si="2"/>
        <v>0</v>
      </c>
      <c r="L8" s="78">
        <f t="shared" si="2"/>
        <v>0</v>
      </c>
      <c r="M8" s="78">
        <f t="shared" si="2"/>
        <v>0</v>
      </c>
      <c r="N8" s="78">
        <f t="shared" si="2"/>
        <v>0</v>
      </c>
      <c r="O8" s="78">
        <f t="shared" si="2"/>
        <v>0</v>
      </c>
      <c r="P8" s="78">
        <f t="shared" si="2"/>
        <v>0</v>
      </c>
      <c r="Q8" s="78">
        <f t="shared" si="2"/>
        <v>0</v>
      </c>
      <c r="R8" s="78">
        <f t="shared" si="2"/>
        <v>0</v>
      </c>
      <c r="S8" s="78">
        <f t="shared" si="2"/>
        <v>0</v>
      </c>
      <c r="T8" s="78">
        <f t="shared" si="2"/>
        <v>0</v>
      </c>
      <c r="U8" s="78">
        <f t="shared" si="2"/>
        <v>0</v>
      </c>
      <c r="V8" s="78">
        <f t="shared" si="2"/>
        <v>0</v>
      </c>
      <c r="W8" s="78">
        <f t="shared" si="2"/>
        <v>0</v>
      </c>
      <c r="X8" s="78">
        <f t="shared" si="2"/>
        <v>0</v>
      </c>
      <c r="Y8" s="78">
        <f t="shared" si="2"/>
        <v>0</v>
      </c>
      <c r="Z8" s="78">
        <f t="shared" si="2"/>
        <v>0</v>
      </c>
      <c r="AA8" s="78">
        <f t="shared" si="2"/>
        <v>0</v>
      </c>
      <c r="AB8" s="78">
        <f t="shared" si="2"/>
        <v>0</v>
      </c>
      <c r="AC8" s="78">
        <f t="shared" si="2"/>
        <v>0</v>
      </c>
      <c r="AD8" s="78">
        <f t="shared" si="2"/>
        <v>0</v>
      </c>
      <c r="AE8" s="78">
        <f t="shared" si="2"/>
        <v>0</v>
      </c>
      <c r="AF8" s="78">
        <f t="shared" si="2"/>
        <v>0</v>
      </c>
      <c r="AG8" s="95">
        <f t="shared" si="1"/>
        <v>1</v>
      </c>
    </row>
    <row r="9" spans="1:33">
      <c r="A9" s="90" t="s">
        <v>52</v>
      </c>
      <c r="C9" s="91" t="s">
        <v>71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95">
        <f t="shared" si="1"/>
        <v>0</v>
      </c>
    </row>
    <row r="10" spans="1:33">
      <c r="A10" s="90" t="s">
        <v>53</v>
      </c>
      <c r="C10" s="91" t="s">
        <v>71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95">
        <f t="shared" si="1"/>
        <v>0</v>
      </c>
    </row>
    <row r="11" spans="1:33">
      <c r="A11" s="90" t="s">
        <v>54</v>
      </c>
      <c r="C11" s="91" t="s">
        <v>71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95">
        <f t="shared" si="1"/>
        <v>0</v>
      </c>
    </row>
    <row r="12" spans="1:33">
      <c r="A12" s="90" t="s">
        <v>55</v>
      </c>
      <c r="C12" s="91" t="s">
        <v>71</v>
      </c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95">
        <f t="shared" si="1"/>
        <v>0</v>
      </c>
    </row>
    <row r="13" spans="1:33">
      <c r="A13" s="90" t="s">
        <v>73</v>
      </c>
      <c r="C13" s="91" t="s">
        <v>71</v>
      </c>
      <c r="D13" s="78"/>
      <c r="E13" s="78">
        <f>E58</f>
        <v>0</v>
      </c>
      <c r="F13" s="78">
        <f t="shared" ref="F13:AF13" si="3">F57</f>
        <v>0</v>
      </c>
      <c r="G13" s="78">
        <f t="shared" si="3"/>
        <v>0</v>
      </c>
      <c r="H13" s="78">
        <f t="shared" si="3"/>
        <v>0</v>
      </c>
      <c r="I13" s="78">
        <f t="shared" si="3"/>
        <v>0</v>
      </c>
      <c r="J13" s="78">
        <f t="shared" si="3"/>
        <v>0</v>
      </c>
      <c r="K13" s="78">
        <f t="shared" si="3"/>
        <v>0</v>
      </c>
      <c r="L13" s="78">
        <f t="shared" si="3"/>
        <v>0</v>
      </c>
      <c r="M13" s="78">
        <f t="shared" si="3"/>
        <v>0</v>
      </c>
      <c r="N13" s="78">
        <f t="shared" si="3"/>
        <v>0</v>
      </c>
      <c r="O13" s="78">
        <f t="shared" si="3"/>
        <v>0</v>
      </c>
      <c r="P13" s="78">
        <f t="shared" si="3"/>
        <v>0</v>
      </c>
      <c r="Q13" s="78">
        <f t="shared" si="3"/>
        <v>0</v>
      </c>
      <c r="R13" s="78">
        <f t="shared" si="3"/>
        <v>0</v>
      </c>
      <c r="S13" s="78">
        <f t="shared" si="3"/>
        <v>0</v>
      </c>
      <c r="T13" s="78">
        <f t="shared" si="3"/>
        <v>0</v>
      </c>
      <c r="U13" s="78">
        <f t="shared" si="3"/>
        <v>0</v>
      </c>
      <c r="V13" s="78">
        <f t="shared" si="3"/>
        <v>0</v>
      </c>
      <c r="W13" s="78">
        <f t="shared" si="3"/>
        <v>0</v>
      </c>
      <c r="X13" s="78">
        <f t="shared" si="3"/>
        <v>0</v>
      </c>
      <c r="Y13" s="78">
        <f t="shared" si="3"/>
        <v>0</v>
      </c>
      <c r="Z13" s="78">
        <f t="shared" si="3"/>
        <v>0</v>
      </c>
      <c r="AA13" s="78">
        <f t="shared" si="3"/>
        <v>0</v>
      </c>
      <c r="AB13" s="78">
        <f t="shared" si="3"/>
        <v>0</v>
      </c>
      <c r="AC13" s="78">
        <f t="shared" si="3"/>
        <v>0</v>
      </c>
      <c r="AD13" s="78">
        <f t="shared" si="3"/>
        <v>0</v>
      </c>
      <c r="AE13" s="78">
        <f t="shared" si="3"/>
        <v>0</v>
      </c>
      <c r="AF13" s="78">
        <f t="shared" si="3"/>
        <v>0</v>
      </c>
      <c r="AG13" s="95">
        <f t="shared" si="1"/>
        <v>0</v>
      </c>
    </row>
    <row r="14" spans="1:33">
      <c r="A14" s="90" t="s">
        <v>56</v>
      </c>
      <c r="C14" s="91" t="s">
        <v>71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95">
        <f t="shared" si="1"/>
        <v>0</v>
      </c>
    </row>
    <row r="15" spans="1:33">
      <c r="A15" s="90" t="s">
        <v>57</v>
      </c>
      <c r="C15" s="91" t="s">
        <v>71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95">
        <f t="shared" si="1"/>
        <v>0</v>
      </c>
    </row>
    <row r="16" spans="1:33">
      <c r="A16" s="90" t="s">
        <v>58</v>
      </c>
      <c r="C16" s="91" t="s">
        <v>71</v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95">
        <f t="shared" si="1"/>
        <v>0</v>
      </c>
    </row>
    <row r="17" spans="1:33">
      <c r="A17" s="90" t="s">
        <v>59</v>
      </c>
      <c r="C17" s="91" t="s">
        <v>71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95">
        <f t="shared" si="1"/>
        <v>0</v>
      </c>
    </row>
    <row r="18" spans="1:33">
      <c r="A18" s="90" t="s">
        <v>60</v>
      </c>
      <c r="C18" s="91" t="s">
        <v>71</v>
      </c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95">
        <f t="shared" si="1"/>
        <v>0</v>
      </c>
    </row>
    <row r="19" spans="1:33">
      <c r="A19" s="90" t="s">
        <v>61</v>
      </c>
      <c r="C19" s="91" t="s">
        <v>71</v>
      </c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95">
        <f t="shared" si="1"/>
        <v>0</v>
      </c>
    </row>
    <row r="20" spans="1:33">
      <c r="A20" s="90" t="s">
        <v>62</v>
      </c>
      <c r="C20" s="91" t="s">
        <v>71</v>
      </c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95">
        <f t="shared" si="1"/>
        <v>0</v>
      </c>
    </row>
    <row r="21" spans="1:33">
      <c r="A21" s="90" t="s">
        <v>63</v>
      </c>
      <c r="C21" s="91" t="s">
        <v>71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95">
        <f t="shared" si="1"/>
        <v>0</v>
      </c>
    </row>
    <row r="22" spans="1:33">
      <c r="A22" s="90" t="s">
        <v>64</v>
      </c>
      <c r="C22" s="91" t="s">
        <v>71</v>
      </c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95">
        <f t="shared" si="1"/>
        <v>0</v>
      </c>
    </row>
    <row r="23" spans="1:33">
      <c r="A23" s="90" t="s">
        <v>65</v>
      </c>
      <c r="C23" s="91" t="s">
        <v>71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95">
        <f t="shared" si="1"/>
        <v>0</v>
      </c>
    </row>
    <row r="24" spans="1:33">
      <c r="A24" s="90" t="s">
        <v>51</v>
      </c>
      <c r="C24" s="91" t="s">
        <v>71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95">
        <f t="shared" si="1"/>
        <v>0</v>
      </c>
    </row>
    <row r="25" spans="1:33">
      <c r="A25" s="97" t="s">
        <v>50</v>
      </c>
      <c r="B25" s="97"/>
      <c r="C25" s="98" t="s">
        <v>71</v>
      </c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100">
        <f t="shared" si="1"/>
        <v>0</v>
      </c>
    </row>
    <row r="26" spans="1:33">
      <c r="C26" s="90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</row>
    <row r="27" spans="1:33" ht="19">
      <c r="A27" s="258" t="s">
        <v>111</v>
      </c>
      <c r="B27" s="257"/>
      <c r="C27" s="261" t="s">
        <v>71</v>
      </c>
      <c r="D27" s="257">
        <f t="shared" ref="D27:AF27" si="4">SUM(D28:D48)</f>
        <v>0</v>
      </c>
      <c r="E27" s="257">
        <f t="shared" si="4"/>
        <v>1</v>
      </c>
      <c r="F27" s="257">
        <f t="shared" si="4"/>
        <v>0</v>
      </c>
      <c r="G27" s="257">
        <f t="shared" si="4"/>
        <v>0</v>
      </c>
      <c r="H27" s="257">
        <f t="shared" si="4"/>
        <v>0</v>
      </c>
      <c r="I27" s="257">
        <f t="shared" si="4"/>
        <v>0</v>
      </c>
      <c r="J27" s="257">
        <f t="shared" si="4"/>
        <v>0</v>
      </c>
      <c r="K27" s="257">
        <f t="shared" si="4"/>
        <v>0</v>
      </c>
      <c r="L27" s="257">
        <f t="shared" si="4"/>
        <v>0</v>
      </c>
      <c r="M27" s="257">
        <f t="shared" si="4"/>
        <v>0</v>
      </c>
      <c r="N27" s="257">
        <f t="shared" si="4"/>
        <v>0</v>
      </c>
      <c r="O27" s="257">
        <f t="shared" si="4"/>
        <v>0</v>
      </c>
      <c r="P27" s="257">
        <f t="shared" si="4"/>
        <v>0</v>
      </c>
      <c r="Q27" s="257">
        <f t="shared" si="4"/>
        <v>0</v>
      </c>
      <c r="R27" s="257">
        <f t="shared" si="4"/>
        <v>0</v>
      </c>
      <c r="S27" s="257">
        <f t="shared" si="4"/>
        <v>0</v>
      </c>
      <c r="T27" s="257">
        <f t="shared" si="4"/>
        <v>0</v>
      </c>
      <c r="U27" s="257">
        <f t="shared" si="4"/>
        <v>0</v>
      </c>
      <c r="V27" s="257">
        <f t="shared" si="4"/>
        <v>0</v>
      </c>
      <c r="W27" s="257">
        <f t="shared" si="4"/>
        <v>0</v>
      </c>
      <c r="X27" s="257">
        <f t="shared" si="4"/>
        <v>0</v>
      </c>
      <c r="Y27" s="257">
        <f t="shared" si="4"/>
        <v>0</v>
      </c>
      <c r="Z27" s="257">
        <f t="shared" si="4"/>
        <v>0</v>
      </c>
      <c r="AA27" s="257">
        <f t="shared" si="4"/>
        <v>0</v>
      </c>
      <c r="AB27" s="257">
        <f t="shared" si="4"/>
        <v>0</v>
      </c>
      <c r="AC27" s="257">
        <f t="shared" si="4"/>
        <v>0</v>
      </c>
      <c r="AD27" s="257">
        <f t="shared" si="4"/>
        <v>0</v>
      </c>
      <c r="AE27" s="257">
        <f t="shared" si="4"/>
        <v>0</v>
      </c>
      <c r="AF27" s="257">
        <f t="shared" si="4"/>
        <v>0</v>
      </c>
      <c r="AG27" s="269">
        <f>SUM(AG28:AG48)</f>
        <v>1</v>
      </c>
    </row>
    <row r="28" spans="1:33">
      <c r="A28" s="94" t="str">
        <f t="shared" ref="A28:A48" si="5">A5</f>
        <v>IN платформа</v>
      </c>
      <c r="C28" s="91" t="s">
        <v>71</v>
      </c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95">
        <f t="shared" ref="AG28:AG48" si="6">SUM(D28:AF28)</f>
        <v>0</v>
      </c>
    </row>
    <row r="29" spans="1:33" ht="12.75" customHeight="1">
      <c r="A29" s="94" t="str">
        <f t="shared" si="5"/>
        <v>Административная инфраструктура</v>
      </c>
      <c r="B29" s="96"/>
      <c r="C29" s="91" t="s">
        <v>71</v>
      </c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95">
        <f t="shared" si="6"/>
        <v>0</v>
      </c>
    </row>
    <row r="30" spans="1:33">
      <c r="A30" s="94" t="str">
        <f t="shared" si="5"/>
        <v>Биллинговая система</v>
      </c>
      <c r="C30" s="91" t="s">
        <v>71</v>
      </c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95">
        <f t="shared" si="6"/>
        <v>0</v>
      </c>
    </row>
    <row r="31" spans="1:33">
      <c r="A31" s="94" t="str">
        <f t="shared" si="5"/>
        <v>Внедрение функциональной ИТ системы</v>
      </c>
      <c r="C31" s="91" t="s">
        <v>71</v>
      </c>
      <c r="D31" s="78"/>
      <c r="E31" s="78">
        <f>E56</f>
        <v>0</v>
      </c>
      <c r="F31" s="78">
        <f t="shared" ref="F31:AF31" si="7">F56</f>
        <v>0</v>
      </c>
      <c r="G31" s="78">
        <f t="shared" si="7"/>
        <v>0</v>
      </c>
      <c r="H31" s="78">
        <f t="shared" si="7"/>
        <v>0</v>
      </c>
      <c r="I31" s="78">
        <f t="shared" si="7"/>
        <v>0</v>
      </c>
      <c r="J31" s="78">
        <f t="shared" si="7"/>
        <v>0</v>
      </c>
      <c r="K31" s="78">
        <f t="shared" si="7"/>
        <v>0</v>
      </c>
      <c r="L31" s="78">
        <f t="shared" si="7"/>
        <v>0</v>
      </c>
      <c r="M31" s="78">
        <f t="shared" si="7"/>
        <v>0</v>
      </c>
      <c r="N31" s="78">
        <f t="shared" si="7"/>
        <v>0</v>
      </c>
      <c r="O31" s="78">
        <f t="shared" si="7"/>
        <v>0</v>
      </c>
      <c r="P31" s="78">
        <f t="shared" si="7"/>
        <v>0</v>
      </c>
      <c r="Q31" s="78">
        <f t="shared" si="7"/>
        <v>0</v>
      </c>
      <c r="R31" s="78">
        <f t="shared" si="7"/>
        <v>0</v>
      </c>
      <c r="S31" s="78">
        <f t="shared" si="7"/>
        <v>0</v>
      </c>
      <c r="T31" s="78">
        <f t="shared" si="7"/>
        <v>0</v>
      </c>
      <c r="U31" s="78">
        <f t="shared" si="7"/>
        <v>0</v>
      </c>
      <c r="V31" s="78">
        <f t="shared" si="7"/>
        <v>0</v>
      </c>
      <c r="W31" s="78">
        <f t="shared" si="7"/>
        <v>0</v>
      </c>
      <c r="X31" s="78">
        <f t="shared" si="7"/>
        <v>0</v>
      </c>
      <c r="Y31" s="78">
        <f t="shared" si="7"/>
        <v>0</v>
      </c>
      <c r="Z31" s="78">
        <f t="shared" si="7"/>
        <v>0</v>
      </c>
      <c r="AA31" s="78">
        <f t="shared" si="7"/>
        <v>0</v>
      </c>
      <c r="AB31" s="78">
        <f t="shared" si="7"/>
        <v>0</v>
      </c>
      <c r="AC31" s="78">
        <f t="shared" si="7"/>
        <v>0</v>
      </c>
      <c r="AD31" s="78">
        <f t="shared" si="7"/>
        <v>0</v>
      </c>
      <c r="AE31" s="78">
        <f t="shared" si="7"/>
        <v>0</v>
      </c>
      <c r="AF31" s="78">
        <f t="shared" si="7"/>
        <v>0</v>
      </c>
      <c r="AG31" s="95">
        <f t="shared" si="6"/>
        <v>0</v>
      </c>
    </row>
    <row r="32" spans="1:33">
      <c r="A32" s="94" t="str">
        <f t="shared" si="5"/>
        <v>Закупка офисного оборудования и вычислительной техники</v>
      </c>
      <c r="C32" s="91" t="s">
        <v>71</v>
      </c>
      <c r="D32" s="78"/>
      <c r="E32" s="78">
        <f>E57</f>
        <v>1</v>
      </c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95">
        <f t="shared" si="6"/>
        <v>1</v>
      </c>
    </row>
    <row r="33" spans="1:33">
      <c r="A33" s="94" t="str">
        <f t="shared" si="5"/>
        <v>Коммутационная подсистема</v>
      </c>
      <c r="C33" s="91" t="s">
        <v>71</v>
      </c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95">
        <f t="shared" si="6"/>
        <v>0</v>
      </c>
    </row>
    <row r="34" spans="1:33">
      <c r="A34" s="94" t="str">
        <f t="shared" si="5"/>
        <v>Корпоративная сеть</v>
      </c>
      <c r="C34" s="91" t="s">
        <v>71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95">
        <f t="shared" si="6"/>
        <v>0</v>
      </c>
    </row>
    <row r="35" spans="1:33">
      <c r="A35" s="94" t="str">
        <f t="shared" si="5"/>
        <v>Лицензии на услуги и РЧ</v>
      </c>
      <c r="C35" s="91" t="s">
        <v>71</v>
      </c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95">
        <f t="shared" si="6"/>
        <v>0</v>
      </c>
    </row>
    <row r="36" spans="1:33">
      <c r="A36" s="94" t="str">
        <f t="shared" si="5"/>
        <v>Лицензии на ПО</v>
      </c>
      <c r="C36" s="91" t="s">
        <v>71</v>
      </c>
      <c r="D36" s="78"/>
      <c r="E36" s="78"/>
      <c r="F36" s="78">
        <f t="shared" ref="F36:AF36" si="8">F57</f>
        <v>0</v>
      </c>
      <c r="G36" s="78">
        <f t="shared" si="8"/>
        <v>0</v>
      </c>
      <c r="H36" s="78">
        <f t="shared" si="8"/>
        <v>0</v>
      </c>
      <c r="I36" s="78">
        <f t="shared" si="8"/>
        <v>0</v>
      </c>
      <c r="J36" s="78">
        <f t="shared" si="8"/>
        <v>0</v>
      </c>
      <c r="K36" s="78">
        <f t="shared" si="8"/>
        <v>0</v>
      </c>
      <c r="L36" s="78">
        <f t="shared" si="8"/>
        <v>0</v>
      </c>
      <c r="M36" s="78">
        <f t="shared" si="8"/>
        <v>0</v>
      </c>
      <c r="N36" s="78">
        <f t="shared" si="8"/>
        <v>0</v>
      </c>
      <c r="O36" s="78">
        <f t="shared" si="8"/>
        <v>0</v>
      </c>
      <c r="P36" s="78">
        <f t="shared" si="8"/>
        <v>0</v>
      </c>
      <c r="Q36" s="78">
        <f t="shared" si="8"/>
        <v>0</v>
      </c>
      <c r="R36" s="78">
        <f t="shared" si="8"/>
        <v>0</v>
      </c>
      <c r="S36" s="78">
        <f t="shared" si="8"/>
        <v>0</v>
      </c>
      <c r="T36" s="78">
        <f t="shared" si="8"/>
        <v>0</v>
      </c>
      <c r="U36" s="78">
        <f t="shared" si="8"/>
        <v>0</v>
      </c>
      <c r="V36" s="78">
        <f t="shared" si="8"/>
        <v>0</v>
      </c>
      <c r="W36" s="78">
        <f t="shared" si="8"/>
        <v>0</v>
      </c>
      <c r="X36" s="78">
        <f t="shared" si="8"/>
        <v>0</v>
      </c>
      <c r="Y36" s="78">
        <f t="shared" si="8"/>
        <v>0</v>
      </c>
      <c r="Z36" s="78">
        <f t="shared" si="8"/>
        <v>0</v>
      </c>
      <c r="AA36" s="78">
        <f t="shared" si="8"/>
        <v>0</v>
      </c>
      <c r="AB36" s="78">
        <f t="shared" si="8"/>
        <v>0</v>
      </c>
      <c r="AC36" s="78">
        <f t="shared" si="8"/>
        <v>0</v>
      </c>
      <c r="AD36" s="78">
        <f t="shared" si="8"/>
        <v>0</v>
      </c>
      <c r="AE36" s="78">
        <f t="shared" si="8"/>
        <v>0</v>
      </c>
      <c r="AF36" s="78">
        <f t="shared" si="8"/>
        <v>0</v>
      </c>
      <c r="AG36" s="95">
        <f t="shared" si="6"/>
        <v>0</v>
      </c>
    </row>
    <row r="37" spans="1:33">
      <c r="A37" s="94" t="str">
        <f t="shared" si="5"/>
        <v>НИОКР</v>
      </c>
      <c r="C37" s="91" t="s">
        <v>71</v>
      </c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95">
        <f t="shared" si="6"/>
        <v>0</v>
      </c>
    </row>
    <row r="38" spans="1:33">
      <c r="A38" s="94" t="str">
        <f t="shared" si="5"/>
        <v>Обслуживание абонентов</v>
      </c>
      <c r="C38" s="91" t="s">
        <v>71</v>
      </c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95">
        <f t="shared" si="6"/>
        <v>0</v>
      </c>
    </row>
    <row r="39" spans="1:33">
      <c r="A39" s="94" t="str">
        <f t="shared" si="5"/>
        <v>Проекты СОРМ</v>
      </c>
      <c r="C39" s="91" t="s">
        <v>71</v>
      </c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95">
        <f t="shared" si="6"/>
        <v>0</v>
      </c>
    </row>
    <row r="40" spans="1:33">
      <c r="A40" s="94" t="str">
        <f t="shared" si="5"/>
        <v>Развитие непрофильных бизнесов</v>
      </c>
      <c r="C40" s="91" t="s">
        <v>71</v>
      </c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95">
        <f t="shared" si="6"/>
        <v>0</v>
      </c>
    </row>
    <row r="41" spans="1:33">
      <c r="A41" s="94" t="str">
        <f t="shared" si="5"/>
        <v>Развитие радиоподсистемы</v>
      </c>
      <c r="C41" s="91" t="s">
        <v>71</v>
      </c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95">
        <f t="shared" si="6"/>
        <v>0</v>
      </c>
    </row>
    <row r="42" spans="1:33">
      <c r="A42" s="94" t="str">
        <f t="shared" si="5"/>
        <v>Рекламные объекты</v>
      </c>
      <c r="C42" s="91" t="s">
        <v>71</v>
      </c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95">
        <f t="shared" si="6"/>
        <v>0</v>
      </c>
    </row>
    <row r="43" spans="1:33">
      <c r="A43" s="94" t="str">
        <f t="shared" si="5"/>
        <v>Система передачи</v>
      </c>
      <c r="C43" s="91" t="s">
        <v>71</v>
      </c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95">
        <f t="shared" si="6"/>
        <v>0</v>
      </c>
    </row>
    <row r="44" spans="1:33">
      <c r="A44" s="94" t="str">
        <f t="shared" si="5"/>
        <v>Тестирование новых технологических платформ</v>
      </c>
      <c r="C44" s="91" t="s">
        <v>71</v>
      </c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95">
        <f t="shared" si="6"/>
        <v>0</v>
      </c>
    </row>
    <row r="45" spans="1:33">
      <c r="A45" s="94" t="str">
        <f t="shared" si="5"/>
        <v>Управление сетью</v>
      </c>
      <c r="C45" s="91" t="s">
        <v>71</v>
      </c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95">
        <f t="shared" si="6"/>
        <v>0</v>
      </c>
    </row>
    <row r="46" spans="1:33">
      <c r="A46" s="94" t="str">
        <f t="shared" si="5"/>
        <v>Услуги добавленной стоимости VAS</v>
      </c>
      <c r="C46" s="91" t="s">
        <v>71</v>
      </c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95">
        <f t="shared" si="6"/>
        <v>0</v>
      </c>
    </row>
    <row r="47" spans="1:33">
      <c r="A47" s="94" t="str">
        <f t="shared" si="5"/>
        <v>Фиксированная связь</v>
      </c>
      <c r="C47" s="91" t="s">
        <v>71</v>
      </c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95">
        <f t="shared" si="6"/>
        <v>0</v>
      </c>
    </row>
    <row r="48" spans="1:33">
      <c r="A48" s="101" t="str">
        <f t="shared" si="5"/>
        <v xml:space="preserve">Энергетика, метрология и эксплуатация </v>
      </c>
      <c r="B48" s="97"/>
      <c r="C48" s="98" t="s">
        <v>71</v>
      </c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100">
        <f t="shared" si="6"/>
        <v>0</v>
      </c>
    </row>
    <row r="49" spans="1:33" ht="19">
      <c r="A49" s="117" t="s">
        <v>115</v>
      </c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pans="1:33" ht="14.25" customHeight="1"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 spans="1:33"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</row>
    <row r="52" spans="1:33">
      <c r="B52" s="91"/>
      <c r="C52" s="92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 spans="1:33">
      <c r="B53" s="91" t="s">
        <v>153</v>
      </c>
      <c r="C53" s="271">
        <f>Осн.положения!D14</f>
        <v>65</v>
      </c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</row>
    <row r="54" spans="1:33">
      <c r="B54" s="91" t="s">
        <v>154</v>
      </c>
      <c r="C54" s="271">
        <f>Осн.положения!D15</f>
        <v>65</v>
      </c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 spans="1:33" ht="32">
      <c r="A55" s="224" t="s">
        <v>122</v>
      </c>
      <c r="B55" s="209" t="s">
        <v>102</v>
      </c>
      <c r="C55" s="210" t="s">
        <v>99</v>
      </c>
      <c r="D55" s="210" t="s">
        <v>101</v>
      </c>
      <c r="E55" s="211" t="str">
        <f>E2</f>
        <v>3Q22</v>
      </c>
      <c r="F55" s="211" t="str">
        <f t="shared" ref="F55:AF55" si="9">F2</f>
        <v>4Q22</v>
      </c>
      <c r="G55" s="211" t="str">
        <f t="shared" si="9"/>
        <v>1Q23</v>
      </c>
      <c r="H55" s="211" t="str">
        <f t="shared" si="9"/>
        <v>2Q23</v>
      </c>
      <c r="I55" s="211" t="str">
        <f t="shared" si="9"/>
        <v>3Q23</v>
      </c>
      <c r="J55" s="211" t="str">
        <f t="shared" si="9"/>
        <v>4Q23</v>
      </c>
      <c r="K55" s="211" t="str">
        <f t="shared" si="9"/>
        <v>1Q24</v>
      </c>
      <c r="L55" s="211" t="str">
        <f t="shared" si="9"/>
        <v>2Q24</v>
      </c>
      <c r="M55" s="211" t="str">
        <f t="shared" si="9"/>
        <v>3Q24</v>
      </c>
      <c r="N55" s="211" t="str">
        <f t="shared" si="9"/>
        <v>4Q24</v>
      </c>
      <c r="O55" s="211" t="str">
        <f t="shared" si="9"/>
        <v>1Q25</v>
      </c>
      <c r="P55" s="211" t="str">
        <f t="shared" si="9"/>
        <v>2Q25</v>
      </c>
      <c r="Q55" s="211" t="str">
        <f t="shared" si="9"/>
        <v>3Q25</v>
      </c>
      <c r="R55" s="211" t="str">
        <f t="shared" si="9"/>
        <v>4Q25</v>
      </c>
      <c r="S55" s="211" t="str">
        <f t="shared" si="9"/>
        <v>1Q26</v>
      </c>
      <c r="T55" s="211" t="str">
        <f t="shared" si="9"/>
        <v>2Q26</v>
      </c>
      <c r="U55" s="211" t="str">
        <f t="shared" si="9"/>
        <v>3Q26</v>
      </c>
      <c r="V55" s="211" t="str">
        <f t="shared" si="9"/>
        <v>4Q26</v>
      </c>
      <c r="W55" s="211" t="str">
        <f t="shared" si="9"/>
        <v>1Q27</v>
      </c>
      <c r="X55" s="211" t="str">
        <f t="shared" si="9"/>
        <v>2Q27</v>
      </c>
      <c r="Y55" s="211" t="str">
        <f t="shared" si="9"/>
        <v>3Q27</v>
      </c>
      <c r="Z55" s="211" t="str">
        <f t="shared" si="9"/>
        <v>4Q27</v>
      </c>
      <c r="AA55" s="211" t="str">
        <f t="shared" si="9"/>
        <v>1Q28</v>
      </c>
      <c r="AB55" s="211" t="str">
        <f t="shared" si="9"/>
        <v>2Q28</v>
      </c>
      <c r="AC55" s="211" t="str">
        <f t="shared" si="9"/>
        <v>3Q28</v>
      </c>
      <c r="AD55" s="211" t="str">
        <f t="shared" si="9"/>
        <v>4Q28</v>
      </c>
      <c r="AE55" s="211" t="str">
        <f t="shared" si="9"/>
        <v>1Q29</v>
      </c>
      <c r="AF55" s="211" t="str">
        <f t="shared" si="9"/>
        <v>2Q29</v>
      </c>
      <c r="AG55" s="211" t="s">
        <v>0</v>
      </c>
    </row>
    <row r="56" spans="1:33" ht="13.75" customHeight="1">
      <c r="A56" s="198" t="s">
        <v>193</v>
      </c>
      <c r="B56" s="199"/>
      <c r="C56" s="200"/>
      <c r="D56" s="200"/>
      <c r="E56" s="361"/>
      <c r="F56" s="200"/>
      <c r="G56" s="200"/>
      <c r="H56" s="200"/>
      <c r="I56" s="361"/>
      <c r="J56" s="200"/>
      <c r="K56" s="200"/>
      <c r="L56" s="200"/>
      <c r="M56" s="361"/>
      <c r="N56" s="200"/>
      <c r="O56" s="200"/>
      <c r="P56" s="361"/>
      <c r="Q56" s="361"/>
      <c r="R56" s="200"/>
      <c r="S56" s="200"/>
      <c r="T56" s="200"/>
      <c r="U56" s="361"/>
      <c r="V56" s="200"/>
      <c r="W56" s="200"/>
      <c r="X56" s="200">
        <f>P56</f>
        <v>0</v>
      </c>
      <c r="Y56" s="361"/>
      <c r="Z56" s="200"/>
      <c r="AA56" s="200"/>
      <c r="AB56" s="200">
        <f>X56</f>
        <v>0</v>
      </c>
      <c r="AC56" s="361"/>
      <c r="AD56" s="200"/>
      <c r="AE56" s="200">
        <f>AB56</f>
        <v>0</v>
      </c>
      <c r="AF56" s="200"/>
      <c r="AG56" s="200">
        <f>SUM(E56:AF56)</f>
        <v>0</v>
      </c>
    </row>
    <row r="57" spans="1:33" ht="13.75" customHeight="1">
      <c r="A57" s="198" t="s">
        <v>194</v>
      </c>
      <c r="B57" s="199"/>
      <c r="C57" s="200"/>
      <c r="D57" s="200"/>
      <c r="E57" s="361">
        <v>1</v>
      </c>
      <c r="F57" s="200"/>
      <c r="G57" s="200"/>
      <c r="H57" s="200"/>
      <c r="I57" s="361"/>
      <c r="J57" s="200"/>
      <c r="K57" s="200"/>
      <c r="L57" s="200"/>
      <c r="M57" s="361"/>
      <c r="N57" s="200"/>
      <c r="O57" s="200"/>
      <c r="P57" s="200"/>
      <c r="Q57" s="361"/>
      <c r="R57" s="200"/>
      <c r="S57" s="200"/>
      <c r="T57" s="200"/>
      <c r="U57" s="361"/>
      <c r="V57" s="200"/>
      <c r="W57" s="200"/>
      <c r="X57" s="200"/>
      <c r="Y57" s="361"/>
      <c r="Z57" s="200"/>
      <c r="AA57" s="200"/>
      <c r="AB57" s="200"/>
      <c r="AC57" s="361"/>
      <c r="AD57" s="200"/>
      <c r="AE57" s="200"/>
      <c r="AF57" s="200"/>
      <c r="AG57" s="200"/>
    </row>
    <row r="58" spans="1:33" ht="13.75" customHeight="1">
      <c r="B58" s="199"/>
      <c r="C58" s="200"/>
      <c r="D58" s="200"/>
      <c r="E58" s="361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>
        <f>SUM(E58:AF58)</f>
        <v>0</v>
      </c>
    </row>
    <row r="59" spans="1:33" ht="13.75" customHeight="1">
      <c r="A59" s="198"/>
      <c r="B59" s="199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>
        <f t="shared" ref="AG59:AG64" si="10">SUM(E59:AF59)</f>
        <v>0</v>
      </c>
    </row>
    <row r="60" spans="1:33" ht="13.75" customHeight="1">
      <c r="A60" s="198"/>
      <c r="B60" s="199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>
        <f t="shared" si="10"/>
        <v>0</v>
      </c>
    </row>
    <row r="61" spans="1:33" ht="13.75" customHeight="1">
      <c r="A61" s="198"/>
      <c r="B61" s="199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>
        <f t="shared" si="10"/>
        <v>0</v>
      </c>
    </row>
    <row r="62" spans="1:33" ht="13.75" customHeight="1">
      <c r="A62" s="198"/>
      <c r="B62" s="199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>
        <f t="shared" si="10"/>
        <v>0</v>
      </c>
    </row>
    <row r="63" spans="1:33" ht="13.75" customHeight="1">
      <c r="A63" s="198"/>
      <c r="B63" s="199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>
        <f t="shared" si="10"/>
        <v>0</v>
      </c>
    </row>
    <row r="64" spans="1:33">
      <c r="A64" s="198"/>
      <c r="B64" s="199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>
        <f t="shared" si="10"/>
        <v>0</v>
      </c>
    </row>
    <row r="65" spans="1:33" ht="13.75" customHeight="1">
      <c r="A65" s="201" t="s">
        <v>100</v>
      </c>
      <c r="B65" s="208"/>
      <c r="C65" s="202"/>
      <c r="D65" s="202"/>
      <c r="E65" s="202">
        <f>SUM(E57:E64)</f>
        <v>1</v>
      </c>
      <c r="F65" s="202">
        <f t="shared" ref="F65:L65" si="11">SUM(F56:F64)</f>
        <v>0</v>
      </c>
      <c r="G65" s="202">
        <f t="shared" si="11"/>
        <v>0</v>
      </c>
      <c r="H65" s="202">
        <f t="shared" si="11"/>
        <v>0</v>
      </c>
      <c r="I65" s="202">
        <f t="shared" si="11"/>
        <v>0</v>
      </c>
      <c r="J65" s="202">
        <f t="shared" si="11"/>
        <v>0</v>
      </c>
      <c r="K65" s="202">
        <f t="shared" si="11"/>
        <v>0</v>
      </c>
      <c r="L65" s="202">
        <f t="shared" si="11"/>
        <v>0</v>
      </c>
      <c r="M65" s="202">
        <f t="shared" ref="M65:AG65" si="12">SUM(M56:M64)</f>
        <v>0</v>
      </c>
      <c r="N65" s="202">
        <f t="shared" si="12"/>
        <v>0</v>
      </c>
      <c r="O65" s="202">
        <f t="shared" si="12"/>
        <v>0</v>
      </c>
      <c r="P65" s="202">
        <f t="shared" si="12"/>
        <v>0</v>
      </c>
      <c r="Q65" s="202">
        <f t="shared" si="12"/>
        <v>0</v>
      </c>
      <c r="R65" s="202">
        <f t="shared" si="12"/>
        <v>0</v>
      </c>
      <c r="S65" s="202">
        <f t="shared" si="12"/>
        <v>0</v>
      </c>
      <c r="T65" s="202">
        <f t="shared" si="12"/>
        <v>0</v>
      </c>
      <c r="U65" s="202">
        <f t="shared" si="12"/>
        <v>0</v>
      </c>
      <c r="V65" s="202">
        <f t="shared" si="12"/>
        <v>0</v>
      </c>
      <c r="W65" s="202">
        <f t="shared" si="12"/>
        <v>0</v>
      </c>
      <c r="X65" s="202">
        <f t="shared" si="12"/>
        <v>0</v>
      </c>
      <c r="Y65" s="202">
        <f t="shared" si="12"/>
        <v>0</v>
      </c>
      <c r="Z65" s="202">
        <f t="shared" si="12"/>
        <v>0</v>
      </c>
      <c r="AA65" s="202">
        <f t="shared" si="12"/>
        <v>0</v>
      </c>
      <c r="AB65" s="202">
        <f t="shared" si="12"/>
        <v>0</v>
      </c>
      <c r="AC65" s="202">
        <f t="shared" si="12"/>
        <v>0</v>
      </c>
      <c r="AD65" s="202">
        <f t="shared" si="12"/>
        <v>0</v>
      </c>
      <c r="AE65" s="202">
        <f t="shared" si="12"/>
        <v>0</v>
      </c>
      <c r="AF65" s="202">
        <f t="shared" si="12"/>
        <v>0</v>
      </c>
      <c r="AG65" s="202">
        <f t="shared" si="12"/>
        <v>0</v>
      </c>
    </row>
  </sheetData>
  <phoneticPr fontId="0" type="noConversion"/>
  <pageMargins left="0.75" right="0.75" top="1" bottom="1" header="0.5" footer="0.5"/>
  <pageSetup paperSize="9" scale="27" fitToHeight="6" orientation="landscape" r:id="rId1"/>
  <headerFooter alignWithMargins="0">
    <oddHeader>&amp;C&amp;A&amp;RРП-199-2 Прил. 7. Станд. модель расчета эффективности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  <pageSetUpPr fitToPage="1"/>
  </sheetPr>
  <dimension ref="A1:AG106"/>
  <sheetViews>
    <sheetView showGridLines="0" zoomScale="75" workbookViewId="0">
      <pane xSplit="2" ySplit="2" topLeftCell="C3" activePane="bottomRight" state="frozen"/>
      <selection activeCell="A21" sqref="A21"/>
      <selection pane="topRight" activeCell="A21" sqref="A21"/>
      <selection pane="bottomLeft" activeCell="A21" sqref="A21"/>
      <selection pane="bottomRight" activeCell="E5" sqref="E5"/>
    </sheetView>
  </sheetViews>
  <sheetFormatPr baseColWidth="10" defaultColWidth="9.1640625" defaultRowHeight="15"/>
  <cols>
    <col min="1" max="1" width="8" style="90" bestFit="1" customWidth="1"/>
    <col min="2" max="2" width="59" style="90" customWidth="1"/>
    <col min="3" max="3" width="11.5" style="90" customWidth="1"/>
    <col min="4" max="4" width="13.5" style="90" customWidth="1"/>
    <col min="5" max="7" width="15.5" style="90" customWidth="1"/>
    <col min="8" max="12" width="15.5" style="103" customWidth="1"/>
    <col min="13" max="33" width="15.5" style="90" customWidth="1"/>
    <col min="34" max="16384" width="9.1640625" style="90"/>
  </cols>
  <sheetData>
    <row r="1" spans="1:33" ht="19">
      <c r="A1" s="233" t="s">
        <v>1</v>
      </c>
      <c r="B1" s="151" t="s">
        <v>121</v>
      </c>
      <c r="C1" s="239"/>
      <c r="D1" s="239"/>
      <c r="E1" s="89">
        <f>Осн.положения!E1</f>
        <v>0</v>
      </c>
      <c r="F1" s="89">
        <f>Осн.положения!F1</f>
        <v>1</v>
      </c>
      <c r="G1" s="89">
        <f>Осн.положения!G1</f>
        <v>2</v>
      </c>
      <c r="H1" s="89">
        <f>Осн.положения!H1</f>
        <v>3</v>
      </c>
      <c r="I1" s="89">
        <f>Осн.положения!I1</f>
        <v>4</v>
      </c>
      <c r="J1" s="89">
        <f>Осн.положения!J1</f>
        <v>5</v>
      </c>
      <c r="K1" s="89">
        <f>Осн.положения!K1</f>
        <v>6</v>
      </c>
      <c r="L1" s="89">
        <f>Осн.положения!L1</f>
        <v>7</v>
      </c>
      <c r="M1" s="89">
        <f>Осн.положения!M1</f>
        <v>8</v>
      </c>
      <c r="N1" s="89">
        <f>Осн.положения!N1</f>
        <v>9</v>
      </c>
      <c r="O1" s="89">
        <f>Осн.положения!O1</f>
        <v>10</v>
      </c>
      <c r="P1" s="89">
        <f>Осн.положения!P1</f>
        <v>11</v>
      </c>
      <c r="Q1" s="89">
        <f>Осн.положения!Q1</f>
        <v>12</v>
      </c>
      <c r="R1" s="89">
        <f>Осн.положения!R1</f>
        <v>13</v>
      </c>
      <c r="S1" s="89">
        <f>Осн.положения!S1</f>
        <v>14</v>
      </c>
      <c r="T1" s="89">
        <f>Осн.положения!T1</f>
        <v>15</v>
      </c>
      <c r="U1" s="89">
        <f>Осн.положения!U1</f>
        <v>16</v>
      </c>
      <c r="V1" s="89">
        <f>Осн.положения!V1</f>
        <v>17</v>
      </c>
      <c r="W1" s="89">
        <f>Осн.положения!W1</f>
        <v>18</v>
      </c>
      <c r="X1" s="89">
        <f>Осн.положения!X1</f>
        <v>19</v>
      </c>
      <c r="Y1" s="89">
        <f>Осн.положения!Y1</f>
        <v>20</v>
      </c>
      <c r="Z1" s="89">
        <f>Осн.положения!Z1</f>
        <v>21</v>
      </c>
      <c r="AA1" s="89">
        <f>Осн.положения!AA1</f>
        <v>22</v>
      </c>
      <c r="AB1" s="89">
        <f>Осн.положения!AB1</f>
        <v>23</v>
      </c>
      <c r="AC1" s="89">
        <f>Осн.положения!AC1</f>
        <v>24</v>
      </c>
      <c r="AD1" s="89">
        <f>Осн.положения!AD1</f>
        <v>25</v>
      </c>
      <c r="AE1" s="89">
        <f>Осн.положения!AE1</f>
        <v>26</v>
      </c>
      <c r="AF1" s="89">
        <f>Осн.положения!AF1</f>
        <v>27</v>
      </c>
      <c r="AG1" s="89"/>
    </row>
    <row r="2" spans="1:33" s="74" customFormat="1" ht="30.75" customHeight="1">
      <c r="A2" s="242"/>
      <c r="B2" s="244"/>
      <c r="C2" s="231" t="s">
        <v>2</v>
      </c>
      <c r="D2" s="231" t="s">
        <v>101</v>
      </c>
      <c r="E2" s="231" t="str">
        <f>Осн.положения!E3</f>
        <v>3Q22</v>
      </c>
      <c r="F2" s="231" t="str">
        <f>Осн.положения!F3</f>
        <v>4Q22</v>
      </c>
      <c r="G2" s="231" t="str">
        <f>Осн.положения!G3</f>
        <v>1Q23</v>
      </c>
      <c r="H2" s="231" t="str">
        <f>Осн.положения!H3</f>
        <v>2Q23</v>
      </c>
      <c r="I2" s="231" t="str">
        <f>Осн.положения!I3</f>
        <v>3Q23</v>
      </c>
      <c r="J2" s="231" t="str">
        <f>Осн.положения!J3</f>
        <v>4Q23</v>
      </c>
      <c r="K2" s="231" t="str">
        <f>Осн.положения!K3</f>
        <v>1Q24</v>
      </c>
      <c r="L2" s="231" t="str">
        <f>Осн.положения!L3</f>
        <v>2Q24</v>
      </c>
      <c r="M2" s="231" t="str">
        <f>Осн.положения!M3</f>
        <v>3Q24</v>
      </c>
      <c r="N2" s="231" t="str">
        <f>Осн.положения!N3</f>
        <v>4Q24</v>
      </c>
      <c r="O2" s="231" t="str">
        <f>Осн.положения!O3</f>
        <v>1Q25</v>
      </c>
      <c r="P2" s="231" t="str">
        <f>Осн.положения!P3</f>
        <v>2Q25</v>
      </c>
      <c r="Q2" s="231" t="str">
        <f>Осн.положения!Q3</f>
        <v>3Q25</v>
      </c>
      <c r="R2" s="231" t="str">
        <f>Осн.положения!R3</f>
        <v>4Q25</v>
      </c>
      <c r="S2" s="231" t="str">
        <f>Осн.положения!S3</f>
        <v>1Q26</v>
      </c>
      <c r="T2" s="231" t="str">
        <f>Осн.положения!T3</f>
        <v>2Q26</v>
      </c>
      <c r="U2" s="231" t="str">
        <f>Осн.положения!U3</f>
        <v>3Q26</v>
      </c>
      <c r="V2" s="231" t="str">
        <f>Осн.положения!V3</f>
        <v>4Q26</v>
      </c>
      <c r="W2" s="231" t="str">
        <f>Осн.положения!W3</f>
        <v>1Q27</v>
      </c>
      <c r="X2" s="231" t="str">
        <f>Осн.положения!X3</f>
        <v>2Q27</v>
      </c>
      <c r="Y2" s="231" t="str">
        <f>Осн.положения!Y3</f>
        <v>3Q27</v>
      </c>
      <c r="Z2" s="231" t="str">
        <f>Осн.положения!Z3</f>
        <v>4Q27</v>
      </c>
      <c r="AA2" s="231" t="str">
        <f>Осн.положения!AA3</f>
        <v>1Q28</v>
      </c>
      <c r="AB2" s="231" t="str">
        <f>Осн.положения!AB3</f>
        <v>2Q28</v>
      </c>
      <c r="AC2" s="231" t="str">
        <f>Осн.положения!AC3</f>
        <v>3Q28</v>
      </c>
      <c r="AD2" s="231" t="str">
        <f>Осн.положения!AD3</f>
        <v>4Q28</v>
      </c>
      <c r="AE2" s="231" t="str">
        <f>Осн.положения!AE3</f>
        <v>1Q29</v>
      </c>
      <c r="AF2" s="231" t="str">
        <f>Осн.положения!AF3</f>
        <v>2Q29</v>
      </c>
      <c r="AG2" s="231" t="s">
        <v>42</v>
      </c>
    </row>
    <row r="3" spans="1:33">
      <c r="A3" s="118"/>
      <c r="B3" s="118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52"/>
    </row>
    <row r="4" spans="1:33" ht="19">
      <c r="A4" s="118"/>
      <c r="B4" s="146" t="s">
        <v>14</v>
      </c>
      <c r="C4" s="142" t="s">
        <v>67</v>
      </c>
      <c r="E4" s="105">
        <f>Доходы!G15</f>
        <v>979813.875</v>
      </c>
      <c r="F4" s="105">
        <f>Доходы!H15</f>
        <v>1028555.8375</v>
      </c>
      <c r="G4" s="105">
        <f>Доходы!I15</f>
        <v>1079847.8</v>
      </c>
      <c r="H4" s="105">
        <f>Доходы!J15</f>
        <v>1133597.2625</v>
      </c>
      <c r="I4" s="105">
        <f>Доходы!K15</f>
        <v>1190121.2250000001</v>
      </c>
      <c r="J4" s="105">
        <f>Доходы!L15</f>
        <v>1249379.6875</v>
      </c>
      <c r="K4" s="105">
        <f>Доходы!M15</f>
        <v>1311617.1499999999</v>
      </c>
      <c r="L4" s="105">
        <f>Доходы!N15</f>
        <v>1377034.6125</v>
      </c>
      <c r="M4" s="105">
        <f>Доходы!O15</f>
        <v>1445463.575</v>
      </c>
      <c r="N4" s="105">
        <f>Доходы!P15</f>
        <v>1517439.0375000001</v>
      </c>
      <c r="O4" s="105">
        <f>Доходы!Q15</f>
        <v>1593020</v>
      </c>
      <c r="P4" s="105">
        <f>Доходы!R15</f>
        <v>1672245.9624999999</v>
      </c>
      <c r="Q4" s="105">
        <f>Доходы!S15</f>
        <v>1755357.925</v>
      </c>
      <c r="R4" s="105">
        <f>Доходы!T15</f>
        <v>1842708.8875</v>
      </c>
      <c r="S4" s="105">
        <f>Доходы!U15</f>
        <v>1934371.35</v>
      </c>
      <c r="T4" s="105">
        <f>Доходы!V15</f>
        <v>2030615.8125</v>
      </c>
      <c r="U4" s="105">
        <f>Доходы!W17</f>
        <v>0</v>
      </c>
      <c r="V4" s="105">
        <f>Доходы!X15</f>
        <v>2237870.2374999998</v>
      </c>
      <c r="W4" s="105">
        <f>Доходы!Y15</f>
        <v>2349223.2000000002</v>
      </c>
      <c r="X4" s="105">
        <f>Доходы!Z15</f>
        <v>2466085.1625000001</v>
      </c>
      <c r="Y4" s="105">
        <f>Доходы!AA15</f>
        <v>2588799.125</v>
      </c>
      <c r="Z4" s="105">
        <f>Доходы!AB15</f>
        <v>2717579.5874999999</v>
      </c>
      <c r="AA4" s="105">
        <f>Доходы!AC15</f>
        <v>2852766.05</v>
      </c>
      <c r="AB4" s="105">
        <f>Доходы!AD15</f>
        <v>2994665.5125000002</v>
      </c>
      <c r="AC4" s="105">
        <f>Доходы!AE15</f>
        <v>3143624.4750000001</v>
      </c>
      <c r="AD4" s="105">
        <f>Доходы!AF15</f>
        <v>3300078.4375</v>
      </c>
      <c r="AE4" s="105">
        <f>Доходы!AG15</f>
        <v>3464274.4</v>
      </c>
      <c r="AF4" s="105">
        <f>Доходы!AH15</f>
        <v>3636657.8624999998</v>
      </c>
      <c r="AG4" s="137">
        <f>SUM(D4:AF4)</f>
        <v>54892814.049999997</v>
      </c>
    </row>
    <row r="5" spans="1:33" ht="19">
      <c r="A5" s="118"/>
      <c r="B5" s="146" t="s">
        <v>15</v>
      </c>
      <c r="C5" s="142" t="s">
        <v>67</v>
      </c>
      <c r="E5" s="105">
        <f>-OPEX!F24</f>
        <v>-1266360.5874999999</v>
      </c>
      <c r="F5" s="105">
        <f>-OPEX!G24</f>
        <v>-1271234.7837499999</v>
      </c>
      <c r="G5" s="105">
        <f>-OPEX!H24</f>
        <v>-1276363.98</v>
      </c>
      <c r="H5" s="105">
        <f>-OPEX!I24</f>
        <v>-1281738.92625</v>
      </c>
      <c r="I5" s="105">
        <f>-OPEX!J24</f>
        <v>-1287391.3225</v>
      </c>
      <c r="J5" s="105">
        <f>-OPEX!K24</f>
        <v>-1293317.16875</v>
      </c>
      <c r="K5" s="105">
        <f>-OPEX!L24</f>
        <v>-1299540.915</v>
      </c>
      <c r="L5" s="105">
        <f>-OPEX!M24</f>
        <v>-1306082.6612499999</v>
      </c>
      <c r="M5" s="105">
        <f>-OPEX!N24</f>
        <v>-1312925.5574999999</v>
      </c>
      <c r="N5" s="105">
        <f>-OPEX!O24</f>
        <v>-1320123.10375</v>
      </c>
      <c r="O5" s="105">
        <f>-OPEX!P24</f>
        <v>-1327681.2</v>
      </c>
      <c r="P5" s="105">
        <f>-OPEX!Q24</f>
        <v>-1335603.7962499999</v>
      </c>
      <c r="Q5" s="105">
        <f>-OPEX!R24</f>
        <v>-1343914.9924999999</v>
      </c>
      <c r="R5" s="105">
        <f>-OPEX!S24</f>
        <v>-1856296.0887499999</v>
      </c>
      <c r="S5" s="105">
        <f>-OPEX!T24</f>
        <v>-1865462.335</v>
      </c>
      <c r="T5" s="105">
        <f>-OPEX!U24</f>
        <v>-1875086.78125</v>
      </c>
      <c r="U5" s="105">
        <f>-OPEX!V24</f>
        <v>-1672025.2</v>
      </c>
      <c r="V5" s="105">
        <f>-OPEX!W24</f>
        <v>-1895812.2237499999</v>
      </c>
      <c r="W5" s="105">
        <f>-OPEX!X24</f>
        <v>-1906947.52</v>
      </c>
      <c r="X5" s="105">
        <f>-OPEX!Y24</f>
        <v>-1918633.7162500001</v>
      </c>
      <c r="Y5" s="105">
        <f>-OPEX!Z24</f>
        <v>-1930905.1125</v>
      </c>
      <c r="Z5" s="105">
        <f>-OPEX!AA24</f>
        <v>-1943783.1587499999</v>
      </c>
      <c r="AA5" s="105">
        <f>-OPEX!AB24</f>
        <v>-1957301.8049999999</v>
      </c>
      <c r="AB5" s="105">
        <f>-OPEX!AC24</f>
        <v>-3986075.7512500002</v>
      </c>
      <c r="AC5" s="105">
        <f>-OPEX!AD24</f>
        <v>-4000971.6475</v>
      </c>
      <c r="AD5" s="105">
        <f>-OPEX!AE24</f>
        <v>-4016617.0437500002</v>
      </c>
      <c r="AE5" s="105">
        <f>-OPEX!AF24</f>
        <v>-4033036.64</v>
      </c>
      <c r="AF5" s="105">
        <f>-OPEX!AG24</f>
        <v>-4050274.9862500001</v>
      </c>
      <c r="AG5" s="137">
        <f t="shared" ref="AG5:AG10" si="0">SUM(D5:AF5)</f>
        <v>-55831509.004999995</v>
      </c>
    </row>
    <row r="6" spans="1:33" ht="19">
      <c r="A6" s="248"/>
      <c r="B6" s="249" t="s">
        <v>83</v>
      </c>
      <c r="C6" s="250" t="s">
        <v>67</v>
      </c>
      <c r="D6" s="251"/>
      <c r="E6" s="252">
        <f>SUM(E4:E5)</f>
        <v>-286546.71249999991</v>
      </c>
      <c r="F6" s="252">
        <f t="shared" ref="F6:AG6" si="1">SUM(F4:F5)</f>
        <v>-242678.94624999992</v>
      </c>
      <c r="G6" s="252">
        <f t="shared" si="1"/>
        <v>-196516.17999999993</v>
      </c>
      <c r="H6" s="252">
        <f t="shared" si="1"/>
        <v>-148141.66375000007</v>
      </c>
      <c r="I6" s="252">
        <f t="shared" si="1"/>
        <v>-97270.097499999916</v>
      </c>
      <c r="J6" s="252">
        <f t="shared" si="1"/>
        <v>-43937.481249999953</v>
      </c>
      <c r="K6" s="252">
        <f t="shared" si="1"/>
        <v>12076.23499999987</v>
      </c>
      <c r="L6" s="252">
        <f t="shared" si="1"/>
        <v>70951.951250000158</v>
      </c>
      <c r="M6" s="252">
        <f t="shared" si="1"/>
        <v>132538.01750000007</v>
      </c>
      <c r="N6" s="252">
        <f t="shared" si="1"/>
        <v>197315.93375000008</v>
      </c>
      <c r="O6" s="252">
        <f t="shared" si="1"/>
        <v>265338.80000000005</v>
      </c>
      <c r="P6" s="252">
        <f t="shared" si="1"/>
        <v>336642.16625000001</v>
      </c>
      <c r="Q6" s="252">
        <f t="shared" si="1"/>
        <v>411442.93250000011</v>
      </c>
      <c r="R6" s="252">
        <f t="shared" si="1"/>
        <v>-13587.201249999925</v>
      </c>
      <c r="S6" s="252">
        <f t="shared" si="1"/>
        <v>68909.01500000013</v>
      </c>
      <c r="T6" s="252">
        <f t="shared" si="1"/>
        <v>155529.03125</v>
      </c>
      <c r="U6" s="252">
        <f t="shared" si="1"/>
        <v>-1672025.2</v>
      </c>
      <c r="V6" s="252">
        <f t="shared" si="1"/>
        <v>342058.01374999993</v>
      </c>
      <c r="W6" s="252">
        <f t="shared" si="1"/>
        <v>442275.68000000017</v>
      </c>
      <c r="X6" s="252">
        <f t="shared" si="1"/>
        <v>547451.44625000004</v>
      </c>
      <c r="Y6" s="252">
        <f t="shared" si="1"/>
        <v>657894.01249999995</v>
      </c>
      <c r="Z6" s="252">
        <f t="shared" si="1"/>
        <v>773796.42874999996</v>
      </c>
      <c r="AA6" s="252">
        <f t="shared" si="1"/>
        <v>895464.24499999988</v>
      </c>
      <c r="AB6" s="252">
        <f t="shared" si="1"/>
        <v>-991410.23875000002</v>
      </c>
      <c r="AC6" s="252">
        <f t="shared" si="1"/>
        <v>-857347.17249999987</v>
      </c>
      <c r="AD6" s="252">
        <f t="shared" si="1"/>
        <v>-716538.60625000019</v>
      </c>
      <c r="AE6" s="252">
        <f t="shared" si="1"/>
        <v>-568762.24000000022</v>
      </c>
      <c r="AF6" s="252">
        <f t="shared" si="1"/>
        <v>-413617.12375000026</v>
      </c>
      <c r="AG6" s="253">
        <f t="shared" si="1"/>
        <v>-938694.95499999821</v>
      </c>
    </row>
    <row r="7" spans="1:33" ht="19">
      <c r="A7" s="118"/>
      <c r="B7" s="146" t="s">
        <v>32</v>
      </c>
      <c r="C7" s="142" t="s">
        <v>67</v>
      </c>
      <c r="D7" s="105"/>
      <c r="E7" s="105">
        <f>Налоги!E8</f>
        <v>0</v>
      </c>
      <c r="F7" s="105">
        <f>Налоги!F8</f>
        <v>-3.5714285714285712E-2</v>
      </c>
      <c r="G7" s="105">
        <f>Налоги!G8</f>
        <v>-3.5714285714285712E-2</v>
      </c>
      <c r="H7" s="105">
        <f>Налоги!H8</f>
        <v>-3.5714285714285712E-2</v>
      </c>
      <c r="I7" s="105">
        <f>Налоги!I8</f>
        <v>-3.5714285714285712E-2</v>
      </c>
      <c r="J7" s="105">
        <f>Налоги!J8</f>
        <v>-3.5714285714285712E-2</v>
      </c>
      <c r="K7" s="105">
        <f>Налоги!K8</f>
        <v>-3.5714285714285712E-2</v>
      </c>
      <c r="L7" s="105">
        <f>Налоги!L8</f>
        <v>-3.5714285714285712E-2</v>
      </c>
      <c r="M7" s="105">
        <f>Налоги!M8</f>
        <v>-3.5714285714285712E-2</v>
      </c>
      <c r="N7" s="105">
        <f>Налоги!N8</f>
        <v>-3.5714285714285712E-2</v>
      </c>
      <c r="O7" s="105">
        <f>Налоги!O8</f>
        <v>-3.5714285714285712E-2</v>
      </c>
      <c r="P7" s="105">
        <f>Налоги!P8</f>
        <v>-3.5714285714285712E-2</v>
      </c>
      <c r="Q7" s="105">
        <f>Налоги!Q8</f>
        <v>-3.5714285714285712E-2</v>
      </c>
      <c r="R7" s="105">
        <f>Налоги!R8</f>
        <v>-3.5714285714285712E-2</v>
      </c>
      <c r="S7" s="105">
        <f>Налоги!S8</f>
        <v>-3.5714285714285712E-2</v>
      </c>
      <c r="T7" s="105">
        <f>Налоги!T8</f>
        <v>-3.5714285714285712E-2</v>
      </c>
      <c r="U7" s="105">
        <f>Налоги!U8</f>
        <v>-3.5714285714285712E-2</v>
      </c>
      <c r="V7" s="105">
        <f>Налоги!V8</f>
        <v>-3.5714285714285712E-2</v>
      </c>
      <c r="W7" s="105">
        <f>Налоги!W8</f>
        <v>-3.5714285714285712E-2</v>
      </c>
      <c r="X7" s="105">
        <f>Налоги!X8</f>
        <v>-3.5714285714285712E-2</v>
      </c>
      <c r="Y7" s="105">
        <f>Налоги!Y8</f>
        <v>-3.5714285714285712E-2</v>
      </c>
      <c r="Z7" s="105">
        <f>Налоги!Z8</f>
        <v>-3.5714285714285712E-2</v>
      </c>
      <c r="AA7" s="105">
        <f>Налоги!AA8</f>
        <v>-3.5714285714285712E-2</v>
      </c>
      <c r="AB7" s="105">
        <f>Налоги!AB8</f>
        <v>-3.5714285714285712E-2</v>
      </c>
      <c r="AC7" s="105">
        <f>Налоги!AC8</f>
        <v>-3.5714285714285712E-2</v>
      </c>
      <c r="AD7" s="105">
        <f>Налоги!AD8</f>
        <v>-3.5714285714285712E-2</v>
      </c>
      <c r="AE7" s="105">
        <f>Налоги!AE8</f>
        <v>-3.5714285714285712E-2</v>
      </c>
      <c r="AF7" s="105">
        <f>Налоги!AF8</f>
        <v>-3.5714285714285712E-2</v>
      </c>
      <c r="AG7" s="137">
        <f t="shared" si="0"/>
        <v>-0.96428571428571397</v>
      </c>
    </row>
    <row r="8" spans="1:33" ht="19">
      <c r="A8" s="118"/>
      <c r="B8" s="146" t="s">
        <v>33</v>
      </c>
      <c r="C8" s="142" t="s">
        <v>67</v>
      </c>
      <c r="D8" s="129"/>
      <c r="E8" s="129">
        <f>SUM(E9:E10)</f>
        <v>57309.338099999994</v>
      </c>
      <c r="F8" s="129">
        <f>SUM(F9:F10)</f>
        <v>48535.792149999987</v>
      </c>
      <c r="G8" s="129">
        <f t="shared" ref="G8:L8" si="2">SUM(G9:G10)</f>
        <v>39303.23905714284</v>
      </c>
      <c r="H8" s="129">
        <f t="shared" si="2"/>
        <v>29628.335964285729</v>
      </c>
      <c r="I8" s="129">
        <f t="shared" si="2"/>
        <v>19454.022871428551</v>
      </c>
      <c r="J8" s="129">
        <f t="shared" si="2"/>
        <v>8787.4997785714204</v>
      </c>
      <c r="K8" s="129">
        <f t="shared" si="2"/>
        <v>-2415.2433142856885</v>
      </c>
      <c r="L8" s="129">
        <f t="shared" si="2"/>
        <v>-14190.386407142889</v>
      </c>
      <c r="M8" s="129">
        <f t="shared" ref="M8:T8" si="3">SUM(M9:M10)</f>
        <v>-26507.599500000022</v>
      </c>
      <c r="N8" s="129">
        <f t="shared" si="3"/>
        <v>-39463.182592857163</v>
      </c>
      <c r="O8" s="129">
        <f t="shared" si="3"/>
        <v>-53067.755685714292</v>
      </c>
      <c r="P8" s="129">
        <f t="shared" si="3"/>
        <v>-67328.428778571426</v>
      </c>
      <c r="Q8" s="129">
        <f t="shared" si="3"/>
        <v>-82288.581871428585</v>
      </c>
      <c r="R8" s="129">
        <f t="shared" si="3"/>
        <v>2717.4450357142709</v>
      </c>
      <c r="S8" s="129">
        <f t="shared" si="3"/>
        <v>-13781.798057142885</v>
      </c>
      <c r="T8" s="129">
        <f t="shared" si="3"/>
        <v>-31105.801150000007</v>
      </c>
      <c r="U8" s="129">
        <f t="shared" ref="U8:AF8" si="4">SUM(U9:U10)</f>
        <v>334405.04525714286</v>
      </c>
      <c r="V8" s="129">
        <f t="shared" si="4"/>
        <v>-68411.597335714265</v>
      </c>
      <c r="W8" s="129">
        <f t="shared" si="4"/>
        <v>-88455.130428571458</v>
      </c>
      <c r="X8" s="129">
        <f t="shared" si="4"/>
        <v>-109490.2835214286</v>
      </c>
      <c r="Y8" s="129">
        <f t="shared" si="4"/>
        <v>-131578.79661428573</v>
      </c>
      <c r="Z8" s="129">
        <f t="shared" si="4"/>
        <v>-154759.27970714285</v>
      </c>
      <c r="AA8" s="129">
        <f t="shared" si="4"/>
        <v>-179092.84280000001</v>
      </c>
      <c r="AB8" s="129">
        <f t="shared" si="4"/>
        <v>198282.05410714285</v>
      </c>
      <c r="AC8" s="129">
        <f t="shared" si="4"/>
        <v>171469.44101428569</v>
      </c>
      <c r="AD8" s="129">
        <f t="shared" si="4"/>
        <v>143307.72792142862</v>
      </c>
      <c r="AE8" s="129">
        <f t="shared" si="4"/>
        <v>113752.45482857147</v>
      </c>
      <c r="AF8" s="129">
        <f t="shared" si="4"/>
        <v>82723.431735714345</v>
      </c>
      <c r="AG8" s="137">
        <f t="shared" si="0"/>
        <v>187739.12005714281</v>
      </c>
    </row>
    <row r="9" spans="1:33" ht="19">
      <c r="A9" s="118"/>
      <c r="B9" s="150" t="s">
        <v>16</v>
      </c>
      <c r="C9" s="142" t="s">
        <v>67</v>
      </c>
      <c r="D9" s="105"/>
      <c r="E9" s="105">
        <f>-Налоги!E13</f>
        <v>57309.343599999993</v>
      </c>
      <c r="F9" s="105">
        <f>-Налоги!F13</f>
        <v>48535.797453571417</v>
      </c>
      <c r="G9" s="105">
        <f>-Налоги!G13</f>
        <v>39303.244164285701</v>
      </c>
      <c r="H9" s="105">
        <f>-Налоги!H13</f>
        <v>29628.340875000013</v>
      </c>
      <c r="I9" s="105">
        <f>-Налоги!I13</f>
        <v>19454.027585714266</v>
      </c>
      <c r="J9" s="105">
        <f>-Налоги!J13</f>
        <v>8787.504296428564</v>
      </c>
      <c r="K9" s="105">
        <f>-Налоги!K13</f>
        <v>-2415.238992857117</v>
      </c>
      <c r="L9" s="105">
        <f>-Налоги!L13</f>
        <v>-14190.382282142889</v>
      </c>
      <c r="M9" s="105">
        <f>-Налоги!M13</f>
        <v>-26507.595571428592</v>
      </c>
      <c r="N9" s="105">
        <f>-Налоги!N13</f>
        <v>-39463.17886071431</v>
      </c>
      <c r="O9" s="105">
        <f>-Налоги!O13</f>
        <v>-53067.752150000008</v>
      </c>
      <c r="P9" s="105">
        <f>-Налоги!P13</f>
        <v>-67328.425439285711</v>
      </c>
      <c r="Q9" s="105">
        <f>-Налоги!Q13</f>
        <v>-82288.578728571447</v>
      </c>
      <c r="R9" s="105">
        <f>-Налоги!R13</f>
        <v>2717.4479821428422</v>
      </c>
      <c r="S9" s="105">
        <f>-Налоги!S13</f>
        <v>-13781.795307142886</v>
      </c>
      <c r="T9" s="105">
        <f>-Налоги!T13</f>
        <v>-31105.798596428576</v>
      </c>
      <c r="U9" s="105">
        <f>-Налоги!U13</f>
        <v>334405.04761428572</v>
      </c>
      <c r="V9" s="105">
        <f>-Налоги!V13</f>
        <v>-68411.59517499998</v>
      </c>
      <c r="W9" s="105">
        <f>-Налоги!W13</f>
        <v>-88455.12846428575</v>
      </c>
      <c r="X9" s="105">
        <f>-Налоги!X13</f>
        <v>-109490.28175357146</v>
      </c>
      <c r="Y9" s="105">
        <f>-Налоги!Y13</f>
        <v>-131578.79504285715</v>
      </c>
      <c r="Z9" s="105">
        <f>-Налоги!Z13</f>
        <v>-154759.27833214286</v>
      </c>
      <c r="AA9" s="105">
        <f>-Налоги!AA13</f>
        <v>-179092.84162142858</v>
      </c>
      <c r="AB9" s="105">
        <f>-Налоги!AB13</f>
        <v>198282.05508928571</v>
      </c>
      <c r="AC9" s="105">
        <f>-Налоги!AC13</f>
        <v>171469.44179999997</v>
      </c>
      <c r="AD9" s="105">
        <f>-Налоги!AD13</f>
        <v>143307.72851071434</v>
      </c>
      <c r="AE9" s="105">
        <f>-Налоги!AE13</f>
        <v>113752.45522142861</v>
      </c>
      <c r="AF9" s="105">
        <f>-Налоги!AF13</f>
        <v>82723.431932142921</v>
      </c>
      <c r="AG9" s="137">
        <f t="shared" si="0"/>
        <v>187739.19980714281</v>
      </c>
    </row>
    <row r="10" spans="1:33" ht="19">
      <c r="A10" s="118"/>
      <c r="B10" s="150" t="s">
        <v>31</v>
      </c>
      <c r="C10" s="142" t="s">
        <v>67</v>
      </c>
      <c r="D10" s="105"/>
      <c r="E10" s="105">
        <f>-Налоги!E22</f>
        <v>-5.4999999999999997E-3</v>
      </c>
      <c r="F10" s="105">
        <f>-Налоги!F22</f>
        <v>-5.3035714285714283E-3</v>
      </c>
      <c r="G10" s="105">
        <f>-Налоги!G22</f>
        <v>-5.107142857142857E-3</v>
      </c>
      <c r="H10" s="105">
        <f>-Налоги!H22</f>
        <v>-4.9107142857142856E-3</v>
      </c>
      <c r="I10" s="105">
        <f>-Налоги!I22</f>
        <v>-4.7142857142857143E-3</v>
      </c>
      <c r="J10" s="105">
        <f>-Налоги!J22</f>
        <v>-4.517857142857142E-3</v>
      </c>
      <c r="K10" s="105">
        <f>-Налоги!K22</f>
        <v>-4.3214285714285715E-3</v>
      </c>
      <c r="L10" s="105">
        <f>-Налоги!L22</f>
        <v>-4.1250000000000002E-3</v>
      </c>
      <c r="M10" s="105">
        <f>-Налоги!M22</f>
        <v>-3.9285714285714288E-3</v>
      </c>
      <c r="N10" s="105">
        <f>-Налоги!N22</f>
        <v>-3.7321428571428571E-3</v>
      </c>
      <c r="O10" s="105">
        <f>-Налоги!O22</f>
        <v>-3.5357142857142866E-3</v>
      </c>
      <c r="P10" s="105">
        <f>-Налоги!P22</f>
        <v>-3.3392857142857143E-3</v>
      </c>
      <c r="Q10" s="105">
        <f>-Налоги!Q22</f>
        <v>-3.1428571428571439E-3</v>
      </c>
      <c r="R10" s="105">
        <f>-Налоги!R22</f>
        <v>-2.9464285714285716E-3</v>
      </c>
      <c r="S10" s="105">
        <f>-Налоги!S22</f>
        <v>-2.7500000000000011E-3</v>
      </c>
      <c r="T10" s="105">
        <f>-Налоги!T22</f>
        <v>-2.5535714285714289E-3</v>
      </c>
      <c r="U10" s="105">
        <f>-Налоги!U22</f>
        <v>-2.357142857142858E-3</v>
      </c>
      <c r="V10" s="105">
        <f>-Налоги!V22</f>
        <v>-2.1607142857142866E-3</v>
      </c>
      <c r="W10" s="105">
        <f>-Налоги!W22</f>
        <v>-1.9642857142857153E-3</v>
      </c>
      <c r="X10" s="105">
        <f>-Налоги!X22</f>
        <v>-1.7678571428571437E-3</v>
      </c>
      <c r="Y10" s="105">
        <f>-Налоги!Y22</f>
        <v>-1.5714285714285726E-3</v>
      </c>
      <c r="Z10" s="105">
        <f>-Налоги!Z22</f>
        <v>-1.3750000000000012E-3</v>
      </c>
      <c r="AA10" s="105">
        <f>-Налоги!AA22</f>
        <v>-1.1785714285714299E-3</v>
      </c>
      <c r="AB10" s="105">
        <f>-Налоги!AB22</f>
        <v>-9.8214285714285851E-4</v>
      </c>
      <c r="AC10" s="105">
        <f>-Налоги!AC22</f>
        <v>-7.8571428571428716E-4</v>
      </c>
      <c r="AD10" s="105">
        <f>-Налоги!AD22</f>
        <v>-5.892857142857158E-4</v>
      </c>
      <c r="AE10" s="105">
        <f>-Налоги!AE22</f>
        <v>-3.928571428571445E-4</v>
      </c>
      <c r="AF10" s="105">
        <f>-Налоги!AF22</f>
        <v>-1.9642857142857317E-4</v>
      </c>
      <c r="AG10" s="137">
        <f t="shared" si="0"/>
        <v>-7.9750000000000015E-2</v>
      </c>
    </row>
    <row r="11" spans="1:33" ht="19">
      <c r="A11" s="248"/>
      <c r="B11" s="249" t="s">
        <v>34</v>
      </c>
      <c r="C11" s="250"/>
      <c r="D11" s="254"/>
      <c r="E11" s="255">
        <f>SUM(E6:E8)</f>
        <v>-229237.37439999991</v>
      </c>
      <c r="F11" s="255">
        <f t="shared" ref="F11:AG11" si="5">SUM(F6:F8)</f>
        <v>-194143.18981428564</v>
      </c>
      <c r="G11" s="255">
        <f t="shared" si="5"/>
        <v>-157212.9766571428</v>
      </c>
      <c r="H11" s="255">
        <f t="shared" si="5"/>
        <v>-118513.36350000005</v>
      </c>
      <c r="I11" s="255">
        <f t="shared" si="5"/>
        <v>-77816.110342857079</v>
      </c>
      <c r="J11" s="255">
        <f t="shared" si="5"/>
        <v>-35150.017185714249</v>
      </c>
      <c r="K11" s="255">
        <f t="shared" si="5"/>
        <v>9660.9559714284678</v>
      </c>
      <c r="L11" s="255">
        <f t="shared" si="5"/>
        <v>56761.529128571558</v>
      </c>
      <c r="M11" s="255">
        <f t="shared" si="5"/>
        <v>106030.38228571434</v>
      </c>
      <c r="N11" s="255">
        <f t="shared" si="5"/>
        <v>157852.71544285721</v>
      </c>
      <c r="O11" s="255">
        <f t="shared" si="5"/>
        <v>212271.0086</v>
      </c>
      <c r="P11" s="255">
        <f t="shared" si="5"/>
        <v>269313.70175714284</v>
      </c>
      <c r="Q11" s="255">
        <f t="shared" si="5"/>
        <v>329154.31491428579</v>
      </c>
      <c r="R11" s="255">
        <f t="shared" si="5"/>
        <v>-10869.791928571369</v>
      </c>
      <c r="S11" s="255">
        <f t="shared" si="5"/>
        <v>55127.181228571535</v>
      </c>
      <c r="T11" s="255">
        <f t="shared" si="5"/>
        <v>124423.19438571428</v>
      </c>
      <c r="U11" s="255">
        <f t="shared" si="5"/>
        <v>-1337620.1904571429</v>
      </c>
      <c r="V11" s="255">
        <f t="shared" si="5"/>
        <v>273646.38069999992</v>
      </c>
      <c r="W11" s="255">
        <f t="shared" si="5"/>
        <v>353820.513857143</v>
      </c>
      <c r="X11" s="255">
        <f t="shared" si="5"/>
        <v>437961.12701428577</v>
      </c>
      <c r="Y11" s="255">
        <f t="shared" si="5"/>
        <v>526315.18017142848</v>
      </c>
      <c r="Z11" s="255">
        <f t="shared" si="5"/>
        <v>619037.11332857143</v>
      </c>
      <c r="AA11" s="255">
        <f t="shared" si="5"/>
        <v>716371.36648571421</v>
      </c>
      <c r="AB11" s="255">
        <f t="shared" si="5"/>
        <v>-793128.22035714285</v>
      </c>
      <c r="AC11" s="255">
        <f t="shared" si="5"/>
        <v>-685877.76719999989</v>
      </c>
      <c r="AD11" s="255">
        <f t="shared" si="5"/>
        <v>-573230.91404285724</v>
      </c>
      <c r="AE11" s="255">
        <f t="shared" si="5"/>
        <v>-455009.82088571443</v>
      </c>
      <c r="AF11" s="255">
        <f t="shared" si="5"/>
        <v>-330893.72772857163</v>
      </c>
      <c r="AG11" s="256">
        <f t="shared" si="5"/>
        <v>-750956.79922856973</v>
      </c>
    </row>
    <row r="12" spans="1:33" ht="19">
      <c r="A12" s="118"/>
      <c r="B12" s="146"/>
      <c r="C12" s="142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37"/>
    </row>
    <row r="13" spans="1:33" ht="19">
      <c r="A13" s="118"/>
      <c r="B13" s="146" t="s">
        <v>38</v>
      </c>
      <c r="C13" s="142" t="s">
        <v>67</v>
      </c>
      <c r="D13" s="129"/>
      <c r="E13" s="129">
        <f>-E7</f>
        <v>0</v>
      </c>
      <c r="F13" s="129">
        <f t="shared" ref="F13:L13" si="6">-F7</f>
        <v>3.5714285714285712E-2</v>
      </c>
      <c r="G13" s="129">
        <f t="shared" si="6"/>
        <v>3.5714285714285712E-2</v>
      </c>
      <c r="H13" s="129">
        <f t="shared" si="6"/>
        <v>3.5714285714285712E-2</v>
      </c>
      <c r="I13" s="129">
        <f t="shared" si="6"/>
        <v>3.5714285714285712E-2</v>
      </c>
      <c r="J13" s="129">
        <f t="shared" si="6"/>
        <v>3.5714285714285712E-2</v>
      </c>
      <c r="K13" s="129">
        <f t="shared" si="6"/>
        <v>3.5714285714285712E-2</v>
      </c>
      <c r="L13" s="129">
        <f t="shared" si="6"/>
        <v>3.5714285714285712E-2</v>
      </c>
      <c r="M13" s="129">
        <f t="shared" ref="M13:T13" si="7">-M7</f>
        <v>3.5714285714285712E-2</v>
      </c>
      <c r="N13" s="129">
        <f t="shared" si="7"/>
        <v>3.5714285714285712E-2</v>
      </c>
      <c r="O13" s="129">
        <f t="shared" si="7"/>
        <v>3.5714285714285712E-2</v>
      </c>
      <c r="P13" s="129">
        <f t="shared" si="7"/>
        <v>3.5714285714285712E-2</v>
      </c>
      <c r="Q13" s="129">
        <f t="shared" si="7"/>
        <v>3.5714285714285712E-2</v>
      </c>
      <c r="R13" s="129">
        <f t="shared" si="7"/>
        <v>3.5714285714285712E-2</v>
      </c>
      <c r="S13" s="129">
        <f t="shared" si="7"/>
        <v>3.5714285714285712E-2</v>
      </c>
      <c r="T13" s="129">
        <f t="shared" si="7"/>
        <v>3.5714285714285712E-2</v>
      </c>
      <c r="U13" s="129">
        <f t="shared" ref="U13:AF13" si="8">-U7</f>
        <v>3.5714285714285712E-2</v>
      </c>
      <c r="V13" s="129">
        <f t="shared" si="8"/>
        <v>3.5714285714285712E-2</v>
      </c>
      <c r="W13" s="129">
        <f t="shared" si="8"/>
        <v>3.5714285714285712E-2</v>
      </c>
      <c r="X13" s="129">
        <f t="shared" si="8"/>
        <v>3.5714285714285712E-2</v>
      </c>
      <c r="Y13" s="129">
        <f t="shared" si="8"/>
        <v>3.5714285714285712E-2</v>
      </c>
      <c r="Z13" s="129">
        <f t="shared" si="8"/>
        <v>3.5714285714285712E-2</v>
      </c>
      <c r="AA13" s="129">
        <f t="shared" si="8"/>
        <v>3.5714285714285712E-2</v>
      </c>
      <c r="AB13" s="129">
        <f t="shared" si="8"/>
        <v>3.5714285714285712E-2</v>
      </c>
      <c r="AC13" s="129">
        <f t="shared" si="8"/>
        <v>3.5714285714285712E-2</v>
      </c>
      <c r="AD13" s="129">
        <f t="shared" si="8"/>
        <v>3.5714285714285712E-2</v>
      </c>
      <c r="AE13" s="129">
        <f t="shared" si="8"/>
        <v>3.5714285714285712E-2</v>
      </c>
      <c r="AF13" s="129">
        <f t="shared" si="8"/>
        <v>3.5714285714285712E-2</v>
      </c>
      <c r="AG13" s="137">
        <f>SUM(D13:AF13)</f>
        <v>0.96428571428571397</v>
      </c>
    </row>
    <row r="14" spans="1:33" ht="19">
      <c r="A14" s="118"/>
      <c r="B14" s="146" t="s">
        <v>40</v>
      </c>
      <c r="C14" s="142" t="s">
        <v>67</v>
      </c>
      <c r="D14" s="129">
        <f>-CAPEX!D4</f>
        <v>0</v>
      </c>
      <c r="E14" s="129">
        <f>-CAPEX!E4</f>
        <v>-1</v>
      </c>
      <c r="F14" s="129">
        <f>-CAPEX!F4</f>
        <v>0</v>
      </c>
      <c r="G14" s="129">
        <f>-CAPEX!G4</f>
        <v>0</v>
      </c>
      <c r="H14" s="129">
        <f>-CAPEX!H4</f>
        <v>0</v>
      </c>
      <c r="I14" s="129">
        <f>-CAPEX!I4</f>
        <v>0</v>
      </c>
      <c r="J14" s="129">
        <f>-CAPEX!J4</f>
        <v>0</v>
      </c>
      <c r="K14" s="129">
        <f>-CAPEX!K4</f>
        <v>0</v>
      </c>
      <c r="L14" s="129">
        <f>-CAPEX!L4</f>
        <v>0</v>
      </c>
      <c r="M14" s="129">
        <f>-CAPEX!M4</f>
        <v>0</v>
      </c>
      <c r="N14" s="129">
        <f>-CAPEX!N4</f>
        <v>0</v>
      </c>
      <c r="O14" s="129">
        <f>-CAPEX!O4</f>
        <v>0</v>
      </c>
      <c r="P14" s="129">
        <f>-CAPEX!P4</f>
        <v>0</v>
      </c>
      <c r="Q14" s="129">
        <f>-CAPEX!Q4</f>
        <v>0</v>
      </c>
      <c r="R14" s="129">
        <f>-CAPEX!R4</f>
        <v>0</v>
      </c>
      <c r="S14" s="129">
        <f>-CAPEX!S4</f>
        <v>0</v>
      </c>
      <c r="T14" s="129">
        <f>-CAPEX!T4</f>
        <v>0</v>
      </c>
      <c r="U14" s="129">
        <f>-CAPEX!U4</f>
        <v>0</v>
      </c>
      <c r="V14" s="129">
        <f>-CAPEX!V4</f>
        <v>0</v>
      </c>
      <c r="W14" s="129">
        <f>-CAPEX!W4</f>
        <v>0</v>
      </c>
      <c r="X14" s="129">
        <f>-CAPEX!X4</f>
        <v>0</v>
      </c>
      <c r="Y14" s="129">
        <f>-CAPEX!Y4</f>
        <v>0</v>
      </c>
      <c r="Z14" s="129">
        <f>-CAPEX!Z4</f>
        <v>0</v>
      </c>
      <c r="AA14" s="129">
        <f>-CAPEX!AA4</f>
        <v>0</v>
      </c>
      <c r="AB14" s="129">
        <f>-CAPEX!AB4</f>
        <v>0</v>
      </c>
      <c r="AC14" s="129">
        <f>-CAPEX!AC4</f>
        <v>0</v>
      </c>
      <c r="AD14" s="129">
        <f>-CAPEX!AD4</f>
        <v>0</v>
      </c>
      <c r="AE14" s="129">
        <f>-CAPEX!AE4</f>
        <v>0</v>
      </c>
      <c r="AF14" s="129">
        <f>-CAPEX!AF4</f>
        <v>0</v>
      </c>
      <c r="AG14" s="137">
        <f>SUM(D14:AF14)</f>
        <v>-1</v>
      </c>
    </row>
    <row r="15" spans="1:33" ht="19">
      <c r="A15" s="118"/>
      <c r="B15" s="146" t="s">
        <v>124</v>
      </c>
      <c r="C15" s="142" t="s">
        <v>67</v>
      </c>
      <c r="D15" s="122">
        <f>D11+D13+D14</f>
        <v>0</v>
      </c>
      <c r="E15" s="122">
        <f t="shared" ref="E15:AF15" si="9">E11+E13+E14</f>
        <v>-229238.37439999991</v>
      </c>
      <c r="F15" s="122">
        <f t="shared" si="9"/>
        <v>-194143.15409999993</v>
      </c>
      <c r="G15" s="122">
        <f t="shared" si="9"/>
        <v>-157212.94094285709</v>
      </c>
      <c r="H15" s="122">
        <f t="shared" si="9"/>
        <v>-118513.32778571434</v>
      </c>
      <c r="I15" s="122">
        <f t="shared" si="9"/>
        <v>-77816.074628571369</v>
      </c>
      <c r="J15" s="122">
        <f t="shared" si="9"/>
        <v>-35149.981471428531</v>
      </c>
      <c r="K15" s="122">
        <f t="shared" si="9"/>
        <v>9660.9916857141816</v>
      </c>
      <c r="L15" s="122">
        <f t="shared" si="9"/>
        <v>56761.564842857275</v>
      </c>
      <c r="M15" s="122">
        <f t="shared" si="9"/>
        <v>106030.41800000005</v>
      </c>
      <c r="N15" s="122">
        <f t="shared" si="9"/>
        <v>157852.75115714292</v>
      </c>
      <c r="O15" s="122">
        <f t="shared" si="9"/>
        <v>212271.04431428571</v>
      </c>
      <c r="P15" s="122">
        <f t="shared" si="9"/>
        <v>269313.73747142858</v>
      </c>
      <c r="Q15" s="122">
        <f t="shared" si="9"/>
        <v>329154.35062857153</v>
      </c>
      <c r="R15" s="122">
        <f t="shared" si="9"/>
        <v>-10869.756214285655</v>
      </c>
      <c r="S15" s="122">
        <f t="shared" si="9"/>
        <v>55127.216942857252</v>
      </c>
      <c r="T15" s="122">
        <f t="shared" si="9"/>
        <v>124423.23009999999</v>
      </c>
      <c r="U15" s="122">
        <f t="shared" si="9"/>
        <v>-1337620.1547428572</v>
      </c>
      <c r="V15" s="122">
        <f t="shared" si="9"/>
        <v>273646.41641428566</v>
      </c>
      <c r="W15" s="122">
        <f t="shared" si="9"/>
        <v>353820.54957142874</v>
      </c>
      <c r="X15" s="122">
        <f t="shared" si="9"/>
        <v>437961.16272857151</v>
      </c>
      <c r="Y15" s="122">
        <f t="shared" si="9"/>
        <v>526315.21588571416</v>
      </c>
      <c r="Z15" s="122">
        <f t="shared" si="9"/>
        <v>619037.14904285711</v>
      </c>
      <c r="AA15" s="122">
        <f t="shared" si="9"/>
        <v>716371.40219999989</v>
      </c>
      <c r="AB15" s="122">
        <f t="shared" si="9"/>
        <v>-793128.18464285717</v>
      </c>
      <c r="AC15" s="122">
        <f t="shared" si="9"/>
        <v>-685877.7314857142</v>
      </c>
      <c r="AD15" s="122">
        <f t="shared" si="9"/>
        <v>-573230.87832857156</v>
      </c>
      <c r="AE15" s="122">
        <f t="shared" si="9"/>
        <v>-455009.7851714287</v>
      </c>
      <c r="AF15" s="122">
        <f t="shared" si="9"/>
        <v>-330893.69201428589</v>
      </c>
      <c r="AG15" s="153">
        <f>SUM(D15:AF15)</f>
        <v>-750956.83494285704</v>
      </c>
    </row>
    <row r="16" spans="1:33" ht="19">
      <c r="A16" s="118"/>
      <c r="B16" s="146"/>
      <c r="C16" s="142"/>
      <c r="D16" s="105"/>
      <c r="E16" s="105"/>
      <c r="F16" s="105"/>
      <c r="G16" s="105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37"/>
    </row>
    <row r="17" spans="1:33" s="145" customFormat="1" ht="19">
      <c r="A17" s="143"/>
      <c r="B17" s="146" t="s">
        <v>18</v>
      </c>
      <c r="C17" s="144"/>
      <c r="D17" s="149">
        <f>1/((1+Осн.положения!$D$9)^D1)</f>
        <v>1</v>
      </c>
      <c r="E17" s="149">
        <f>1/((1+Осн.положения!$D$9)^E1)</f>
        <v>1</v>
      </c>
      <c r="F17" s="149">
        <f>1/((1+Осн.положения!$D$9)^F1)</f>
        <v>0.97756685967507773</v>
      </c>
      <c r="G17" s="149">
        <f>1/((1+Осн.положения!$D$9)^G1)</f>
        <v>0.95563696513499297</v>
      </c>
      <c r="H17" s="149">
        <f>1/((1+Осн.положения!$D$9)^H1)</f>
        <v>0.93419902699643687</v>
      </c>
      <c r="I17" s="149">
        <f>1/((1+Осн.положения!$D$9)^I1)</f>
        <v>0.91324200913241971</v>
      </c>
      <c r="J17" s="149">
        <f>1/((1+Осн.положения!$D$9)^J1)</f>
        <v>0.89275512299093829</v>
      </c>
      <c r="K17" s="149">
        <f>1/((1+Осн.положения!$D$9)^K1)</f>
        <v>0.87272782204108912</v>
      </c>
      <c r="L17" s="149">
        <f>1/((1+Осн.положения!$D$9)^L1)</f>
        <v>0.85314979634377774</v>
      </c>
      <c r="M17" s="149">
        <f>1/((1+Осн.положения!$D$9)^M1)</f>
        <v>0.83401096724421864</v>
      </c>
      <c r="N17" s="149">
        <f>1/((1+Осн.положения!$D$9)^N1)</f>
        <v>0.81530148218350496</v>
      </c>
      <c r="O17" s="149">
        <f>1/((1+Осн.положения!$D$9)^O1)</f>
        <v>0.79701170962656509</v>
      </c>
      <c r="P17" s="149">
        <f>1/((1+Осн.положения!$D$9)^P1)</f>
        <v>0.77913223410390631</v>
      </c>
      <c r="Q17" s="149">
        <f>1/((1+Осн.положения!$D$9)^Q1)</f>
        <v>0.76165385136458297</v>
      </c>
      <c r="R17" s="149">
        <f>1/((1+Осн.положения!$D$9)^R1)</f>
        <v>0.74456756363790377</v>
      </c>
      <c r="S17" s="149">
        <f>1/((1+Осн.положения!$D$9)^S1)</f>
        <v>0.72786457500142898</v>
      </c>
      <c r="T17" s="149">
        <f>1/((1+Осн.положения!$D$9)^T1)</f>
        <v>0.71153628685288228</v>
      </c>
      <c r="U17" s="149">
        <f>1/((1+Осн.положения!$D$9)^U1)</f>
        <v>0.69557429348363708</v>
      </c>
      <c r="V17" s="149">
        <f>1/((1+Осн.положения!$D$9)^V1)</f>
        <v>0.67997037775151004</v>
      </c>
      <c r="W17" s="149">
        <f>1/((1+Осн.положения!$D$9)^W1)</f>
        <v>0.66471650685061989</v>
      </c>
      <c r="X17" s="149">
        <f>1/((1+Осн.положения!$D$9)^X1)</f>
        <v>0.64980482817614782</v>
      </c>
      <c r="Y17" s="149">
        <f>1/((1+Осн.положения!$D$9)^Y1)</f>
        <v>0.63522766528186014</v>
      </c>
      <c r="Z17" s="149">
        <f>1/((1+Осн.положения!$D$9)^Z1)</f>
        <v>0.62097751392831946</v>
      </c>
      <c r="AA17" s="149">
        <f>1/((1+Осн.положения!$D$9)^AA1)</f>
        <v>0.60704703821974393</v>
      </c>
      <c r="AB17" s="149">
        <f>1/((1+Осн.положения!$D$9)^AB1)</f>
        <v>0.59342906682753205</v>
      </c>
      <c r="AC17" s="149">
        <f>1/((1+Осн.положения!$D$9)^AC1)</f>
        <v>0.58011658929850218</v>
      </c>
      <c r="AD17" s="149">
        <f>1/((1+Осн.положения!$D$9)^AD1)</f>
        <v>0.56710275244595365</v>
      </c>
      <c r="AE17" s="149">
        <f>1/((1+Осн.положения!$D$9)^AE1)</f>
        <v>0.5543808568216837</v>
      </c>
      <c r="AF17" s="149">
        <f>1/((1+Осн.положения!$D$9)^AF1)</f>
        <v>0.5419443532671524</v>
      </c>
      <c r="AG17" s="154"/>
    </row>
    <row r="18" spans="1:33" ht="19">
      <c r="A18" s="118"/>
      <c r="B18" s="146"/>
      <c r="C18" s="142"/>
      <c r="D18" s="105"/>
      <c r="E18" s="105"/>
      <c r="F18" s="105"/>
      <c r="G18" s="105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37"/>
    </row>
    <row r="19" spans="1:33" ht="19">
      <c r="A19" s="248"/>
      <c r="B19" s="249" t="s">
        <v>89</v>
      </c>
      <c r="C19" s="250" t="s">
        <v>67</v>
      </c>
      <c r="D19" s="251">
        <f>D15*D17</f>
        <v>0</v>
      </c>
      <c r="E19" s="255">
        <f>E15*E17</f>
        <v>-229238.37439999991</v>
      </c>
      <c r="F19" s="255">
        <f t="shared" ref="F19:AF19" si="10">F15*F17</f>
        <v>-189787.91348095163</v>
      </c>
      <c r="G19" s="255">
        <f t="shared" si="10"/>
        <v>-150238.49776257883</v>
      </c>
      <c r="H19" s="255">
        <f t="shared" si="10"/>
        <v>-110715.03550352412</v>
      </c>
      <c r="I19" s="255">
        <f t="shared" si="10"/>
        <v>-71064.908336594832</v>
      </c>
      <c r="J19" s="255">
        <f t="shared" si="10"/>
        <v>-31380.326031654382</v>
      </c>
      <c r="K19" s="255">
        <f t="shared" si="10"/>
        <v>8431.4162326304086</v>
      </c>
      <c r="L19" s="255">
        <f t="shared" si="10"/>
        <v>48426.117485837822</v>
      </c>
      <c r="M19" s="255">
        <f t="shared" si="10"/>
        <v>88430.531473488852</v>
      </c>
      <c r="N19" s="255">
        <f t="shared" si="10"/>
        <v>128697.5819851626</v>
      </c>
      <c r="O19" s="255">
        <f t="shared" si="10"/>
        <v>169182.50793314521</v>
      </c>
      <c r="P19" s="255">
        <f t="shared" si="10"/>
        <v>209831.01395098705</v>
      </c>
      <c r="Q19" s="255">
        <f t="shared" si="10"/>
        <v>250701.67884965983</v>
      </c>
      <c r="R19" s="255">
        <f t="shared" si="10"/>
        <v>-8093.2679018086346</v>
      </c>
      <c r="S19" s="255">
        <f t="shared" si="10"/>
        <v>40125.148331124372</v>
      </c>
      <c r="T19" s="255">
        <f t="shared" si="10"/>
        <v>88531.643143595764</v>
      </c>
      <c r="U19" s="255">
        <f t="shared" si="10"/>
        <v>-930414.19408473617</v>
      </c>
      <c r="V19" s="255">
        <f t="shared" si="10"/>
        <v>186071.45713956884</v>
      </c>
      <c r="W19" s="255">
        <f t="shared" si="10"/>
        <v>235190.35976308672</v>
      </c>
      <c r="X19" s="255">
        <f t="shared" si="10"/>
        <v>284589.27809466532</v>
      </c>
      <c r="Y19" s="255">
        <f t="shared" si="10"/>
        <v>334329.98578940041</v>
      </c>
      <c r="Z19" s="255">
        <f t="shared" si="10"/>
        <v>384408.14984190796</v>
      </c>
      <c r="AA19" s="255">
        <f t="shared" si="10"/>
        <v>434871.13797083491</v>
      </c>
      <c r="AB19" s="255">
        <f t="shared" si="10"/>
        <v>-470665.31848722528</v>
      </c>
      <c r="AC19" s="255">
        <f t="shared" si="10"/>
        <v>-397889.05026528641</v>
      </c>
      <c r="AD19" s="255">
        <f t="shared" si="10"/>
        <v>-325080.80888714449</v>
      </c>
      <c r="AE19" s="255">
        <f t="shared" si="10"/>
        <v>-252248.71456558688</v>
      </c>
      <c r="AF19" s="255">
        <f t="shared" si="10"/>
        <v>-179325.96791886247</v>
      </c>
      <c r="AG19" s="253">
        <f>SUM(D19:AF19)</f>
        <v>-454324.36964085791</v>
      </c>
    </row>
    <row r="20" spans="1:33" ht="19">
      <c r="A20" s="118"/>
      <c r="B20" s="147" t="s">
        <v>123</v>
      </c>
      <c r="C20" s="142"/>
      <c r="D20" s="105">
        <f>D19</f>
        <v>0</v>
      </c>
      <c r="E20" s="148">
        <f>D20+E19</f>
        <v>-229238.37439999991</v>
      </c>
      <c r="F20" s="148">
        <f>E20+F19</f>
        <v>-419026.28788095154</v>
      </c>
      <c r="G20" s="148">
        <f t="shared" ref="G20:L20" si="11">F20+G19</f>
        <v>-569264.78564353031</v>
      </c>
      <c r="H20" s="148">
        <f t="shared" si="11"/>
        <v>-679979.82114705443</v>
      </c>
      <c r="I20" s="148">
        <f t="shared" si="11"/>
        <v>-751044.72948364925</v>
      </c>
      <c r="J20" s="148">
        <f t="shared" si="11"/>
        <v>-782425.05551530363</v>
      </c>
      <c r="K20" s="148">
        <f t="shared" si="11"/>
        <v>-773993.63928267325</v>
      </c>
      <c r="L20" s="148">
        <f t="shared" si="11"/>
        <v>-725567.52179683547</v>
      </c>
      <c r="M20" s="148">
        <f t="shared" ref="M20:S20" si="12">L20+M19</f>
        <v>-637136.99032334657</v>
      </c>
      <c r="N20" s="148">
        <f t="shared" si="12"/>
        <v>-508439.408338184</v>
      </c>
      <c r="O20" s="148">
        <f t="shared" si="12"/>
        <v>-339256.90040503879</v>
      </c>
      <c r="P20" s="148">
        <f t="shared" si="12"/>
        <v>-129425.88645405174</v>
      </c>
      <c r="Q20" s="148">
        <f t="shared" si="12"/>
        <v>121275.79239560809</v>
      </c>
      <c r="R20" s="148">
        <f t="shared" si="12"/>
        <v>113182.52449379946</v>
      </c>
      <c r="S20" s="148">
        <f t="shared" si="12"/>
        <v>153307.67282492382</v>
      </c>
      <c r="T20" s="148">
        <f t="shared" ref="T20:AE20" si="13">S20+T19</f>
        <v>241839.3159685196</v>
      </c>
      <c r="U20" s="148">
        <f t="shared" si="13"/>
        <v>-688574.87811621651</v>
      </c>
      <c r="V20" s="148">
        <f t="shared" si="13"/>
        <v>-502503.42097664764</v>
      </c>
      <c r="W20" s="148">
        <f t="shared" si="13"/>
        <v>-267313.06121356093</v>
      </c>
      <c r="X20" s="148">
        <f t="shared" si="13"/>
        <v>17276.216881104396</v>
      </c>
      <c r="Y20" s="148">
        <f t="shared" si="13"/>
        <v>351606.2026705048</v>
      </c>
      <c r="Z20" s="148">
        <f t="shared" si="13"/>
        <v>736014.3525124127</v>
      </c>
      <c r="AA20" s="148">
        <f t="shared" si="13"/>
        <v>1170885.4904832477</v>
      </c>
      <c r="AB20" s="148">
        <f t="shared" si="13"/>
        <v>700220.17199602234</v>
      </c>
      <c r="AC20" s="148">
        <f t="shared" si="13"/>
        <v>302331.12173073593</v>
      </c>
      <c r="AD20" s="148">
        <f t="shared" si="13"/>
        <v>-22749.68715640856</v>
      </c>
      <c r="AE20" s="148">
        <f t="shared" si="13"/>
        <v>-274998.40172199544</v>
      </c>
      <c r="AF20" s="148">
        <f>AE20+AF19</f>
        <v>-454324.36964085791</v>
      </c>
      <c r="AG20" s="118"/>
    </row>
    <row r="21" spans="1:33">
      <c r="A21" s="118"/>
    </row>
    <row r="22" spans="1:33">
      <c r="A22" s="118"/>
      <c r="H22" s="90"/>
      <c r="I22" s="90"/>
      <c r="J22" s="90"/>
      <c r="K22" s="90"/>
      <c r="L22" s="90"/>
    </row>
    <row r="23" spans="1:33">
      <c r="A23" s="118"/>
    </row>
    <row r="24" spans="1:33">
      <c r="A24" s="118"/>
    </row>
    <row r="25" spans="1:33">
      <c r="A25" s="118"/>
    </row>
    <row r="26" spans="1:33">
      <c r="A26" s="118"/>
    </row>
    <row r="27" spans="1:33">
      <c r="A27" s="118"/>
    </row>
    <row r="28" spans="1:33">
      <c r="A28" s="118"/>
    </row>
    <row r="29" spans="1:33">
      <c r="A29" s="118"/>
    </row>
    <row r="63" ht="15.75" customHeight="1"/>
    <row r="68" ht="6" customHeight="1"/>
    <row r="74" ht="4.75" customHeight="1"/>
    <row r="105" spans="10:12">
      <c r="J105" s="141"/>
      <c r="K105" s="141"/>
      <c r="L105" s="141"/>
    </row>
    <row r="106" spans="10:12">
      <c r="J106" s="141"/>
      <c r="K106" s="141"/>
      <c r="L106" s="141"/>
    </row>
  </sheetData>
  <phoneticPr fontId="0" type="noConversion"/>
  <conditionalFormatting sqref="C4:D5 AG4:IV5 C3:IV3 B3:B6 A2:A65533 AH17:IV17 B17:C17 C6:IV6 B18:IV1048576 B7:IV16 B1:IV2">
    <cfRule type="cellIs" dxfId="6" priority="6" stopIfTrue="1" operator="lessThan">
      <formula>0</formula>
    </cfRule>
  </conditionalFormatting>
  <conditionalFormatting sqref="E4:AF5">
    <cfRule type="cellIs" dxfId="5" priority="4" stopIfTrue="1" operator="lessThan">
      <formula>0</formula>
    </cfRule>
  </conditionalFormatting>
  <conditionalFormatting sqref="D17:AG17">
    <cfRule type="cellIs" dxfId="4" priority="2" stopIfTrue="1" operator="lessThan">
      <formula>0</formula>
    </cfRule>
  </conditionalFormatting>
  <conditionalFormatting sqref="A1">
    <cfRule type="cellIs" dxfId="3" priority="1" stopIfTrue="1" operator="lessThan">
      <formula>0</formula>
    </cfRule>
  </conditionalFormatting>
  <pageMargins left="0.2" right="0.26" top="1" bottom="1" header="0.5" footer="0.5"/>
  <pageSetup paperSize="9" scale="41" fitToHeight="6" orientation="landscape" r:id="rId1"/>
  <headerFooter alignWithMargins="0">
    <oddHeader>&amp;C&amp;A&amp;RРП-199-2 Прил. 7. Станд. модель расчета эффективности</oddHead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fitToPage="1"/>
  </sheetPr>
  <dimension ref="A1:AG143"/>
  <sheetViews>
    <sheetView showGridLines="0" zoomScale="75" zoomScaleNormal="75" workbookViewId="0">
      <pane xSplit="3" ySplit="2" topLeftCell="D3" activePane="bottomRight" state="frozen"/>
      <selection activeCell="A9" sqref="A9"/>
      <selection pane="topRight" activeCell="A9" sqref="A9"/>
      <selection pane="bottomLeft" activeCell="A9" sqref="A9"/>
      <selection pane="bottomRight" activeCell="P57" sqref="P57"/>
    </sheetView>
  </sheetViews>
  <sheetFormatPr baseColWidth="10" defaultColWidth="9" defaultRowHeight="15"/>
  <cols>
    <col min="1" max="1" width="9.5" style="90" customWidth="1"/>
    <col min="2" max="2" width="57.5" style="90" customWidth="1"/>
    <col min="3" max="3" width="11.1640625" style="91" customWidth="1"/>
    <col min="4" max="4" width="9" style="90" customWidth="1"/>
    <col min="5" max="9" width="14.5" style="102" customWidth="1"/>
    <col min="10" max="32" width="14.5" style="90" customWidth="1"/>
    <col min="33" max="33" width="16.5" style="90" bestFit="1" customWidth="1"/>
    <col min="34" max="16384" width="9" style="90"/>
  </cols>
  <sheetData>
    <row r="1" spans="1:33" ht="19">
      <c r="A1" s="233" t="s">
        <v>1</v>
      </c>
      <c r="B1" s="151" t="s">
        <v>121</v>
      </c>
      <c r="C1" s="233"/>
      <c r="D1" s="89"/>
      <c r="E1" s="89">
        <f>Осн.положения!E1</f>
        <v>0</v>
      </c>
      <c r="F1" s="89">
        <f>Осн.положения!F1</f>
        <v>1</v>
      </c>
      <c r="G1" s="89">
        <f>Осн.положения!G1</f>
        <v>2</v>
      </c>
      <c r="H1" s="89">
        <f>Осн.положения!H1</f>
        <v>3</v>
      </c>
      <c r="I1" s="89">
        <f>Осн.положения!I1</f>
        <v>4</v>
      </c>
      <c r="J1" s="89">
        <f>Осн.положения!J1</f>
        <v>5</v>
      </c>
      <c r="K1" s="89">
        <f>Осн.положения!K1</f>
        <v>6</v>
      </c>
      <c r="L1" s="89">
        <f>Осн.положения!L1</f>
        <v>7</v>
      </c>
      <c r="M1" s="89">
        <f>Осн.положения!M1</f>
        <v>8</v>
      </c>
      <c r="N1" s="89">
        <f>Осн.положения!N1</f>
        <v>9</v>
      </c>
      <c r="O1" s="89">
        <f>Осн.положения!O1</f>
        <v>10</v>
      </c>
      <c r="P1" s="89">
        <f>Осн.положения!P1</f>
        <v>11</v>
      </c>
      <c r="Q1" s="89">
        <f>Осн.положения!Q1</f>
        <v>12</v>
      </c>
      <c r="R1" s="89">
        <f>Осн.положения!R1</f>
        <v>13</v>
      </c>
      <c r="S1" s="89">
        <f>Осн.положения!S1</f>
        <v>14</v>
      </c>
      <c r="T1" s="89">
        <f>Осн.положения!T1</f>
        <v>15</v>
      </c>
      <c r="U1" s="89">
        <f>Осн.положения!U1</f>
        <v>16</v>
      </c>
      <c r="V1" s="89">
        <f>Осн.положения!V1</f>
        <v>17</v>
      </c>
      <c r="W1" s="89">
        <f>Осн.положения!W1</f>
        <v>18</v>
      </c>
      <c r="X1" s="89">
        <f>Осн.положения!X1</f>
        <v>19</v>
      </c>
      <c r="Y1" s="89">
        <f>Осн.положения!Y1</f>
        <v>20</v>
      </c>
      <c r="Z1" s="89">
        <f>Осн.положения!Z1</f>
        <v>21</v>
      </c>
      <c r="AA1" s="89">
        <f>Осн.положения!AA1</f>
        <v>22</v>
      </c>
      <c r="AB1" s="89">
        <f>Осн.положения!AB1</f>
        <v>23</v>
      </c>
      <c r="AC1" s="89">
        <f>Осн.положения!AC1</f>
        <v>24</v>
      </c>
      <c r="AD1" s="89">
        <f>Осн.положения!AD1</f>
        <v>25</v>
      </c>
      <c r="AE1" s="89">
        <f>Осн.положения!AE1</f>
        <v>26</v>
      </c>
      <c r="AF1" s="89">
        <f>Осн.положения!AF1</f>
        <v>27</v>
      </c>
      <c r="AG1" s="239"/>
    </row>
    <row r="2" spans="1:33" s="91" customFormat="1" ht="32">
      <c r="A2" s="242"/>
      <c r="B2" s="241" t="s">
        <v>77</v>
      </c>
      <c r="C2" s="234" t="s">
        <v>2</v>
      </c>
      <c r="D2" s="231"/>
      <c r="E2" s="231" t="str">
        <f>Осн.положения!E3</f>
        <v>3Q22</v>
      </c>
      <c r="F2" s="231" t="str">
        <f>Осн.положения!F3</f>
        <v>4Q22</v>
      </c>
      <c r="G2" s="231" t="str">
        <f>Осн.положения!G3</f>
        <v>1Q23</v>
      </c>
      <c r="H2" s="231" t="str">
        <f>Осн.положения!H3</f>
        <v>2Q23</v>
      </c>
      <c r="I2" s="231" t="str">
        <f>Осн.положения!I3</f>
        <v>3Q23</v>
      </c>
      <c r="J2" s="231" t="str">
        <f>Осн.положения!J3</f>
        <v>4Q23</v>
      </c>
      <c r="K2" s="231" t="str">
        <f>Осн.положения!K3</f>
        <v>1Q24</v>
      </c>
      <c r="L2" s="231" t="str">
        <f>Осн.положения!L3</f>
        <v>2Q24</v>
      </c>
      <c r="M2" s="231" t="str">
        <f>Осн.положения!M3</f>
        <v>3Q24</v>
      </c>
      <c r="N2" s="231" t="str">
        <f>Осн.положения!N3</f>
        <v>4Q24</v>
      </c>
      <c r="O2" s="231" t="str">
        <f>Осн.положения!O3</f>
        <v>1Q25</v>
      </c>
      <c r="P2" s="231" t="str">
        <f>Осн.положения!P3</f>
        <v>2Q25</v>
      </c>
      <c r="Q2" s="231" t="str">
        <f>Осн.положения!Q3</f>
        <v>3Q25</v>
      </c>
      <c r="R2" s="231" t="str">
        <f>Осн.положения!R3</f>
        <v>4Q25</v>
      </c>
      <c r="S2" s="231" t="str">
        <f>Осн.положения!S3</f>
        <v>1Q26</v>
      </c>
      <c r="T2" s="231" t="str">
        <f>Осн.положения!T3</f>
        <v>2Q26</v>
      </c>
      <c r="U2" s="231" t="str">
        <f>Осн.положения!U3</f>
        <v>3Q26</v>
      </c>
      <c r="V2" s="231" t="str">
        <f>Осн.положения!V3</f>
        <v>4Q26</v>
      </c>
      <c r="W2" s="231" t="str">
        <f>Осн.положения!W3</f>
        <v>1Q27</v>
      </c>
      <c r="X2" s="231" t="str">
        <f>Осн.положения!X3</f>
        <v>2Q27</v>
      </c>
      <c r="Y2" s="231" t="str">
        <f>Осн.положения!Y3</f>
        <v>3Q27</v>
      </c>
      <c r="Z2" s="231" t="str">
        <f>Осн.положения!Z3</f>
        <v>4Q27</v>
      </c>
      <c r="AA2" s="231" t="str">
        <f>Осн.положения!AA3</f>
        <v>1Q28</v>
      </c>
      <c r="AB2" s="231" t="str">
        <f>Осн.положения!AB3</f>
        <v>2Q28</v>
      </c>
      <c r="AC2" s="231" t="str">
        <f>Осн.положения!AC3</f>
        <v>3Q28</v>
      </c>
      <c r="AD2" s="231" t="str">
        <f>Осн.положения!AD3</f>
        <v>4Q28</v>
      </c>
      <c r="AE2" s="231" t="str">
        <f>Осн.положения!AE3</f>
        <v>1Q29</v>
      </c>
      <c r="AF2" s="231" t="str">
        <f>Осн.положения!AF3</f>
        <v>2Q29</v>
      </c>
      <c r="AG2" s="231" t="s">
        <v>42</v>
      </c>
    </row>
    <row r="3" spans="1:33">
      <c r="C3" s="103"/>
      <c r="D3" s="103"/>
      <c r="E3" s="103"/>
      <c r="F3" s="103"/>
      <c r="G3" s="103"/>
      <c r="H3" s="103"/>
      <c r="I3" s="103"/>
      <c r="AG3" s="108"/>
    </row>
    <row r="4" spans="1:33" ht="19">
      <c r="A4" s="258"/>
      <c r="B4" s="258" t="s">
        <v>72</v>
      </c>
      <c r="C4" s="258"/>
      <c r="D4" s="258"/>
      <c r="E4" s="262"/>
      <c r="F4" s="262"/>
      <c r="G4" s="262"/>
      <c r="H4" s="262"/>
      <c r="I4" s="262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60"/>
    </row>
    <row r="5" spans="1:33">
      <c r="B5" s="90" t="str">
        <f>CAPEX!A5</f>
        <v>IN платформа</v>
      </c>
      <c r="C5" s="91" t="s">
        <v>71</v>
      </c>
      <c r="D5" s="109"/>
      <c r="E5" s="103">
        <f>CAPEX!E28</f>
        <v>0</v>
      </c>
      <c r="F5" s="103">
        <f>CAPEX!F28</f>
        <v>0</v>
      </c>
      <c r="G5" s="103">
        <f>CAPEX!G28</f>
        <v>0</v>
      </c>
      <c r="H5" s="103">
        <f>CAPEX!H28</f>
        <v>0</v>
      </c>
      <c r="I5" s="103">
        <f>CAPEX!I28</f>
        <v>0</v>
      </c>
      <c r="J5" s="103">
        <f>CAPEX!J28</f>
        <v>0</v>
      </c>
      <c r="K5" s="103">
        <f>CAPEX!K28</f>
        <v>0</v>
      </c>
      <c r="L5" s="103">
        <f>CAPEX!L28</f>
        <v>0</v>
      </c>
      <c r="M5" s="103">
        <f>CAPEX!M28</f>
        <v>0</v>
      </c>
      <c r="N5" s="103">
        <f>CAPEX!N28</f>
        <v>0</v>
      </c>
      <c r="O5" s="103">
        <f>CAPEX!O28</f>
        <v>0</v>
      </c>
      <c r="P5" s="103">
        <f>CAPEX!P28</f>
        <v>0</v>
      </c>
      <c r="Q5" s="103">
        <f>CAPEX!Q28</f>
        <v>0</v>
      </c>
      <c r="R5" s="103">
        <f>CAPEX!R28</f>
        <v>0</v>
      </c>
      <c r="S5" s="103">
        <f>CAPEX!S28</f>
        <v>0</v>
      </c>
      <c r="T5" s="103">
        <f>CAPEX!T28</f>
        <v>0</v>
      </c>
      <c r="U5" s="103">
        <f>CAPEX!U28</f>
        <v>0</v>
      </c>
      <c r="V5" s="103">
        <f>CAPEX!V28</f>
        <v>0</v>
      </c>
      <c r="W5" s="103">
        <f>CAPEX!W28</f>
        <v>0</v>
      </c>
      <c r="X5" s="103">
        <f>CAPEX!X28</f>
        <v>0</v>
      </c>
      <c r="Y5" s="103">
        <f>CAPEX!Y28</f>
        <v>0</v>
      </c>
      <c r="Z5" s="103">
        <f>CAPEX!Z28</f>
        <v>0</v>
      </c>
      <c r="AA5" s="103">
        <f>CAPEX!AA28</f>
        <v>0</v>
      </c>
      <c r="AB5" s="103">
        <f>CAPEX!AB28</f>
        <v>0</v>
      </c>
      <c r="AC5" s="103">
        <f>CAPEX!AC28</f>
        <v>0</v>
      </c>
      <c r="AD5" s="103">
        <f>CAPEX!AD28</f>
        <v>0</v>
      </c>
      <c r="AE5" s="103">
        <f>CAPEX!AE28</f>
        <v>0</v>
      </c>
      <c r="AF5" s="112">
        <f>CAPEX!AF28</f>
        <v>0</v>
      </c>
      <c r="AG5" s="116">
        <f t="shared" ref="AG5:AG25" si="0">SUM(E5:AF5)</f>
        <v>0</v>
      </c>
    </row>
    <row r="6" spans="1:33" ht="12.75" customHeight="1">
      <c r="B6" s="90" t="str">
        <f>CAPEX!A6</f>
        <v>Административная инфраструктура</v>
      </c>
      <c r="C6" s="91" t="s">
        <v>71</v>
      </c>
      <c r="D6" s="110"/>
      <c r="E6" s="103">
        <f>CAPEX!E29</f>
        <v>0</v>
      </c>
      <c r="F6" s="103">
        <f>CAPEX!F29</f>
        <v>0</v>
      </c>
      <c r="G6" s="103">
        <f>CAPEX!G29</f>
        <v>0</v>
      </c>
      <c r="H6" s="103">
        <f>CAPEX!H29</f>
        <v>0</v>
      </c>
      <c r="I6" s="103">
        <f>CAPEX!I29</f>
        <v>0</v>
      </c>
      <c r="J6" s="103">
        <f>CAPEX!J29</f>
        <v>0</v>
      </c>
      <c r="K6" s="103">
        <f>CAPEX!K29</f>
        <v>0</v>
      </c>
      <c r="L6" s="103">
        <f>CAPEX!L29</f>
        <v>0</v>
      </c>
      <c r="M6" s="103">
        <f>CAPEX!M29</f>
        <v>0</v>
      </c>
      <c r="N6" s="103">
        <f>CAPEX!N29</f>
        <v>0</v>
      </c>
      <c r="O6" s="103">
        <f>CAPEX!O29</f>
        <v>0</v>
      </c>
      <c r="P6" s="103">
        <f>CAPEX!P29</f>
        <v>0</v>
      </c>
      <c r="Q6" s="103">
        <f>CAPEX!Q29</f>
        <v>0</v>
      </c>
      <c r="R6" s="103">
        <f>CAPEX!R29</f>
        <v>0</v>
      </c>
      <c r="S6" s="103">
        <f>CAPEX!S29</f>
        <v>0</v>
      </c>
      <c r="T6" s="103">
        <f>CAPEX!T29</f>
        <v>0</v>
      </c>
      <c r="U6" s="103">
        <f>CAPEX!U29</f>
        <v>0</v>
      </c>
      <c r="V6" s="103">
        <f>CAPEX!V29</f>
        <v>0</v>
      </c>
      <c r="W6" s="103">
        <f>CAPEX!W29</f>
        <v>0</v>
      </c>
      <c r="X6" s="103">
        <f>CAPEX!X29</f>
        <v>0</v>
      </c>
      <c r="Y6" s="103">
        <f>CAPEX!Y29</f>
        <v>0</v>
      </c>
      <c r="Z6" s="103">
        <f>CAPEX!Z29</f>
        <v>0</v>
      </c>
      <c r="AA6" s="103">
        <f>CAPEX!AA29</f>
        <v>0</v>
      </c>
      <c r="AB6" s="103">
        <f>CAPEX!AB29</f>
        <v>0</v>
      </c>
      <c r="AC6" s="103">
        <f>CAPEX!AC29</f>
        <v>0</v>
      </c>
      <c r="AD6" s="103">
        <f>CAPEX!AD29</f>
        <v>0</v>
      </c>
      <c r="AE6" s="103">
        <f>CAPEX!AE29</f>
        <v>0</v>
      </c>
      <c r="AF6" s="103">
        <f>CAPEX!AF29</f>
        <v>0</v>
      </c>
      <c r="AG6" s="116">
        <f t="shared" si="0"/>
        <v>0</v>
      </c>
    </row>
    <row r="7" spans="1:33">
      <c r="B7" s="90" t="str">
        <f>CAPEX!A7</f>
        <v>Биллинговая система</v>
      </c>
      <c r="C7" s="91" t="s">
        <v>71</v>
      </c>
      <c r="D7" s="110"/>
      <c r="E7" s="103">
        <f>CAPEX!E30</f>
        <v>0</v>
      </c>
      <c r="F7" s="103">
        <f>CAPEX!F30</f>
        <v>0</v>
      </c>
      <c r="G7" s="103">
        <f>CAPEX!G30</f>
        <v>0</v>
      </c>
      <c r="H7" s="103">
        <f>CAPEX!H30</f>
        <v>0</v>
      </c>
      <c r="I7" s="103">
        <f>CAPEX!I30</f>
        <v>0</v>
      </c>
      <c r="J7" s="103">
        <f>CAPEX!J30</f>
        <v>0</v>
      </c>
      <c r="K7" s="103">
        <f>CAPEX!K30</f>
        <v>0</v>
      </c>
      <c r="L7" s="103">
        <f>CAPEX!L30</f>
        <v>0</v>
      </c>
      <c r="M7" s="103">
        <f>CAPEX!M30</f>
        <v>0</v>
      </c>
      <c r="N7" s="103">
        <f>CAPEX!N30</f>
        <v>0</v>
      </c>
      <c r="O7" s="103">
        <f>CAPEX!O30</f>
        <v>0</v>
      </c>
      <c r="P7" s="103">
        <f>CAPEX!P30</f>
        <v>0</v>
      </c>
      <c r="Q7" s="103">
        <f>CAPEX!Q30</f>
        <v>0</v>
      </c>
      <c r="R7" s="103">
        <f>CAPEX!R30</f>
        <v>0</v>
      </c>
      <c r="S7" s="103">
        <f>CAPEX!S30</f>
        <v>0</v>
      </c>
      <c r="T7" s="103">
        <f>CAPEX!T30</f>
        <v>0</v>
      </c>
      <c r="U7" s="103">
        <f>CAPEX!U30</f>
        <v>0</v>
      </c>
      <c r="V7" s="103">
        <f>CAPEX!V30</f>
        <v>0</v>
      </c>
      <c r="W7" s="103">
        <f>CAPEX!W30</f>
        <v>0</v>
      </c>
      <c r="X7" s="103">
        <f>CAPEX!X30</f>
        <v>0</v>
      </c>
      <c r="Y7" s="103">
        <f>CAPEX!Y30</f>
        <v>0</v>
      </c>
      <c r="Z7" s="103">
        <f>CAPEX!Z30</f>
        <v>0</v>
      </c>
      <c r="AA7" s="103">
        <f>CAPEX!AA30</f>
        <v>0</v>
      </c>
      <c r="AB7" s="103">
        <f>CAPEX!AB30</f>
        <v>0</v>
      </c>
      <c r="AC7" s="103">
        <f>CAPEX!AC30</f>
        <v>0</v>
      </c>
      <c r="AD7" s="103">
        <f>CAPEX!AD30</f>
        <v>0</v>
      </c>
      <c r="AE7" s="103">
        <f>CAPEX!AE30</f>
        <v>0</v>
      </c>
      <c r="AF7" s="103">
        <f>CAPEX!AF30</f>
        <v>0</v>
      </c>
      <c r="AG7" s="116">
        <f t="shared" si="0"/>
        <v>0</v>
      </c>
    </row>
    <row r="8" spans="1:33">
      <c r="B8" s="90" t="str">
        <f>CAPEX!A8</f>
        <v>Внедрение функциональной ИТ системы</v>
      </c>
      <c r="C8" s="91" t="s">
        <v>71</v>
      </c>
      <c r="D8" s="110"/>
      <c r="E8" s="103">
        <f>CAPEX!E31</f>
        <v>0</v>
      </c>
      <c r="F8" s="103">
        <f>CAPEX!F31</f>
        <v>0</v>
      </c>
      <c r="G8" s="103">
        <f>CAPEX!G31</f>
        <v>0</v>
      </c>
      <c r="H8" s="103">
        <f>CAPEX!H31</f>
        <v>0</v>
      </c>
      <c r="I8" s="103">
        <f>CAPEX!I31</f>
        <v>0</v>
      </c>
      <c r="J8" s="103">
        <f>CAPEX!J31</f>
        <v>0</v>
      </c>
      <c r="K8" s="103">
        <f>CAPEX!K31</f>
        <v>0</v>
      </c>
      <c r="L8" s="103">
        <f>CAPEX!L31</f>
        <v>0</v>
      </c>
      <c r="M8" s="103">
        <f>CAPEX!M31</f>
        <v>0</v>
      </c>
      <c r="N8" s="103">
        <f>CAPEX!N31</f>
        <v>0</v>
      </c>
      <c r="O8" s="103">
        <f>CAPEX!O31</f>
        <v>0</v>
      </c>
      <c r="P8" s="103">
        <f>CAPEX!P31</f>
        <v>0</v>
      </c>
      <c r="Q8" s="103">
        <f>CAPEX!Q31</f>
        <v>0</v>
      </c>
      <c r="R8" s="103">
        <f>CAPEX!R31</f>
        <v>0</v>
      </c>
      <c r="S8" s="103">
        <f>CAPEX!S31</f>
        <v>0</v>
      </c>
      <c r="T8" s="103">
        <f>CAPEX!T31</f>
        <v>0</v>
      </c>
      <c r="U8" s="103">
        <f>CAPEX!U31</f>
        <v>0</v>
      </c>
      <c r="V8" s="103">
        <f>CAPEX!V31</f>
        <v>0</v>
      </c>
      <c r="W8" s="103">
        <f>CAPEX!W31</f>
        <v>0</v>
      </c>
      <c r="X8" s="103">
        <f>CAPEX!X31</f>
        <v>0</v>
      </c>
      <c r="Y8" s="103">
        <f>CAPEX!Y31</f>
        <v>0</v>
      </c>
      <c r="Z8" s="103">
        <f>CAPEX!Z31</f>
        <v>0</v>
      </c>
      <c r="AA8" s="103">
        <f>CAPEX!AA31</f>
        <v>0</v>
      </c>
      <c r="AB8" s="103">
        <f>CAPEX!AB31</f>
        <v>0</v>
      </c>
      <c r="AC8" s="103">
        <f>CAPEX!AC31</f>
        <v>0</v>
      </c>
      <c r="AD8" s="103">
        <f>CAPEX!AD31</f>
        <v>0</v>
      </c>
      <c r="AE8" s="103">
        <f>CAPEX!AE31</f>
        <v>0</v>
      </c>
      <c r="AF8" s="103">
        <f>CAPEX!AF31</f>
        <v>0</v>
      </c>
      <c r="AG8" s="116">
        <f t="shared" si="0"/>
        <v>0</v>
      </c>
    </row>
    <row r="9" spans="1:33">
      <c r="B9" s="90" t="str">
        <f>CAPEX!A9</f>
        <v>Закупка офисного оборудования и вычислительной техники</v>
      </c>
      <c r="C9" s="91" t="s">
        <v>71</v>
      </c>
      <c r="D9" s="110"/>
      <c r="E9" s="103">
        <f>CAPEX!E32</f>
        <v>1</v>
      </c>
      <c r="F9" s="103">
        <f>CAPEX!F32</f>
        <v>0</v>
      </c>
      <c r="G9" s="103">
        <f>CAPEX!G32</f>
        <v>0</v>
      </c>
      <c r="H9" s="103">
        <f>CAPEX!H32</f>
        <v>0</v>
      </c>
      <c r="I9" s="103">
        <f>CAPEX!I32</f>
        <v>0</v>
      </c>
      <c r="J9" s="103">
        <f>CAPEX!J32</f>
        <v>0</v>
      </c>
      <c r="K9" s="103">
        <f>CAPEX!K32</f>
        <v>0</v>
      </c>
      <c r="L9" s="103">
        <f>CAPEX!L32</f>
        <v>0</v>
      </c>
      <c r="M9" s="103">
        <f>CAPEX!M32</f>
        <v>0</v>
      </c>
      <c r="N9" s="103">
        <f>CAPEX!N32</f>
        <v>0</v>
      </c>
      <c r="O9" s="103">
        <f>CAPEX!O32</f>
        <v>0</v>
      </c>
      <c r="P9" s="103">
        <f>CAPEX!P32</f>
        <v>0</v>
      </c>
      <c r="Q9" s="103">
        <f>CAPEX!Q32</f>
        <v>0</v>
      </c>
      <c r="R9" s="103">
        <f>CAPEX!R32</f>
        <v>0</v>
      </c>
      <c r="S9" s="103">
        <f>CAPEX!S32</f>
        <v>0</v>
      </c>
      <c r="T9" s="103">
        <f>CAPEX!T32</f>
        <v>0</v>
      </c>
      <c r="U9" s="103">
        <f>CAPEX!U32</f>
        <v>0</v>
      </c>
      <c r="V9" s="103">
        <f>CAPEX!V32</f>
        <v>0</v>
      </c>
      <c r="W9" s="103">
        <f>CAPEX!W32</f>
        <v>0</v>
      </c>
      <c r="X9" s="103">
        <f>CAPEX!X32</f>
        <v>0</v>
      </c>
      <c r="Y9" s="103">
        <f>CAPEX!Y32</f>
        <v>0</v>
      </c>
      <c r="Z9" s="103">
        <f>CAPEX!Z32</f>
        <v>0</v>
      </c>
      <c r="AA9" s="103">
        <f>CAPEX!AA32</f>
        <v>0</v>
      </c>
      <c r="AB9" s="103">
        <f>CAPEX!AB32</f>
        <v>0</v>
      </c>
      <c r="AC9" s="103">
        <f>CAPEX!AC32</f>
        <v>0</v>
      </c>
      <c r="AD9" s="103">
        <f>CAPEX!AD32</f>
        <v>0</v>
      </c>
      <c r="AE9" s="103">
        <f>CAPEX!AE32</f>
        <v>0</v>
      </c>
      <c r="AF9" s="103">
        <f>CAPEX!AF32</f>
        <v>0</v>
      </c>
      <c r="AG9" s="116">
        <f t="shared" si="0"/>
        <v>1</v>
      </c>
    </row>
    <row r="10" spans="1:33">
      <c r="B10" s="90" t="str">
        <f>CAPEX!A10</f>
        <v>Коммутационная подсистема</v>
      </c>
      <c r="C10" s="91" t="s">
        <v>71</v>
      </c>
      <c r="D10" s="110"/>
      <c r="E10" s="103">
        <f>CAPEX!E33</f>
        <v>0</v>
      </c>
      <c r="F10" s="103">
        <f>CAPEX!F33</f>
        <v>0</v>
      </c>
      <c r="G10" s="103">
        <f>CAPEX!G33</f>
        <v>0</v>
      </c>
      <c r="H10" s="103">
        <f>CAPEX!H33</f>
        <v>0</v>
      </c>
      <c r="I10" s="103">
        <f>CAPEX!I33</f>
        <v>0</v>
      </c>
      <c r="J10" s="103">
        <f>CAPEX!J33</f>
        <v>0</v>
      </c>
      <c r="K10" s="103">
        <f>CAPEX!K33</f>
        <v>0</v>
      </c>
      <c r="L10" s="103">
        <f>CAPEX!L33</f>
        <v>0</v>
      </c>
      <c r="M10" s="103">
        <f>CAPEX!M33</f>
        <v>0</v>
      </c>
      <c r="N10" s="103">
        <f>CAPEX!N33</f>
        <v>0</v>
      </c>
      <c r="O10" s="103">
        <f>CAPEX!O33</f>
        <v>0</v>
      </c>
      <c r="P10" s="103">
        <f>CAPEX!P33</f>
        <v>0</v>
      </c>
      <c r="Q10" s="103">
        <f>CAPEX!Q33</f>
        <v>0</v>
      </c>
      <c r="R10" s="103">
        <f>CAPEX!R33</f>
        <v>0</v>
      </c>
      <c r="S10" s="103">
        <f>CAPEX!S33</f>
        <v>0</v>
      </c>
      <c r="T10" s="103">
        <f>CAPEX!T33</f>
        <v>0</v>
      </c>
      <c r="U10" s="103">
        <f>CAPEX!U33</f>
        <v>0</v>
      </c>
      <c r="V10" s="103">
        <f>CAPEX!V33</f>
        <v>0</v>
      </c>
      <c r="W10" s="103">
        <f>CAPEX!W33</f>
        <v>0</v>
      </c>
      <c r="X10" s="103">
        <f>CAPEX!X33</f>
        <v>0</v>
      </c>
      <c r="Y10" s="103">
        <f>CAPEX!Y33</f>
        <v>0</v>
      </c>
      <c r="Z10" s="103">
        <f>CAPEX!Z33</f>
        <v>0</v>
      </c>
      <c r="AA10" s="103">
        <f>CAPEX!AA33</f>
        <v>0</v>
      </c>
      <c r="AB10" s="103">
        <f>CAPEX!AB33</f>
        <v>0</v>
      </c>
      <c r="AC10" s="103">
        <f>CAPEX!AC33</f>
        <v>0</v>
      </c>
      <c r="AD10" s="103">
        <f>CAPEX!AD33</f>
        <v>0</v>
      </c>
      <c r="AE10" s="103">
        <f>CAPEX!AE33</f>
        <v>0</v>
      </c>
      <c r="AF10" s="103">
        <f>CAPEX!AF33</f>
        <v>0</v>
      </c>
      <c r="AG10" s="116">
        <f t="shared" si="0"/>
        <v>0</v>
      </c>
    </row>
    <row r="11" spans="1:33">
      <c r="B11" s="90" t="str">
        <f>CAPEX!A11</f>
        <v>Корпоративная сеть</v>
      </c>
      <c r="C11" s="91" t="s">
        <v>71</v>
      </c>
      <c r="D11" s="110"/>
      <c r="E11" s="103">
        <f>CAPEX!E34</f>
        <v>0</v>
      </c>
      <c r="F11" s="103">
        <f>CAPEX!F34</f>
        <v>0</v>
      </c>
      <c r="G11" s="103">
        <f>CAPEX!G34</f>
        <v>0</v>
      </c>
      <c r="H11" s="103">
        <f>CAPEX!H34</f>
        <v>0</v>
      </c>
      <c r="I11" s="103">
        <f>CAPEX!I34</f>
        <v>0</v>
      </c>
      <c r="J11" s="103">
        <f>CAPEX!J34</f>
        <v>0</v>
      </c>
      <c r="K11" s="103">
        <f>CAPEX!K34</f>
        <v>0</v>
      </c>
      <c r="L11" s="103">
        <f>CAPEX!L34</f>
        <v>0</v>
      </c>
      <c r="M11" s="103">
        <f>CAPEX!M34</f>
        <v>0</v>
      </c>
      <c r="N11" s="103">
        <f>CAPEX!N34</f>
        <v>0</v>
      </c>
      <c r="O11" s="103">
        <f>CAPEX!O34</f>
        <v>0</v>
      </c>
      <c r="P11" s="103">
        <f>CAPEX!P34</f>
        <v>0</v>
      </c>
      <c r="Q11" s="103">
        <f>CAPEX!Q34</f>
        <v>0</v>
      </c>
      <c r="R11" s="103">
        <f>CAPEX!R34</f>
        <v>0</v>
      </c>
      <c r="S11" s="103">
        <f>CAPEX!S34</f>
        <v>0</v>
      </c>
      <c r="T11" s="103">
        <f>CAPEX!T34</f>
        <v>0</v>
      </c>
      <c r="U11" s="103">
        <f>CAPEX!U34</f>
        <v>0</v>
      </c>
      <c r="V11" s="103">
        <f>CAPEX!V34</f>
        <v>0</v>
      </c>
      <c r="W11" s="103">
        <f>CAPEX!W34</f>
        <v>0</v>
      </c>
      <c r="X11" s="103">
        <f>CAPEX!X34</f>
        <v>0</v>
      </c>
      <c r="Y11" s="103">
        <f>CAPEX!Y34</f>
        <v>0</v>
      </c>
      <c r="Z11" s="103">
        <f>CAPEX!Z34</f>
        <v>0</v>
      </c>
      <c r="AA11" s="103">
        <f>CAPEX!AA34</f>
        <v>0</v>
      </c>
      <c r="AB11" s="103">
        <f>CAPEX!AB34</f>
        <v>0</v>
      </c>
      <c r="AC11" s="103">
        <f>CAPEX!AC34</f>
        <v>0</v>
      </c>
      <c r="AD11" s="103">
        <f>CAPEX!AD34</f>
        <v>0</v>
      </c>
      <c r="AE11" s="103">
        <f>CAPEX!AE34</f>
        <v>0</v>
      </c>
      <c r="AF11" s="103">
        <f>CAPEX!AF34</f>
        <v>0</v>
      </c>
      <c r="AG11" s="116">
        <f t="shared" si="0"/>
        <v>0</v>
      </c>
    </row>
    <row r="12" spans="1:33">
      <c r="B12" s="90" t="str">
        <f>CAPEX!A12</f>
        <v>Лицензии на услуги и РЧ</v>
      </c>
      <c r="C12" s="91" t="s">
        <v>71</v>
      </c>
      <c r="D12" s="110"/>
      <c r="E12" s="103">
        <f>CAPEX!E35</f>
        <v>0</v>
      </c>
      <c r="F12" s="103">
        <f>CAPEX!F35</f>
        <v>0</v>
      </c>
      <c r="G12" s="103">
        <f>CAPEX!G35</f>
        <v>0</v>
      </c>
      <c r="H12" s="103">
        <f>CAPEX!H35</f>
        <v>0</v>
      </c>
      <c r="I12" s="103">
        <f>CAPEX!I35</f>
        <v>0</v>
      </c>
      <c r="J12" s="103">
        <f>CAPEX!J35</f>
        <v>0</v>
      </c>
      <c r="K12" s="103">
        <f>CAPEX!K35</f>
        <v>0</v>
      </c>
      <c r="L12" s="103">
        <f>CAPEX!L35</f>
        <v>0</v>
      </c>
      <c r="M12" s="103">
        <f>CAPEX!M35</f>
        <v>0</v>
      </c>
      <c r="N12" s="103">
        <f>CAPEX!N35</f>
        <v>0</v>
      </c>
      <c r="O12" s="103">
        <f>CAPEX!O35</f>
        <v>0</v>
      </c>
      <c r="P12" s="103">
        <f>CAPEX!P35</f>
        <v>0</v>
      </c>
      <c r="Q12" s="103">
        <f>CAPEX!Q35</f>
        <v>0</v>
      </c>
      <c r="R12" s="103">
        <f>CAPEX!R35</f>
        <v>0</v>
      </c>
      <c r="S12" s="103">
        <f>CAPEX!S35</f>
        <v>0</v>
      </c>
      <c r="T12" s="103">
        <f>CAPEX!T35</f>
        <v>0</v>
      </c>
      <c r="U12" s="103">
        <f>CAPEX!U35</f>
        <v>0</v>
      </c>
      <c r="V12" s="103">
        <f>CAPEX!V35</f>
        <v>0</v>
      </c>
      <c r="W12" s="103">
        <f>CAPEX!W35</f>
        <v>0</v>
      </c>
      <c r="X12" s="103">
        <f>CAPEX!X35</f>
        <v>0</v>
      </c>
      <c r="Y12" s="103">
        <f>CAPEX!Y35</f>
        <v>0</v>
      </c>
      <c r="Z12" s="103">
        <f>CAPEX!Z35</f>
        <v>0</v>
      </c>
      <c r="AA12" s="103">
        <f>CAPEX!AA35</f>
        <v>0</v>
      </c>
      <c r="AB12" s="103">
        <f>CAPEX!AB35</f>
        <v>0</v>
      </c>
      <c r="AC12" s="103">
        <f>CAPEX!AC35</f>
        <v>0</v>
      </c>
      <c r="AD12" s="103">
        <f>CAPEX!AD35</f>
        <v>0</v>
      </c>
      <c r="AE12" s="103">
        <f>CAPEX!AE35</f>
        <v>0</v>
      </c>
      <c r="AF12" s="103">
        <f>CAPEX!AF35</f>
        <v>0</v>
      </c>
      <c r="AG12" s="116">
        <f t="shared" si="0"/>
        <v>0</v>
      </c>
    </row>
    <row r="13" spans="1:33">
      <c r="B13" s="90" t="str">
        <f>CAPEX!A13</f>
        <v>Лицензии на ПО</v>
      </c>
      <c r="C13" s="91" t="s">
        <v>71</v>
      </c>
      <c r="D13" s="110"/>
      <c r="E13" s="103">
        <f>CAPEX!E36</f>
        <v>0</v>
      </c>
      <c r="F13" s="103">
        <f>CAPEX!F36</f>
        <v>0</v>
      </c>
      <c r="G13" s="103">
        <f>CAPEX!G36</f>
        <v>0</v>
      </c>
      <c r="H13" s="103">
        <f>CAPEX!H36</f>
        <v>0</v>
      </c>
      <c r="I13" s="103">
        <f>CAPEX!I36</f>
        <v>0</v>
      </c>
      <c r="J13" s="103">
        <f>CAPEX!J36</f>
        <v>0</v>
      </c>
      <c r="K13" s="103">
        <f>CAPEX!K36</f>
        <v>0</v>
      </c>
      <c r="L13" s="103">
        <f>CAPEX!L36</f>
        <v>0</v>
      </c>
      <c r="M13" s="103">
        <f>CAPEX!M36</f>
        <v>0</v>
      </c>
      <c r="N13" s="103">
        <f>CAPEX!N36</f>
        <v>0</v>
      </c>
      <c r="O13" s="103">
        <f>CAPEX!O36</f>
        <v>0</v>
      </c>
      <c r="P13" s="103">
        <f>CAPEX!P36</f>
        <v>0</v>
      </c>
      <c r="Q13" s="103">
        <f>CAPEX!Q36</f>
        <v>0</v>
      </c>
      <c r="R13" s="103">
        <f>CAPEX!R36</f>
        <v>0</v>
      </c>
      <c r="S13" s="103">
        <f>CAPEX!S36</f>
        <v>0</v>
      </c>
      <c r="T13" s="103">
        <f>CAPEX!T36</f>
        <v>0</v>
      </c>
      <c r="U13" s="103">
        <f>CAPEX!U36</f>
        <v>0</v>
      </c>
      <c r="V13" s="103">
        <f>CAPEX!V36</f>
        <v>0</v>
      </c>
      <c r="W13" s="103">
        <f>CAPEX!W36</f>
        <v>0</v>
      </c>
      <c r="X13" s="103">
        <f>CAPEX!X36</f>
        <v>0</v>
      </c>
      <c r="Y13" s="103">
        <f>CAPEX!Y36</f>
        <v>0</v>
      </c>
      <c r="Z13" s="103">
        <f>CAPEX!Z36</f>
        <v>0</v>
      </c>
      <c r="AA13" s="103">
        <f>CAPEX!AA36</f>
        <v>0</v>
      </c>
      <c r="AB13" s="103">
        <f>CAPEX!AB36</f>
        <v>0</v>
      </c>
      <c r="AC13" s="103">
        <f>CAPEX!AC36</f>
        <v>0</v>
      </c>
      <c r="AD13" s="103">
        <f>CAPEX!AD36</f>
        <v>0</v>
      </c>
      <c r="AE13" s="103">
        <f>CAPEX!AE36</f>
        <v>0</v>
      </c>
      <c r="AF13" s="103">
        <f>CAPEX!AF36</f>
        <v>0</v>
      </c>
      <c r="AG13" s="116">
        <f t="shared" si="0"/>
        <v>0</v>
      </c>
    </row>
    <row r="14" spans="1:33">
      <c r="B14" s="90" t="str">
        <f>CAPEX!A14</f>
        <v>НИОКР</v>
      </c>
      <c r="C14" s="91" t="s">
        <v>71</v>
      </c>
      <c r="D14" s="110"/>
      <c r="E14" s="103">
        <f>CAPEX!E37</f>
        <v>0</v>
      </c>
      <c r="F14" s="103">
        <f>CAPEX!F37</f>
        <v>0</v>
      </c>
      <c r="G14" s="103">
        <f>CAPEX!G37</f>
        <v>0</v>
      </c>
      <c r="H14" s="103">
        <f>CAPEX!H37</f>
        <v>0</v>
      </c>
      <c r="I14" s="103">
        <f>CAPEX!I37</f>
        <v>0</v>
      </c>
      <c r="J14" s="103">
        <f>CAPEX!J37</f>
        <v>0</v>
      </c>
      <c r="K14" s="103">
        <f>CAPEX!K37</f>
        <v>0</v>
      </c>
      <c r="L14" s="103">
        <f>CAPEX!L37</f>
        <v>0</v>
      </c>
      <c r="M14" s="103">
        <f>CAPEX!M37</f>
        <v>0</v>
      </c>
      <c r="N14" s="103">
        <f>CAPEX!N37</f>
        <v>0</v>
      </c>
      <c r="O14" s="103">
        <f>CAPEX!O37</f>
        <v>0</v>
      </c>
      <c r="P14" s="103">
        <f>CAPEX!P37</f>
        <v>0</v>
      </c>
      <c r="Q14" s="103">
        <f>CAPEX!Q37</f>
        <v>0</v>
      </c>
      <c r="R14" s="103">
        <f>CAPEX!R37</f>
        <v>0</v>
      </c>
      <c r="S14" s="103">
        <f>CAPEX!S37</f>
        <v>0</v>
      </c>
      <c r="T14" s="103">
        <f>CAPEX!T37</f>
        <v>0</v>
      </c>
      <c r="U14" s="103">
        <f>CAPEX!U37</f>
        <v>0</v>
      </c>
      <c r="V14" s="103">
        <f>CAPEX!V37</f>
        <v>0</v>
      </c>
      <c r="W14" s="103">
        <f>CAPEX!W37</f>
        <v>0</v>
      </c>
      <c r="X14" s="103">
        <f>CAPEX!X37</f>
        <v>0</v>
      </c>
      <c r="Y14" s="103">
        <f>CAPEX!Y37</f>
        <v>0</v>
      </c>
      <c r="Z14" s="103">
        <f>CAPEX!Z37</f>
        <v>0</v>
      </c>
      <c r="AA14" s="103">
        <f>CAPEX!AA37</f>
        <v>0</v>
      </c>
      <c r="AB14" s="103">
        <f>CAPEX!AB37</f>
        <v>0</v>
      </c>
      <c r="AC14" s="103">
        <f>CAPEX!AC37</f>
        <v>0</v>
      </c>
      <c r="AD14" s="103">
        <f>CAPEX!AD37</f>
        <v>0</v>
      </c>
      <c r="AE14" s="103">
        <f>CAPEX!AE37</f>
        <v>0</v>
      </c>
      <c r="AF14" s="103">
        <f>CAPEX!AF37</f>
        <v>0</v>
      </c>
      <c r="AG14" s="116">
        <f t="shared" si="0"/>
        <v>0</v>
      </c>
    </row>
    <row r="15" spans="1:33">
      <c r="B15" s="90" t="str">
        <f>CAPEX!A15</f>
        <v>Обслуживание абонентов</v>
      </c>
      <c r="C15" s="91" t="s">
        <v>71</v>
      </c>
      <c r="D15" s="110"/>
      <c r="E15" s="103">
        <f>CAPEX!E38</f>
        <v>0</v>
      </c>
      <c r="F15" s="103">
        <f>CAPEX!F38</f>
        <v>0</v>
      </c>
      <c r="G15" s="103">
        <f>CAPEX!G38</f>
        <v>0</v>
      </c>
      <c r="H15" s="103">
        <f>CAPEX!H38</f>
        <v>0</v>
      </c>
      <c r="I15" s="103">
        <f>CAPEX!I38</f>
        <v>0</v>
      </c>
      <c r="J15" s="103">
        <f>CAPEX!J38</f>
        <v>0</v>
      </c>
      <c r="K15" s="103">
        <f>CAPEX!K38</f>
        <v>0</v>
      </c>
      <c r="L15" s="103">
        <f>CAPEX!L38</f>
        <v>0</v>
      </c>
      <c r="M15" s="103">
        <f>CAPEX!M38</f>
        <v>0</v>
      </c>
      <c r="N15" s="103">
        <f>CAPEX!N38</f>
        <v>0</v>
      </c>
      <c r="O15" s="103">
        <f>CAPEX!O38</f>
        <v>0</v>
      </c>
      <c r="P15" s="103">
        <f>CAPEX!P38</f>
        <v>0</v>
      </c>
      <c r="Q15" s="103">
        <f>CAPEX!Q38</f>
        <v>0</v>
      </c>
      <c r="R15" s="103">
        <f>CAPEX!R38</f>
        <v>0</v>
      </c>
      <c r="S15" s="103">
        <f>CAPEX!S38</f>
        <v>0</v>
      </c>
      <c r="T15" s="103">
        <f>CAPEX!T38</f>
        <v>0</v>
      </c>
      <c r="U15" s="103">
        <f>CAPEX!U38</f>
        <v>0</v>
      </c>
      <c r="V15" s="103">
        <f>CAPEX!V38</f>
        <v>0</v>
      </c>
      <c r="W15" s="103">
        <f>CAPEX!W38</f>
        <v>0</v>
      </c>
      <c r="X15" s="103">
        <f>CAPEX!X38</f>
        <v>0</v>
      </c>
      <c r="Y15" s="103">
        <f>CAPEX!Y38</f>
        <v>0</v>
      </c>
      <c r="Z15" s="103">
        <f>CAPEX!Z38</f>
        <v>0</v>
      </c>
      <c r="AA15" s="103">
        <f>CAPEX!AA38</f>
        <v>0</v>
      </c>
      <c r="AB15" s="103">
        <f>CAPEX!AB38</f>
        <v>0</v>
      </c>
      <c r="AC15" s="103">
        <f>CAPEX!AC38</f>
        <v>0</v>
      </c>
      <c r="AD15" s="103">
        <f>CAPEX!AD38</f>
        <v>0</v>
      </c>
      <c r="AE15" s="103">
        <f>CAPEX!AE38</f>
        <v>0</v>
      </c>
      <c r="AF15" s="103">
        <f>CAPEX!AF38</f>
        <v>0</v>
      </c>
      <c r="AG15" s="116">
        <f t="shared" si="0"/>
        <v>0</v>
      </c>
    </row>
    <row r="16" spans="1:33">
      <c r="B16" s="90" t="str">
        <f>CAPEX!A16</f>
        <v>Проекты СОРМ</v>
      </c>
      <c r="C16" s="91" t="s">
        <v>71</v>
      </c>
      <c r="D16" s="110"/>
      <c r="E16" s="103">
        <f>CAPEX!E39</f>
        <v>0</v>
      </c>
      <c r="F16" s="103">
        <f>CAPEX!F39</f>
        <v>0</v>
      </c>
      <c r="G16" s="103">
        <f>CAPEX!G39</f>
        <v>0</v>
      </c>
      <c r="H16" s="103">
        <f>CAPEX!H39</f>
        <v>0</v>
      </c>
      <c r="I16" s="103">
        <f>CAPEX!I39</f>
        <v>0</v>
      </c>
      <c r="J16" s="103">
        <f>CAPEX!J39</f>
        <v>0</v>
      </c>
      <c r="K16" s="103">
        <f>CAPEX!K39</f>
        <v>0</v>
      </c>
      <c r="L16" s="103">
        <f>CAPEX!L39</f>
        <v>0</v>
      </c>
      <c r="M16" s="103">
        <f>CAPEX!M39</f>
        <v>0</v>
      </c>
      <c r="N16" s="103">
        <f>CAPEX!N39</f>
        <v>0</v>
      </c>
      <c r="O16" s="103">
        <f>CAPEX!O39</f>
        <v>0</v>
      </c>
      <c r="P16" s="103">
        <f>CAPEX!P39</f>
        <v>0</v>
      </c>
      <c r="Q16" s="103">
        <f>CAPEX!Q39</f>
        <v>0</v>
      </c>
      <c r="R16" s="103">
        <f>CAPEX!R39</f>
        <v>0</v>
      </c>
      <c r="S16" s="103">
        <f>CAPEX!S39</f>
        <v>0</v>
      </c>
      <c r="T16" s="103">
        <f>CAPEX!T39</f>
        <v>0</v>
      </c>
      <c r="U16" s="103">
        <f>CAPEX!U39</f>
        <v>0</v>
      </c>
      <c r="V16" s="103">
        <f>CAPEX!V39</f>
        <v>0</v>
      </c>
      <c r="W16" s="103">
        <f>CAPEX!W39</f>
        <v>0</v>
      </c>
      <c r="X16" s="103">
        <f>CAPEX!X39</f>
        <v>0</v>
      </c>
      <c r="Y16" s="103">
        <f>CAPEX!Y39</f>
        <v>0</v>
      </c>
      <c r="Z16" s="103">
        <f>CAPEX!Z39</f>
        <v>0</v>
      </c>
      <c r="AA16" s="103">
        <f>CAPEX!AA39</f>
        <v>0</v>
      </c>
      <c r="AB16" s="103">
        <f>CAPEX!AB39</f>
        <v>0</v>
      </c>
      <c r="AC16" s="103">
        <f>CAPEX!AC39</f>
        <v>0</v>
      </c>
      <c r="AD16" s="103">
        <f>CAPEX!AD39</f>
        <v>0</v>
      </c>
      <c r="AE16" s="103">
        <f>CAPEX!AE39</f>
        <v>0</v>
      </c>
      <c r="AF16" s="103">
        <f>CAPEX!AF39</f>
        <v>0</v>
      </c>
      <c r="AG16" s="116">
        <f t="shared" si="0"/>
        <v>0</v>
      </c>
    </row>
    <row r="17" spans="1:33">
      <c r="B17" s="90" t="str">
        <f>CAPEX!A17</f>
        <v>Развитие непрофильных бизнесов</v>
      </c>
      <c r="C17" s="91" t="s">
        <v>71</v>
      </c>
      <c r="D17" s="110"/>
      <c r="E17" s="103">
        <f>CAPEX!E40</f>
        <v>0</v>
      </c>
      <c r="F17" s="103">
        <f>CAPEX!F40</f>
        <v>0</v>
      </c>
      <c r="G17" s="103">
        <f>CAPEX!G40</f>
        <v>0</v>
      </c>
      <c r="H17" s="103">
        <f>CAPEX!H40</f>
        <v>0</v>
      </c>
      <c r="I17" s="103">
        <f>CAPEX!I40</f>
        <v>0</v>
      </c>
      <c r="J17" s="103">
        <f>CAPEX!J40</f>
        <v>0</v>
      </c>
      <c r="K17" s="103">
        <f>CAPEX!K40</f>
        <v>0</v>
      </c>
      <c r="L17" s="103">
        <f>CAPEX!L40</f>
        <v>0</v>
      </c>
      <c r="M17" s="103">
        <f>CAPEX!M40</f>
        <v>0</v>
      </c>
      <c r="N17" s="103">
        <f>CAPEX!N40</f>
        <v>0</v>
      </c>
      <c r="O17" s="103">
        <f>CAPEX!O40</f>
        <v>0</v>
      </c>
      <c r="P17" s="103">
        <f>CAPEX!P40</f>
        <v>0</v>
      </c>
      <c r="Q17" s="103">
        <f>CAPEX!Q40</f>
        <v>0</v>
      </c>
      <c r="R17" s="103">
        <f>CAPEX!R40</f>
        <v>0</v>
      </c>
      <c r="S17" s="103">
        <f>CAPEX!S40</f>
        <v>0</v>
      </c>
      <c r="T17" s="103">
        <f>CAPEX!T40</f>
        <v>0</v>
      </c>
      <c r="U17" s="103">
        <f>CAPEX!U40</f>
        <v>0</v>
      </c>
      <c r="V17" s="103">
        <f>CAPEX!V40</f>
        <v>0</v>
      </c>
      <c r="W17" s="103">
        <f>CAPEX!W40</f>
        <v>0</v>
      </c>
      <c r="X17" s="103">
        <f>CAPEX!X40</f>
        <v>0</v>
      </c>
      <c r="Y17" s="103">
        <f>CAPEX!Y40</f>
        <v>0</v>
      </c>
      <c r="Z17" s="103">
        <f>CAPEX!Z40</f>
        <v>0</v>
      </c>
      <c r="AA17" s="103">
        <f>CAPEX!AA40</f>
        <v>0</v>
      </c>
      <c r="AB17" s="103">
        <f>CAPEX!AB40</f>
        <v>0</v>
      </c>
      <c r="AC17" s="103">
        <f>CAPEX!AC40</f>
        <v>0</v>
      </c>
      <c r="AD17" s="103">
        <f>CAPEX!AD40</f>
        <v>0</v>
      </c>
      <c r="AE17" s="103">
        <f>CAPEX!AE40</f>
        <v>0</v>
      </c>
      <c r="AF17" s="103">
        <f>CAPEX!AF40</f>
        <v>0</v>
      </c>
      <c r="AG17" s="116">
        <f t="shared" si="0"/>
        <v>0</v>
      </c>
    </row>
    <row r="18" spans="1:33">
      <c r="B18" s="90" t="str">
        <f>CAPEX!A18</f>
        <v>Развитие радиоподсистемы</v>
      </c>
      <c r="C18" s="91" t="s">
        <v>71</v>
      </c>
      <c r="D18" s="110"/>
      <c r="E18" s="103">
        <f>CAPEX!E41</f>
        <v>0</v>
      </c>
      <c r="F18" s="103">
        <f>CAPEX!F41</f>
        <v>0</v>
      </c>
      <c r="G18" s="103">
        <f>CAPEX!G41</f>
        <v>0</v>
      </c>
      <c r="H18" s="103">
        <f>CAPEX!H41</f>
        <v>0</v>
      </c>
      <c r="I18" s="103">
        <f>CAPEX!I41</f>
        <v>0</v>
      </c>
      <c r="J18" s="103">
        <f>CAPEX!J41</f>
        <v>0</v>
      </c>
      <c r="K18" s="103">
        <f>CAPEX!K41</f>
        <v>0</v>
      </c>
      <c r="L18" s="103">
        <f>CAPEX!L41</f>
        <v>0</v>
      </c>
      <c r="M18" s="103">
        <f>CAPEX!M41</f>
        <v>0</v>
      </c>
      <c r="N18" s="103">
        <f>CAPEX!N41</f>
        <v>0</v>
      </c>
      <c r="O18" s="103">
        <f>CAPEX!O41</f>
        <v>0</v>
      </c>
      <c r="P18" s="103">
        <f>CAPEX!P41</f>
        <v>0</v>
      </c>
      <c r="Q18" s="103">
        <f>CAPEX!Q41</f>
        <v>0</v>
      </c>
      <c r="R18" s="103">
        <f>CAPEX!R41</f>
        <v>0</v>
      </c>
      <c r="S18" s="103">
        <f>CAPEX!S41</f>
        <v>0</v>
      </c>
      <c r="T18" s="103">
        <f>CAPEX!T41</f>
        <v>0</v>
      </c>
      <c r="U18" s="103">
        <f>CAPEX!U41</f>
        <v>0</v>
      </c>
      <c r="V18" s="103">
        <f>CAPEX!V41</f>
        <v>0</v>
      </c>
      <c r="W18" s="103">
        <f>CAPEX!W41</f>
        <v>0</v>
      </c>
      <c r="X18" s="103">
        <f>CAPEX!X41</f>
        <v>0</v>
      </c>
      <c r="Y18" s="103">
        <f>CAPEX!Y41</f>
        <v>0</v>
      </c>
      <c r="Z18" s="103">
        <f>CAPEX!Z41</f>
        <v>0</v>
      </c>
      <c r="AA18" s="103">
        <f>CAPEX!AA41</f>
        <v>0</v>
      </c>
      <c r="AB18" s="103">
        <f>CAPEX!AB41</f>
        <v>0</v>
      </c>
      <c r="AC18" s="103">
        <f>CAPEX!AC41</f>
        <v>0</v>
      </c>
      <c r="AD18" s="103">
        <f>CAPEX!AD41</f>
        <v>0</v>
      </c>
      <c r="AE18" s="103">
        <f>CAPEX!AE41</f>
        <v>0</v>
      </c>
      <c r="AF18" s="103">
        <f>CAPEX!AF41</f>
        <v>0</v>
      </c>
      <c r="AG18" s="116">
        <f t="shared" si="0"/>
        <v>0</v>
      </c>
    </row>
    <row r="19" spans="1:33">
      <c r="B19" s="90" t="str">
        <f>CAPEX!A19</f>
        <v>Рекламные объекты</v>
      </c>
      <c r="C19" s="91" t="s">
        <v>71</v>
      </c>
      <c r="D19" s="110"/>
      <c r="E19" s="103">
        <f>CAPEX!E42</f>
        <v>0</v>
      </c>
      <c r="F19" s="103">
        <f>CAPEX!F42</f>
        <v>0</v>
      </c>
      <c r="G19" s="103">
        <f>CAPEX!G42</f>
        <v>0</v>
      </c>
      <c r="H19" s="103">
        <f>CAPEX!H42</f>
        <v>0</v>
      </c>
      <c r="I19" s="103">
        <f>CAPEX!I42</f>
        <v>0</v>
      </c>
      <c r="J19" s="103">
        <f>CAPEX!J42</f>
        <v>0</v>
      </c>
      <c r="K19" s="103">
        <f>CAPEX!K42</f>
        <v>0</v>
      </c>
      <c r="L19" s="103">
        <f>CAPEX!L42</f>
        <v>0</v>
      </c>
      <c r="M19" s="103">
        <f>CAPEX!M42</f>
        <v>0</v>
      </c>
      <c r="N19" s="103">
        <f>CAPEX!N42</f>
        <v>0</v>
      </c>
      <c r="O19" s="103">
        <f>CAPEX!O42</f>
        <v>0</v>
      </c>
      <c r="P19" s="103">
        <f>CAPEX!P42</f>
        <v>0</v>
      </c>
      <c r="Q19" s="103">
        <f>CAPEX!Q42</f>
        <v>0</v>
      </c>
      <c r="R19" s="103">
        <f>CAPEX!R42</f>
        <v>0</v>
      </c>
      <c r="S19" s="103">
        <f>CAPEX!S42</f>
        <v>0</v>
      </c>
      <c r="T19" s="103">
        <f>CAPEX!T42</f>
        <v>0</v>
      </c>
      <c r="U19" s="103">
        <f>CAPEX!U42</f>
        <v>0</v>
      </c>
      <c r="V19" s="103">
        <f>CAPEX!V42</f>
        <v>0</v>
      </c>
      <c r="W19" s="103">
        <f>CAPEX!W42</f>
        <v>0</v>
      </c>
      <c r="X19" s="103">
        <f>CAPEX!X42</f>
        <v>0</v>
      </c>
      <c r="Y19" s="103">
        <f>CAPEX!Y42</f>
        <v>0</v>
      </c>
      <c r="Z19" s="103">
        <f>CAPEX!Z42</f>
        <v>0</v>
      </c>
      <c r="AA19" s="103">
        <f>CAPEX!AA42</f>
        <v>0</v>
      </c>
      <c r="AB19" s="103">
        <f>CAPEX!AB42</f>
        <v>0</v>
      </c>
      <c r="AC19" s="103">
        <f>CAPEX!AC42</f>
        <v>0</v>
      </c>
      <c r="AD19" s="103">
        <f>CAPEX!AD42</f>
        <v>0</v>
      </c>
      <c r="AE19" s="103">
        <f>CAPEX!AE42</f>
        <v>0</v>
      </c>
      <c r="AF19" s="103">
        <f>CAPEX!AF42</f>
        <v>0</v>
      </c>
      <c r="AG19" s="116">
        <f t="shared" si="0"/>
        <v>0</v>
      </c>
    </row>
    <row r="20" spans="1:33">
      <c r="B20" s="90" t="str">
        <f>CAPEX!A20</f>
        <v>Система передачи</v>
      </c>
      <c r="C20" s="91" t="s">
        <v>71</v>
      </c>
      <c r="D20" s="110"/>
      <c r="E20" s="103">
        <f>CAPEX!E43</f>
        <v>0</v>
      </c>
      <c r="F20" s="103">
        <f>CAPEX!F43</f>
        <v>0</v>
      </c>
      <c r="G20" s="103">
        <f>CAPEX!G43</f>
        <v>0</v>
      </c>
      <c r="H20" s="103">
        <f>CAPEX!H43</f>
        <v>0</v>
      </c>
      <c r="I20" s="103">
        <f>CAPEX!I43</f>
        <v>0</v>
      </c>
      <c r="J20" s="103">
        <f>CAPEX!J43</f>
        <v>0</v>
      </c>
      <c r="K20" s="103">
        <f>CAPEX!K43</f>
        <v>0</v>
      </c>
      <c r="L20" s="103">
        <f>CAPEX!L43</f>
        <v>0</v>
      </c>
      <c r="M20" s="103">
        <f>CAPEX!M43</f>
        <v>0</v>
      </c>
      <c r="N20" s="103">
        <f>CAPEX!N43</f>
        <v>0</v>
      </c>
      <c r="O20" s="103">
        <f>CAPEX!O43</f>
        <v>0</v>
      </c>
      <c r="P20" s="103">
        <f>CAPEX!P43</f>
        <v>0</v>
      </c>
      <c r="Q20" s="103">
        <f>CAPEX!Q43</f>
        <v>0</v>
      </c>
      <c r="R20" s="103">
        <f>CAPEX!R43</f>
        <v>0</v>
      </c>
      <c r="S20" s="103">
        <f>CAPEX!S43</f>
        <v>0</v>
      </c>
      <c r="T20" s="103">
        <f>CAPEX!T43</f>
        <v>0</v>
      </c>
      <c r="U20" s="103">
        <f>CAPEX!U43</f>
        <v>0</v>
      </c>
      <c r="V20" s="103">
        <f>CAPEX!V43</f>
        <v>0</v>
      </c>
      <c r="W20" s="103">
        <f>CAPEX!W43</f>
        <v>0</v>
      </c>
      <c r="X20" s="103">
        <f>CAPEX!X43</f>
        <v>0</v>
      </c>
      <c r="Y20" s="103">
        <f>CAPEX!Y43</f>
        <v>0</v>
      </c>
      <c r="Z20" s="103">
        <f>CAPEX!Z43</f>
        <v>0</v>
      </c>
      <c r="AA20" s="103">
        <f>CAPEX!AA43</f>
        <v>0</v>
      </c>
      <c r="AB20" s="103">
        <f>CAPEX!AB43</f>
        <v>0</v>
      </c>
      <c r="AC20" s="103">
        <f>CAPEX!AC43</f>
        <v>0</v>
      </c>
      <c r="AD20" s="103">
        <f>CAPEX!AD43</f>
        <v>0</v>
      </c>
      <c r="AE20" s="103">
        <f>CAPEX!AE43</f>
        <v>0</v>
      </c>
      <c r="AF20" s="103">
        <f>CAPEX!AF43</f>
        <v>0</v>
      </c>
      <c r="AG20" s="116">
        <f t="shared" si="0"/>
        <v>0</v>
      </c>
    </row>
    <row r="21" spans="1:33">
      <c r="B21" s="90" t="str">
        <f>CAPEX!A21</f>
        <v>Тестирование новых технологических платформ</v>
      </c>
      <c r="C21" s="91" t="s">
        <v>71</v>
      </c>
      <c r="D21" s="110"/>
      <c r="E21" s="103">
        <f>CAPEX!E44</f>
        <v>0</v>
      </c>
      <c r="F21" s="103">
        <f>CAPEX!F44</f>
        <v>0</v>
      </c>
      <c r="G21" s="103">
        <f>CAPEX!G44</f>
        <v>0</v>
      </c>
      <c r="H21" s="103">
        <f>CAPEX!H44</f>
        <v>0</v>
      </c>
      <c r="I21" s="103">
        <f>CAPEX!I44</f>
        <v>0</v>
      </c>
      <c r="J21" s="103">
        <f>CAPEX!J44</f>
        <v>0</v>
      </c>
      <c r="K21" s="103">
        <f>CAPEX!K44</f>
        <v>0</v>
      </c>
      <c r="L21" s="103">
        <f>CAPEX!L44</f>
        <v>0</v>
      </c>
      <c r="M21" s="103">
        <f>CAPEX!M44</f>
        <v>0</v>
      </c>
      <c r="N21" s="103">
        <f>CAPEX!N44</f>
        <v>0</v>
      </c>
      <c r="O21" s="103">
        <f>CAPEX!O44</f>
        <v>0</v>
      </c>
      <c r="P21" s="103">
        <f>CAPEX!P44</f>
        <v>0</v>
      </c>
      <c r="Q21" s="103">
        <f>CAPEX!Q44</f>
        <v>0</v>
      </c>
      <c r="R21" s="103">
        <f>CAPEX!R44</f>
        <v>0</v>
      </c>
      <c r="S21" s="103">
        <f>CAPEX!S44</f>
        <v>0</v>
      </c>
      <c r="T21" s="103">
        <f>CAPEX!T44</f>
        <v>0</v>
      </c>
      <c r="U21" s="103">
        <f>CAPEX!U44</f>
        <v>0</v>
      </c>
      <c r="V21" s="103">
        <f>CAPEX!V44</f>
        <v>0</v>
      </c>
      <c r="W21" s="103">
        <f>CAPEX!W44</f>
        <v>0</v>
      </c>
      <c r="X21" s="103">
        <f>CAPEX!X44</f>
        <v>0</v>
      </c>
      <c r="Y21" s="103">
        <f>CAPEX!Y44</f>
        <v>0</v>
      </c>
      <c r="Z21" s="103">
        <f>CAPEX!Z44</f>
        <v>0</v>
      </c>
      <c r="AA21" s="103">
        <f>CAPEX!AA44</f>
        <v>0</v>
      </c>
      <c r="AB21" s="103">
        <f>CAPEX!AB44</f>
        <v>0</v>
      </c>
      <c r="AC21" s="103">
        <f>CAPEX!AC44</f>
        <v>0</v>
      </c>
      <c r="AD21" s="103">
        <f>CAPEX!AD44</f>
        <v>0</v>
      </c>
      <c r="AE21" s="103">
        <f>CAPEX!AE44</f>
        <v>0</v>
      </c>
      <c r="AF21" s="103">
        <f>CAPEX!AF44</f>
        <v>0</v>
      </c>
      <c r="AG21" s="116">
        <f t="shared" si="0"/>
        <v>0</v>
      </c>
    </row>
    <row r="22" spans="1:33">
      <c r="B22" s="90" t="str">
        <f>CAPEX!A22</f>
        <v>Управление сетью</v>
      </c>
      <c r="C22" s="91" t="s">
        <v>71</v>
      </c>
      <c r="D22" s="110"/>
      <c r="E22" s="103">
        <f>CAPEX!E45</f>
        <v>0</v>
      </c>
      <c r="F22" s="103">
        <f>CAPEX!F45</f>
        <v>0</v>
      </c>
      <c r="G22" s="103">
        <f>CAPEX!G45</f>
        <v>0</v>
      </c>
      <c r="H22" s="103">
        <f>CAPEX!H45</f>
        <v>0</v>
      </c>
      <c r="I22" s="103">
        <f>CAPEX!I45</f>
        <v>0</v>
      </c>
      <c r="J22" s="103">
        <f>CAPEX!J45</f>
        <v>0</v>
      </c>
      <c r="K22" s="103">
        <f>CAPEX!K45</f>
        <v>0</v>
      </c>
      <c r="L22" s="103">
        <f>CAPEX!L45</f>
        <v>0</v>
      </c>
      <c r="M22" s="103">
        <f>CAPEX!M45</f>
        <v>0</v>
      </c>
      <c r="N22" s="103">
        <f>CAPEX!N45</f>
        <v>0</v>
      </c>
      <c r="O22" s="103">
        <f>CAPEX!O45</f>
        <v>0</v>
      </c>
      <c r="P22" s="103">
        <f>CAPEX!P45</f>
        <v>0</v>
      </c>
      <c r="Q22" s="103">
        <f>CAPEX!Q45</f>
        <v>0</v>
      </c>
      <c r="R22" s="103">
        <f>CAPEX!R45</f>
        <v>0</v>
      </c>
      <c r="S22" s="103">
        <f>CAPEX!S45</f>
        <v>0</v>
      </c>
      <c r="T22" s="103">
        <f>CAPEX!T45</f>
        <v>0</v>
      </c>
      <c r="U22" s="103">
        <f>CAPEX!U45</f>
        <v>0</v>
      </c>
      <c r="V22" s="103">
        <f>CAPEX!V45</f>
        <v>0</v>
      </c>
      <c r="W22" s="103">
        <f>CAPEX!W45</f>
        <v>0</v>
      </c>
      <c r="X22" s="103">
        <f>CAPEX!X45</f>
        <v>0</v>
      </c>
      <c r="Y22" s="103">
        <f>CAPEX!Y45</f>
        <v>0</v>
      </c>
      <c r="Z22" s="103">
        <f>CAPEX!Z45</f>
        <v>0</v>
      </c>
      <c r="AA22" s="103">
        <f>CAPEX!AA45</f>
        <v>0</v>
      </c>
      <c r="AB22" s="103">
        <f>CAPEX!AB45</f>
        <v>0</v>
      </c>
      <c r="AC22" s="103">
        <f>CAPEX!AC45</f>
        <v>0</v>
      </c>
      <c r="AD22" s="103">
        <f>CAPEX!AD45</f>
        <v>0</v>
      </c>
      <c r="AE22" s="103">
        <f>CAPEX!AE45</f>
        <v>0</v>
      </c>
      <c r="AF22" s="103">
        <f>CAPEX!AF45</f>
        <v>0</v>
      </c>
      <c r="AG22" s="116">
        <f t="shared" si="0"/>
        <v>0</v>
      </c>
    </row>
    <row r="23" spans="1:33">
      <c r="B23" s="90" t="str">
        <f>CAPEX!A23</f>
        <v>Услуги добавленной стоимости VAS</v>
      </c>
      <c r="C23" s="91" t="s">
        <v>71</v>
      </c>
      <c r="D23" s="110"/>
      <c r="E23" s="103">
        <f>CAPEX!E46</f>
        <v>0</v>
      </c>
      <c r="F23" s="103">
        <f>CAPEX!F46</f>
        <v>0</v>
      </c>
      <c r="G23" s="103">
        <f>CAPEX!G46</f>
        <v>0</v>
      </c>
      <c r="H23" s="103">
        <f>CAPEX!H46</f>
        <v>0</v>
      </c>
      <c r="I23" s="103">
        <f>CAPEX!I46</f>
        <v>0</v>
      </c>
      <c r="J23" s="103">
        <f>CAPEX!J46</f>
        <v>0</v>
      </c>
      <c r="K23" s="103">
        <f>CAPEX!K46</f>
        <v>0</v>
      </c>
      <c r="L23" s="103">
        <f>CAPEX!L46</f>
        <v>0</v>
      </c>
      <c r="M23" s="103">
        <f>CAPEX!M46</f>
        <v>0</v>
      </c>
      <c r="N23" s="103">
        <f>CAPEX!N46</f>
        <v>0</v>
      </c>
      <c r="O23" s="103">
        <f>CAPEX!O46</f>
        <v>0</v>
      </c>
      <c r="P23" s="103">
        <f>CAPEX!P46</f>
        <v>0</v>
      </c>
      <c r="Q23" s="103">
        <f>CAPEX!Q46</f>
        <v>0</v>
      </c>
      <c r="R23" s="103">
        <f>CAPEX!R46</f>
        <v>0</v>
      </c>
      <c r="S23" s="103">
        <f>CAPEX!S46</f>
        <v>0</v>
      </c>
      <c r="T23" s="103">
        <f>CAPEX!T46</f>
        <v>0</v>
      </c>
      <c r="U23" s="103">
        <f>CAPEX!U46</f>
        <v>0</v>
      </c>
      <c r="V23" s="103">
        <f>CAPEX!V46</f>
        <v>0</v>
      </c>
      <c r="W23" s="103">
        <f>CAPEX!W46</f>
        <v>0</v>
      </c>
      <c r="X23" s="103">
        <f>CAPEX!X46</f>
        <v>0</v>
      </c>
      <c r="Y23" s="103">
        <f>CAPEX!Y46</f>
        <v>0</v>
      </c>
      <c r="Z23" s="103">
        <f>CAPEX!Z46</f>
        <v>0</v>
      </c>
      <c r="AA23" s="103">
        <f>CAPEX!AA46</f>
        <v>0</v>
      </c>
      <c r="AB23" s="103">
        <f>CAPEX!AB46</f>
        <v>0</v>
      </c>
      <c r="AC23" s="103">
        <f>CAPEX!AC46</f>
        <v>0</v>
      </c>
      <c r="AD23" s="103">
        <f>CAPEX!AD46</f>
        <v>0</v>
      </c>
      <c r="AE23" s="103">
        <f>CAPEX!AE46</f>
        <v>0</v>
      </c>
      <c r="AF23" s="103">
        <f>CAPEX!AF46</f>
        <v>0</v>
      </c>
      <c r="AG23" s="116">
        <f t="shared" si="0"/>
        <v>0</v>
      </c>
    </row>
    <row r="24" spans="1:33">
      <c r="B24" s="90" t="str">
        <f>CAPEX!A24</f>
        <v>Фиксированная связь</v>
      </c>
      <c r="C24" s="91" t="s">
        <v>71</v>
      </c>
      <c r="D24" s="110"/>
      <c r="E24" s="103">
        <f>CAPEX!E47</f>
        <v>0</v>
      </c>
      <c r="F24" s="103">
        <f>CAPEX!F47</f>
        <v>0</v>
      </c>
      <c r="G24" s="103">
        <f>CAPEX!G47</f>
        <v>0</v>
      </c>
      <c r="H24" s="103">
        <f>CAPEX!H47</f>
        <v>0</v>
      </c>
      <c r="I24" s="103">
        <f>CAPEX!I47</f>
        <v>0</v>
      </c>
      <c r="J24" s="103">
        <f>CAPEX!J47</f>
        <v>0</v>
      </c>
      <c r="K24" s="103">
        <f>CAPEX!K47</f>
        <v>0</v>
      </c>
      <c r="L24" s="103">
        <f>CAPEX!L47</f>
        <v>0</v>
      </c>
      <c r="M24" s="103">
        <f>CAPEX!M47</f>
        <v>0</v>
      </c>
      <c r="N24" s="103">
        <f>CAPEX!N47</f>
        <v>0</v>
      </c>
      <c r="O24" s="103">
        <f>CAPEX!O47</f>
        <v>0</v>
      </c>
      <c r="P24" s="103">
        <f>CAPEX!P47</f>
        <v>0</v>
      </c>
      <c r="Q24" s="103">
        <f>CAPEX!Q47</f>
        <v>0</v>
      </c>
      <c r="R24" s="103">
        <f>CAPEX!R47</f>
        <v>0</v>
      </c>
      <c r="S24" s="103">
        <f>CAPEX!S47</f>
        <v>0</v>
      </c>
      <c r="T24" s="103">
        <f>CAPEX!T47</f>
        <v>0</v>
      </c>
      <c r="U24" s="103">
        <f>CAPEX!U47</f>
        <v>0</v>
      </c>
      <c r="V24" s="103">
        <f>CAPEX!V47</f>
        <v>0</v>
      </c>
      <c r="W24" s="103">
        <f>CAPEX!W47</f>
        <v>0</v>
      </c>
      <c r="X24" s="103">
        <f>CAPEX!X47</f>
        <v>0</v>
      </c>
      <c r="Y24" s="103">
        <f>CAPEX!Y47</f>
        <v>0</v>
      </c>
      <c r="Z24" s="103">
        <f>CAPEX!Z47</f>
        <v>0</v>
      </c>
      <c r="AA24" s="103">
        <f>CAPEX!AA47</f>
        <v>0</v>
      </c>
      <c r="AB24" s="103">
        <f>CAPEX!AB47</f>
        <v>0</v>
      </c>
      <c r="AC24" s="103">
        <f>CAPEX!AC47</f>
        <v>0</v>
      </c>
      <c r="AD24" s="103">
        <f>CAPEX!AD47</f>
        <v>0</v>
      </c>
      <c r="AE24" s="103">
        <f>CAPEX!AE47</f>
        <v>0</v>
      </c>
      <c r="AF24" s="103">
        <f>CAPEX!AF47</f>
        <v>0</v>
      </c>
      <c r="AG24" s="116">
        <f t="shared" si="0"/>
        <v>0</v>
      </c>
    </row>
    <row r="25" spans="1:33">
      <c r="B25" s="90" t="str">
        <f>CAPEX!A25</f>
        <v xml:space="preserve">Энергетика, метрология и эксплуатация </v>
      </c>
      <c r="C25" s="91" t="s">
        <v>71</v>
      </c>
      <c r="D25" s="110"/>
      <c r="E25" s="103">
        <f>CAPEX!E48</f>
        <v>0</v>
      </c>
      <c r="F25" s="103">
        <f>CAPEX!F48</f>
        <v>0</v>
      </c>
      <c r="G25" s="103">
        <f>CAPEX!G48</f>
        <v>0</v>
      </c>
      <c r="H25" s="103">
        <f>CAPEX!H48</f>
        <v>0</v>
      </c>
      <c r="I25" s="103">
        <f>CAPEX!I48</f>
        <v>0</v>
      </c>
      <c r="J25" s="103">
        <f>CAPEX!J48</f>
        <v>0</v>
      </c>
      <c r="K25" s="103">
        <f>CAPEX!K48</f>
        <v>0</v>
      </c>
      <c r="L25" s="103">
        <f>CAPEX!L48</f>
        <v>0</v>
      </c>
      <c r="M25" s="103">
        <f>CAPEX!M48</f>
        <v>0</v>
      </c>
      <c r="N25" s="103">
        <f>CAPEX!N48</f>
        <v>0</v>
      </c>
      <c r="O25" s="103">
        <f>CAPEX!O48</f>
        <v>0</v>
      </c>
      <c r="P25" s="103">
        <f>CAPEX!P48</f>
        <v>0</v>
      </c>
      <c r="Q25" s="103">
        <f>CAPEX!Q48</f>
        <v>0</v>
      </c>
      <c r="R25" s="103">
        <f>CAPEX!R48</f>
        <v>0</v>
      </c>
      <c r="S25" s="103">
        <f>CAPEX!S48</f>
        <v>0</v>
      </c>
      <c r="T25" s="103">
        <f>CAPEX!T48</f>
        <v>0</v>
      </c>
      <c r="U25" s="103">
        <f>CAPEX!U48</f>
        <v>0</v>
      </c>
      <c r="V25" s="103">
        <f>CAPEX!V48</f>
        <v>0</v>
      </c>
      <c r="W25" s="103">
        <f>CAPEX!W48</f>
        <v>0</v>
      </c>
      <c r="X25" s="103">
        <f>CAPEX!X48</f>
        <v>0</v>
      </c>
      <c r="Y25" s="103">
        <f>CAPEX!Y48</f>
        <v>0</v>
      </c>
      <c r="Z25" s="103">
        <f>CAPEX!Z48</f>
        <v>0</v>
      </c>
      <c r="AA25" s="103">
        <f>CAPEX!AA48</f>
        <v>0</v>
      </c>
      <c r="AB25" s="103">
        <f>CAPEX!AB48</f>
        <v>0</v>
      </c>
      <c r="AC25" s="103">
        <f>CAPEX!AC48</f>
        <v>0</v>
      </c>
      <c r="AD25" s="103">
        <f>CAPEX!AD48</f>
        <v>0</v>
      </c>
      <c r="AE25" s="103">
        <f>CAPEX!AE48</f>
        <v>0</v>
      </c>
      <c r="AF25" s="103">
        <f>CAPEX!AF48</f>
        <v>0</v>
      </c>
      <c r="AG25" s="116">
        <f t="shared" si="0"/>
        <v>0</v>
      </c>
    </row>
    <row r="26" spans="1:33" s="108" customFormat="1" ht="19">
      <c r="A26" s="257"/>
      <c r="B26" s="258" t="s">
        <v>7</v>
      </c>
      <c r="C26" s="261" t="s">
        <v>71</v>
      </c>
      <c r="D26" s="263"/>
      <c r="E26" s="264">
        <f t="shared" ref="E26:T26" si="1">SUM(E5:E25)</f>
        <v>1</v>
      </c>
      <c r="F26" s="264">
        <f t="shared" si="1"/>
        <v>0</v>
      </c>
      <c r="G26" s="264">
        <f t="shared" si="1"/>
        <v>0</v>
      </c>
      <c r="H26" s="264">
        <f t="shared" si="1"/>
        <v>0</v>
      </c>
      <c r="I26" s="264">
        <f t="shared" si="1"/>
        <v>0</v>
      </c>
      <c r="J26" s="264">
        <f t="shared" si="1"/>
        <v>0</v>
      </c>
      <c r="K26" s="264">
        <f t="shared" si="1"/>
        <v>0</v>
      </c>
      <c r="L26" s="264">
        <f t="shared" si="1"/>
        <v>0</v>
      </c>
      <c r="M26" s="264">
        <f t="shared" si="1"/>
        <v>0</v>
      </c>
      <c r="N26" s="264">
        <f t="shared" si="1"/>
        <v>0</v>
      </c>
      <c r="O26" s="264">
        <f t="shared" si="1"/>
        <v>0</v>
      </c>
      <c r="P26" s="264">
        <f t="shared" si="1"/>
        <v>0</v>
      </c>
      <c r="Q26" s="264">
        <f t="shared" si="1"/>
        <v>0</v>
      </c>
      <c r="R26" s="264">
        <f t="shared" si="1"/>
        <v>0</v>
      </c>
      <c r="S26" s="264">
        <f t="shared" si="1"/>
        <v>0</v>
      </c>
      <c r="T26" s="264">
        <f t="shared" si="1"/>
        <v>0</v>
      </c>
      <c r="U26" s="264">
        <f t="shared" ref="U26:AG26" si="2">SUM(U5:U25)</f>
        <v>0</v>
      </c>
      <c r="V26" s="264">
        <f t="shared" si="2"/>
        <v>0</v>
      </c>
      <c r="W26" s="264">
        <f t="shared" si="2"/>
        <v>0</v>
      </c>
      <c r="X26" s="264">
        <f t="shared" si="2"/>
        <v>0</v>
      </c>
      <c r="Y26" s="264">
        <f t="shared" si="2"/>
        <v>0</v>
      </c>
      <c r="Z26" s="264">
        <f t="shared" si="2"/>
        <v>0</v>
      </c>
      <c r="AA26" s="264">
        <f t="shared" si="2"/>
        <v>0</v>
      </c>
      <c r="AB26" s="264">
        <f t="shared" si="2"/>
        <v>0</v>
      </c>
      <c r="AC26" s="264">
        <f t="shared" si="2"/>
        <v>0</v>
      </c>
      <c r="AD26" s="264">
        <f t="shared" si="2"/>
        <v>0</v>
      </c>
      <c r="AE26" s="264">
        <f t="shared" si="2"/>
        <v>0</v>
      </c>
      <c r="AF26" s="264">
        <f t="shared" si="2"/>
        <v>0</v>
      </c>
      <c r="AG26" s="265">
        <f t="shared" si="2"/>
        <v>1</v>
      </c>
    </row>
    <row r="27" spans="1:33">
      <c r="C27" s="103"/>
      <c r="D27" s="103"/>
      <c r="E27" s="103"/>
      <c r="F27" s="103"/>
      <c r="G27" s="103"/>
      <c r="H27" s="103"/>
      <c r="I27" s="103"/>
      <c r="AG27" s="108"/>
    </row>
    <row r="28" spans="1:33" ht="19">
      <c r="A28" s="258"/>
      <c r="B28" s="258" t="s">
        <v>39</v>
      </c>
      <c r="C28" s="258"/>
      <c r="D28" s="258"/>
      <c r="E28" s="262"/>
      <c r="F28" s="262"/>
      <c r="G28" s="262"/>
      <c r="H28" s="262"/>
      <c r="I28" s="262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60"/>
    </row>
    <row r="29" spans="1:33">
      <c r="B29" s="90" t="str">
        <f>B5</f>
        <v>IN платформа</v>
      </c>
      <c r="C29" s="91" t="s">
        <v>44</v>
      </c>
      <c r="D29" s="268">
        <v>28</v>
      </c>
      <c r="E29" s="104"/>
      <c r="F29" s="104"/>
      <c r="G29" s="104"/>
      <c r="H29" s="104"/>
      <c r="I29" s="104"/>
      <c r="AG29" s="108"/>
    </row>
    <row r="30" spans="1:33" ht="12.75" customHeight="1">
      <c r="B30" s="90" t="str">
        <f t="shared" ref="B30:B49" si="3">B6</f>
        <v>Административная инфраструктура</v>
      </c>
      <c r="C30" s="91" t="s">
        <v>44</v>
      </c>
      <c r="D30" s="268">
        <v>200</v>
      </c>
      <c r="E30" s="104"/>
      <c r="F30" s="104"/>
      <c r="G30" s="104"/>
      <c r="H30" s="104"/>
      <c r="I30" s="104"/>
      <c r="AG30" s="108"/>
    </row>
    <row r="31" spans="1:33">
      <c r="B31" s="90" t="str">
        <f t="shared" si="3"/>
        <v>Биллинговая система</v>
      </c>
      <c r="C31" s="91" t="s">
        <v>44</v>
      </c>
      <c r="D31" s="268">
        <v>28</v>
      </c>
      <c r="E31" s="104"/>
      <c r="F31" s="104"/>
      <c r="G31" s="104"/>
      <c r="H31" s="104"/>
      <c r="I31" s="104"/>
      <c r="AG31" s="108"/>
    </row>
    <row r="32" spans="1:33">
      <c r="B32" s="90" t="str">
        <f t="shared" si="3"/>
        <v>Внедрение функциональной ИТ системы</v>
      </c>
      <c r="C32" s="91" t="s">
        <v>44</v>
      </c>
      <c r="D32" s="268">
        <v>28</v>
      </c>
      <c r="E32" s="104"/>
      <c r="F32" s="104"/>
      <c r="G32" s="104"/>
      <c r="H32" s="104"/>
      <c r="I32" s="104"/>
      <c r="AG32" s="108"/>
    </row>
    <row r="33" spans="2:33">
      <c r="B33" s="90" t="str">
        <f t="shared" si="3"/>
        <v>Закупка офисного оборудования и вычислительной техники</v>
      </c>
      <c r="C33" s="91" t="s">
        <v>44</v>
      </c>
      <c r="D33" s="268">
        <v>28</v>
      </c>
      <c r="E33" s="104"/>
      <c r="F33" s="104"/>
      <c r="G33" s="104"/>
      <c r="H33" s="104"/>
      <c r="I33" s="104"/>
      <c r="AG33" s="108"/>
    </row>
    <row r="34" spans="2:33">
      <c r="B34" s="90" t="str">
        <f t="shared" si="3"/>
        <v>Коммутационная подсистема</v>
      </c>
      <c r="C34" s="91" t="s">
        <v>44</v>
      </c>
      <c r="D34" s="268">
        <v>28</v>
      </c>
      <c r="E34" s="104"/>
      <c r="F34" s="104"/>
      <c r="G34" s="104"/>
      <c r="H34" s="104"/>
      <c r="I34" s="104"/>
      <c r="AG34" s="108"/>
    </row>
    <row r="35" spans="2:33">
      <c r="B35" s="90" t="str">
        <f t="shared" si="3"/>
        <v>Корпоративная сеть</v>
      </c>
      <c r="C35" s="91" t="s">
        <v>44</v>
      </c>
      <c r="D35" s="268">
        <v>28</v>
      </c>
      <c r="E35" s="104"/>
      <c r="F35" s="104"/>
      <c r="G35" s="104"/>
      <c r="H35" s="104"/>
      <c r="I35" s="104"/>
    </row>
    <row r="36" spans="2:33">
      <c r="B36" s="90" t="str">
        <f t="shared" si="3"/>
        <v>Лицензии на услуги и РЧ</v>
      </c>
      <c r="C36" s="91" t="s">
        <v>44</v>
      </c>
      <c r="D36" s="268">
        <v>28</v>
      </c>
      <c r="E36" s="104"/>
      <c r="F36" s="104"/>
      <c r="G36" s="104"/>
      <c r="H36" s="104"/>
      <c r="I36" s="104"/>
    </row>
    <row r="37" spans="2:33">
      <c r="B37" s="90" t="str">
        <f t="shared" si="3"/>
        <v>Лицензии на ПО</v>
      </c>
      <c r="C37" s="91" t="s">
        <v>44</v>
      </c>
      <c r="D37" s="268">
        <v>28</v>
      </c>
      <c r="E37" s="104"/>
      <c r="F37" s="104"/>
      <c r="G37" s="104"/>
      <c r="H37" s="104"/>
      <c r="I37" s="104"/>
    </row>
    <row r="38" spans="2:33">
      <c r="B38" s="90" t="str">
        <f t="shared" si="3"/>
        <v>НИОКР</v>
      </c>
      <c r="C38" s="91" t="s">
        <v>44</v>
      </c>
      <c r="D38" s="268">
        <v>28</v>
      </c>
      <c r="E38" s="104"/>
      <c r="F38" s="104"/>
      <c r="G38" s="104"/>
      <c r="H38" s="104"/>
      <c r="I38" s="104"/>
    </row>
    <row r="39" spans="2:33">
      <c r="B39" s="90" t="str">
        <f t="shared" si="3"/>
        <v>Обслуживание абонентов</v>
      </c>
      <c r="C39" s="91" t="s">
        <v>44</v>
      </c>
      <c r="D39" s="268">
        <v>28</v>
      </c>
      <c r="E39" s="104"/>
      <c r="F39" s="104"/>
      <c r="G39" s="104"/>
      <c r="H39" s="104"/>
      <c r="I39" s="104"/>
    </row>
    <row r="40" spans="2:33">
      <c r="B40" s="90" t="str">
        <f t="shared" si="3"/>
        <v>Проекты СОРМ</v>
      </c>
      <c r="C40" s="91" t="s">
        <v>44</v>
      </c>
      <c r="D40" s="268">
        <v>28</v>
      </c>
      <c r="E40" s="104"/>
      <c r="F40" s="104"/>
      <c r="G40" s="104"/>
      <c r="H40" s="104"/>
      <c r="I40" s="104"/>
    </row>
    <row r="41" spans="2:33">
      <c r="B41" s="90" t="str">
        <f t="shared" si="3"/>
        <v>Развитие непрофильных бизнесов</v>
      </c>
      <c r="C41" s="91" t="s">
        <v>44</v>
      </c>
      <c r="D41" s="268">
        <v>28</v>
      </c>
      <c r="E41" s="104"/>
      <c r="F41" s="104"/>
      <c r="G41" s="104"/>
      <c r="H41" s="104"/>
      <c r="I41" s="104"/>
    </row>
    <row r="42" spans="2:33">
      <c r="B42" s="90" t="str">
        <f t="shared" si="3"/>
        <v>Развитие радиоподсистемы</v>
      </c>
      <c r="C42" s="91" t="s">
        <v>44</v>
      </c>
      <c r="D42" s="268">
        <v>28</v>
      </c>
      <c r="E42" s="104"/>
      <c r="F42" s="104"/>
      <c r="G42" s="104"/>
      <c r="H42" s="104"/>
      <c r="I42" s="104"/>
    </row>
    <row r="43" spans="2:33">
      <c r="B43" s="90" t="str">
        <f t="shared" si="3"/>
        <v>Рекламные объекты</v>
      </c>
      <c r="C43" s="91" t="s">
        <v>44</v>
      </c>
      <c r="D43" s="268">
        <v>28</v>
      </c>
      <c r="E43" s="104"/>
      <c r="F43" s="104"/>
      <c r="G43" s="104"/>
      <c r="H43" s="104"/>
      <c r="I43" s="104"/>
    </row>
    <row r="44" spans="2:33">
      <c r="B44" s="90" t="str">
        <f t="shared" si="3"/>
        <v>Система передачи</v>
      </c>
      <c r="C44" s="91" t="s">
        <v>44</v>
      </c>
      <c r="D44" s="268">
        <v>28</v>
      </c>
      <c r="E44" s="104"/>
      <c r="F44" s="104"/>
      <c r="G44" s="104"/>
      <c r="H44" s="104"/>
      <c r="I44" s="104"/>
    </row>
    <row r="45" spans="2:33">
      <c r="B45" s="90" t="str">
        <f t="shared" si="3"/>
        <v>Тестирование новых технологических платформ</v>
      </c>
      <c r="C45" s="91" t="s">
        <v>44</v>
      </c>
      <c r="D45" s="268">
        <v>28</v>
      </c>
      <c r="E45" s="104"/>
      <c r="F45" s="104"/>
      <c r="G45" s="104"/>
      <c r="H45" s="104"/>
      <c r="I45" s="104"/>
    </row>
    <row r="46" spans="2:33">
      <c r="B46" s="90" t="str">
        <f t="shared" si="3"/>
        <v>Управление сетью</v>
      </c>
      <c r="C46" s="91" t="s">
        <v>44</v>
      </c>
      <c r="D46" s="268">
        <v>28</v>
      </c>
      <c r="E46" s="104"/>
      <c r="F46" s="104"/>
      <c r="G46" s="104"/>
      <c r="H46" s="104"/>
      <c r="I46" s="104"/>
    </row>
    <row r="47" spans="2:33">
      <c r="B47" s="90" t="str">
        <f t="shared" si="3"/>
        <v>Услуги добавленной стоимости VAS</v>
      </c>
      <c r="C47" s="91" t="s">
        <v>44</v>
      </c>
      <c r="D47" s="268">
        <v>28</v>
      </c>
      <c r="E47" s="104"/>
      <c r="F47" s="104"/>
      <c r="G47" s="104"/>
      <c r="H47" s="104"/>
      <c r="I47" s="104"/>
    </row>
    <row r="48" spans="2:33">
      <c r="B48" s="90" t="str">
        <f t="shared" si="3"/>
        <v>Фиксированная связь</v>
      </c>
      <c r="C48" s="91" t="s">
        <v>44</v>
      </c>
      <c r="D48" s="268">
        <v>28</v>
      </c>
      <c r="E48" s="104"/>
      <c r="F48" s="104"/>
      <c r="G48" s="104"/>
      <c r="H48" s="104"/>
      <c r="I48" s="104"/>
    </row>
    <row r="49" spans="1:33">
      <c r="B49" s="90" t="str">
        <f t="shared" si="3"/>
        <v xml:space="preserve">Энергетика, метрология и эксплуатация </v>
      </c>
      <c r="C49" s="91" t="s">
        <v>44</v>
      </c>
      <c r="D49" s="268">
        <v>28</v>
      </c>
      <c r="E49" s="104"/>
      <c r="F49" s="104"/>
      <c r="G49" s="104"/>
      <c r="H49" s="104"/>
      <c r="I49" s="104"/>
    </row>
    <row r="50" spans="1:33" ht="19">
      <c r="A50" s="258"/>
      <c r="B50" s="258" t="s">
        <v>25</v>
      </c>
      <c r="C50" s="258"/>
      <c r="D50" s="258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6"/>
    </row>
    <row r="51" spans="1:33">
      <c r="B51" s="90" t="str">
        <f>B29</f>
        <v>IN платформа</v>
      </c>
      <c r="C51" s="91" t="s">
        <v>71</v>
      </c>
      <c r="D51" s="109"/>
      <c r="E51" s="103">
        <v>0</v>
      </c>
      <c r="F51" s="103">
        <f>IF(E75-SUM($E5:E5)/$D29&gt;=0,SUM($E5:E5)/$D29,E75)</f>
        <v>0</v>
      </c>
      <c r="G51" s="103">
        <f>IF(F75-SUM($E5:F5)/$D29&gt;=0,SUM($E5:F5)/$D29,F75)</f>
        <v>0</v>
      </c>
      <c r="H51" s="103">
        <f>IF(G75-SUM($E5:G5)/$D29&gt;=0,SUM($E5:G5)/$D29,G75)</f>
        <v>0</v>
      </c>
      <c r="I51" s="103">
        <f>IF(H75-SUM($E5:H5)/$D29&gt;=0,SUM($E5:H5)/$D29,H75)</f>
        <v>0</v>
      </c>
      <c r="J51" s="103">
        <f>IF(I75-SUM($E5:I5)/$D29&gt;=0,SUM($E5:I5)/$D29,I75)</f>
        <v>0</v>
      </c>
      <c r="K51" s="103">
        <f>IF(J75-SUM($E5:J5)/$D29&gt;=0,SUM($E5:J5)/$D29,J75)</f>
        <v>0</v>
      </c>
      <c r="L51" s="103">
        <f>IF(K75-SUM($E5:K5)/$D29&gt;=0,SUM($E5:K5)/$D29,K75)</f>
        <v>0</v>
      </c>
      <c r="M51" s="103">
        <f>IF(L75-SUM($E5:L5)/$D29&gt;=0,SUM($E5:L5)/$D29,L75)</f>
        <v>0</v>
      </c>
      <c r="N51" s="103">
        <f>IF(M75-SUM($E5:M5)/$D29&gt;=0,SUM($E5:M5)/$D29,M75)</f>
        <v>0</v>
      </c>
      <c r="O51" s="103">
        <f>IF(N75-SUM($E5:N5)/$D29&gt;=0,SUM($E5:N5)/$D29,N75)</f>
        <v>0</v>
      </c>
      <c r="P51" s="103">
        <f>IF(O75-SUM($E5:O5)/$D29&gt;=0,SUM($E5:O5)/$D29,O75)</f>
        <v>0</v>
      </c>
      <c r="Q51" s="103">
        <f>IF(P75-SUM($E5:P5)/$D29&gt;=0,SUM($E5:P5)/$D29,P75)</f>
        <v>0</v>
      </c>
      <c r="R51" s="103">
        <f>IF(Q75-SUM($E5:Q5)/$D29&gt;=0,SUM($E5:Q5)/$D29,Q75)</f>
        <v>0</v>
      </c>
      <c r="S51" s="103">
        <f>IF(R75-SUM($E5:R5)/$D29&gt;=0,SUM($E5:R5)/$D29,R75)</f>
        <v>0</v>
      </c>
      <c r="T51" s="103">
        <f>IF(S75-SUM($E5:S5)/$D29&gt;=0,SUM($E5:S5)/$D29,S75)</f>
        <v>0</v>
      </c>
      <c r="U51" s="103">
        <f>IF(T75-SUM($E5:T5)/$D29&gt;=0,SUM($E5:T5)/$D29,T75)</f>
        <v>0</v>
      </c>
      <c r="V51" s="103">
        <f>IF(U75-SUM($E5:U5)/$D29&gt;=0,SUM($E5:U5)/$D29,U75)</f>
        <v>0</v>
      </c>
      <c r="W51" s="103">
        <f>IF(V75-SUM($E5:V5)/$D29&gt;=0,SUM($E5:V5)/$D29,V75)</f>
        <v>0</v>
      </c>
      <c r="X51" s="103">
        <f>IF(W75-SUM($E5:W5)/$D29&gt;=0,SUM($E5:W5)/$D29,W75)</f>
        <v>0</v>
      </c>
      <c r="Y51" s="103">
        <f>IF(X75-SUM($E5:X5)/$D29&gt;=0,SUM($E5:X5)/$D29,X75)</f>
        <v>0</v>
      </c>
      <c r="Z51" s="103">
        <f>IF(Y75-SUM($E5:Y5)/$D29&gt;=0,SUM($E5:Y5)/$D29,Y75)</f>
        <v>0</v>
      </c>
      <c r="AA51" s="103">
        <f>IF(Z75-SUM($E5:Z5)/$D29&gt;=0,SUM($E5:Z5)/$D29,Z75)</f>
        <v>0</v>
      </c>
      <c r="AB51" s="103">
        <f>IF(AA75-SUM($E5:AA5)/$D29&gt;=0,SUM($E5:AA5)/$D29,AA75)</f>
        <v>0</v>
      </c>
      <c r="AC51" s="103">
        <f>IF(AB75-SUM($E5:AB5)/$D29&gt;=0,SUM($E5:AB5)/$D29,AB75)</f>
        <v>0</v>
      </c>
      <c r="AD51" s="103">
        <f>IF(AC75-SUM($E5:AC5)/$D29&gt;=0,SUM($E5:AC5)/$D29,AC75)</f>
        <v>0</v>
      </c>
      <c r="AE51" s="103">
        <f>IF(AD75-SUM($E5:AD5)/$D29&gt;=0,SUM($E5:AD5)/$D29,AD75)</f>
        <v>0</v>
      </c>
      <c r="AF51" s="103">
        <f>IF(AE75-SUM($E5:AE5)/$D29&gt;=0,SUM($E5:AE5)/$D29,AE75)</f>
        <v>0</v>
      </c>
      <c r="AG51" s="116">
        <f t="shared" ref="AG51:AG71" si="4">SUM(E51:AF51)</f>
        <v>0</v>
      </c>
    </row>
    <row r="52" spans="1:33" ht="12.75" customHeight="1">
      <c r="B52" s="90" t="str">
        <f t="shared" ref="B52:B71" si="5">B30</f>
        <v>Административная инфраструктура</v>
      </c>
      <c r="C52" s="91" t="s">
        <v>71</v>
      </c>
      <c r="D52" s="110"/>
      <c r="E52" s="103">
        <v>0</v>
      </c>
      <c r="F52" s="103">
        <f>IF(E76-SUM($E6:E6)/$D30&gt;=0,SUM($E6:E6)/$D30,E76)</f>
        <v>0</v>
      </c>
      <c r="G52" s="103">
        <f>IF(F76-SUM($E6:F6)/$D30&gt;=0,SUM($E6:F6)/$D30,F76)</f>
        <v>0</v>
      </c>
      <c r="H52" s="103">
        <f>IF(G76-SUM($E6:G6)/$D30&gt;=0,SUM($E6:G6)/$D30,G76)</f>
        <v>0</v>
      </c>
      <c r="I52" s="103">
        <f>IF(H76-SUM($E6:H6)/$D30&gt;=0,SUM($E6:H6)/$D30,H76)</f>
        <v>0</v>
      </c>
      <c r="J52" s="103">
        <f>IF(I76-SUM($E6:I6)/$D30&gt;=0,SUM($E6:I6)/$D30,I76)</f>
        <v>0</v>
      </c>
      <c r="K52" s="103">
        <f>IF(J76-SUM($E6:J6)/$D30&gt;=0,SUM($E6:J6)/$D30,J76)</f>
        <v>0</v>
      </c>
      <c r="L52" s="103">
        <f>IF(K76-SUM($E6:K6)/$D30&gt;=0,SUM($E6:K6)/$D30,K76)</f>
        <v>0</v>
      </c>
      <c r="M52" s="103">
        <f>IF(L76-SUM($E6:L6)/$D30&gt;=0,SUM($E6:L6)/$D30,L76)</f>
        <v>0</v>
      </c>
      <c r="N52" s="103">
        <f>IF(M76-SUM($E6:M6)/$D30&gt;=0,SUM($E6:M6)/$D30,M76)</f>
        <v>0</v>
      </c>
      <c r="O52" s="103">
        <f>IF(N76-SUM($E6:N6)/$D30&gt;=0,SUM($E6:N6)/$D30,N76)</f>
        <v>0</v>
      </c>
      <c r="P52" s="103">
        <f>IF(O76-SUM($E6:O6)/$D30&gt;=0,SUM($E6:O6)/$D30,O76)</f>
        <v>0</v>
      </c>
      <c r="Q52" s="103">
        <f>IF(P76-SUM($E6:P6)/$D30&gt;=0,SUM($E6:P6)/$D30,P76)</f>
        <v>0</v>
      </c>
      <c r="R52" s="103">
        <f>IF(Q76-SUM($E6:Q6)/$D30&gt;=0,SUM($E6:Q6)/$D30,Q76)</f>
        <v>0</v>
      </c>
      <c r="S52" s="103">
        <f>IF(R76-SUM($E6:R6)/$D30&gt;=0,SUM($E6:R6)/$D30,R76)</f>
        <v>0</v>
      </c>
      <c r="T52" s="103">
        <f>IF(S76-SUM($E6:S6)/$D30&gt;=0,SUM($E6:S6)/$D30,S76)</f>
        <v>0</v>
      </c>
      <c r="U52" s="103">
        <f>IF(T76-SUM($E6:T6)/$D30&gt;=0,SUM($E6:T6)/$D30,T76)</f>
        <v>0</v>
      </c>
      <c r="V52" s="103">
        <f>IF(U76-SUM($E6:U6)/$D30&gt;=0,SUM($E6:U6)/$D30,U76)</f>
        <v>0</v>
      </c>
      <c r="W52" s="103">
        <f>IF(V76-SUM($E6:V6)/$D30&gt;=0,SUM($E6:V6)/$D30,V76)</f>
        <v>0</v>
      </c>
      <c r="X52" s="103">
        <f>IF(W76-SUM($E6:W6)/$D30&gt;=0,SUM($E6:W6)/$D30,W76)</f>
        <v>0</v>
      </c>
      <c r="Y52" s="103">
        <f>IF(X76-SUM($E6:X6)/$D30&gt;=0,SUM($E6:X6)/$D30,X76)</f>
        <v>0</v>
      </c>
      <c r="Z52" s="103">
        <f>IF(Y76-SUM($E6:Y6)/$D30&gt;=0,SUM($E6:Y6)/$D30,Y76)</f>
        <v>0</v>
      </c>
      <c r="AA52" s="103">
        <f>IF(Z76-SUM($E6:Z6)/$D30&gt;=0,SUM($E6:Z6)/$D30,Z76)</f>
        <v>0</v>
      </c>
      <c r="AB52" s="103">
        <f>IF(AA76-SUM($E6:AA6)/$D30&gt;=0,SUM($E6:AA6)/$D30,AA76)</f>
        <v>0</v>
      </c>
      <c r="AC52" s="103">
        <f>IF(AB76-SUM($E6:AB6)/$D30&gt;=0,SUM($E6:AB6)/$D30,AB76)</f>
        <v>0</v>
      </c>
      <c r="AD52" s="103">
        <f>IF(AC76-SUM($E6:AC6)/$D30&gt;=0,SUM($E6:AC6)/$D30,AC76)</f>
        <v>0</v>
      </c>
      <c r="AE52" s="103">
        <f>IF(AD76-SUM($E6:AD6)/$D30&gt;=0,SUM($E6:AD6)/$D30,AD76)</f>
        <v>0</v>
      </c>
      <c r="AF52" s="103">
        <f>IF(AE76-SUM($E6:AE6)/$D30&gt;=0,SUM($E6:AE6)/$D30,AE76)</f>
        <v>0</v>
      </c>
      <c r="AG52" s="116">
        <f t="shared" si="4"/>
        <v>0</v>
      </c>
    </row>
    <row r="53" spans="1:33">
      <c r="B53" s="90" t="str">
        <f t="shared" si="5"/>
        <v>Биллинговая система</v>
      </c>
      <c r="C53" s="91" t="s">
        <v>71</v>
      </c>
      <c r="D53" s="110"/>
      <c r="E53" s="103">
        <v>0</v>
      </c>
      <c r="F53" s="103">
        <f>IF(E77-SUM($E7:E7)/$D31&gt;=0,SUM($E7:E7)/$D31,E77)</f>
        <v>0</v>
      </c>
      <c r="G53" s="103">
        <f>IF(F77-SUM($E7:F7)/$D31&gt;=0,SUM($E7:F7)/$D31,F77)</f>
        <v>0</v>
      </c>
      <c r="H53" s="103">
        <f>IF(G77-SUM($E7:G7)/$D31&gt;=0,SUM($E7:G7)/$D31,G77)</f>
        <v>0</v>
      </c>
      <c r="I53" s="103">
        <f>IF(H77-SUM($E7:H7)/$D31&gt;=0,SUM($E7:H7)/$D31,H77)</f>
        <v>0</v>
      </c>
      <c r="J53" s="103">
        <f>IF(I77-SUM($E7:I7)/$D31&gt;=0,SUM($E7:I7)/$D31,I77)</f>
        <v>0</v>
      </c>
      <c r="K53" s="103">
        <f>IF(J77-SUM($E7:J7)/$D31&gt;=0,SUM($E7:J7)/$D31,J77)</f>
        <v>0</v>
      </c>
      <c r="L53" s="103">
        <f>IF(K77-SUM($E7:K7)/$D31&gt;=0,SUM($E7:K7)/$D31,K77)</f>
        <v>0</v>
      </c>
      <c r="M53" s="103">
        <f>IF(L77-SUM($E7:L7)/$D31&gt;=0,SUM($E7:L7)/$D31,L77)</f>
        <v>0</v>
      </c>
      <c r="N53" s="103">
        <f>IF(M77-SUM($E7:M7)/$D31&gt;=0,SUM($E7:M7)/$D31,M77)</f>
        <v>0</v>
      </c>
      <c r="O53" s="103">
        <f>IF(N77-SUM($E7:N7)/$D31&gt;=0,SUM($E7:N7)/$D31,N77)</f>
        <v>0</v>
      </c>
      <c r="P53" s="103">
        <f>IF(O77-SUM($E7:O7)/$D31&gt;=0,SUM($E7:O7)/$D31,O77)</f>
        <v>0</v>
      </c>
      <c r="Q53" s="103">
        <f>IF(P77-SUM($E7:P7)/$D31&gt;=0,SUM($E7:P7)/$D31,P77)</f>
        <v>0</v>
      </c>
      <c r="R53" s="103">
        <f>IF(Q77-SUM($E7:Q7)/$D31&gt;=0,SUM($E7:Q7)/$D31,Q77)</f>
        <v>0</v>
      </c>
      <c r="S53" s="103">
        <f>IF(R77-SUM($E7:R7)/$D31&gt;=0,SUM($E7:R7)/$D31,R77)</f>
        <v>0</v>
      </c>
      <c r="T53" s="103">
        <f>IF(S77-SUM($E7:S7)/$D31&gt;=0,SUM($E7:S7)/$D31,S77)</f>
        <v>0</v>
      </c>
      <c r="U53" s="103">
        <f>IF(T77-SUM($E7:T7)/$D31&gt;=0,SUM($E7:T7)/$D31,T77)</f>
        <v>0</v>
      </c>
      <c r="V53" s="103">
        <f>IF(U77-SUM($E7:U7)/$D31&gt;=0,SUM($E7:U7)/$D31,U77)</f>
        <v>0</v>
      </c>
      <c r="W53" s="103">
        <f>IF(V77-SUM($E7:V7)/$D31&gt;=0,SUM($E7:V7)/$D31,V77)</f>
        <v>0</v>
      </c>
      <c r="X53" s="103">
        <f>IF(W77-SUM($E7:W7)/$D31&gt;=0,SUM($E7:W7)/$D31,W77)</f>
        <v>0</v>
      </c>
      <c r="Y53" s="103">
        <f>IF(X77-SUM($E7:X7)/$D31&gt;=0,SUM($E7:X7)/$D31,X77)</f>
        <v>0</v>
      </c>
      <c r="Z53" s="103">
        <f>IF(Y77-SUM($E7:Y7)/$D31&gt;=0,SUM($E7:Y7)/$D31,Y77)</f>
        <v>0</v>
      </c>
      <c r="AA53" s="103">
        <f>IF(Z77-SUM($E7:Z7)/$D31&gt;=0,SUM($E7:Z7)/$D31,Z77)</f>
        <v>0</v>
      </c>
      <c r="AB53" s="103">
        <f>IF(AA77-SUM($E7:AA7)/$D31&gt;=0,SUM($E7:AA7)/$D31,AA77)</f>
        <v>0</v>
      </c>
      <c r="AC53" s="103">
        <f>IF(AB77-SUM($E7:AB7)/$D31&gt;=0,SUM($E7:AB7)/$D31,AB77)</f>
        <v>0</v>
      </c>
      <c r="AD53" s="103">
        <f>IF(AC77-SUM($E7:AC7)/$D31&gt;=0,SUM($E7:AC7)/$D31,AC77)</f>
        <v>0</v>
      </c>
      <c r="AE53" s="103">
        <f>IF(AD77-SUM($E7:AD7)/$D31&gt;=0,SUM($E7:AD7)/$D31,AD77)</f>
        <v>0</v>
      </c>
      <c r="AF53" s="103">
        <f>IF(AE77-SUM($E7:AE7)/$D31&gt;=0,SUM($E7:AE7)/$D31,AE77)</f>
        <v>0</v>
      </c>
      <c r="AG53" s="116">
        <f t="shared" si="4"/>
        <v>0</v>
      </c>
    </row>
    <row r="54" spans="1:33">
      <c r="B54" s="90" t="str">
        <f t="shared" si="5"/>
        <v>Внедрение функциональной ИТ системы</v>
      </c>
      <c r="C54" s="91" t="s">
        <v>71</v>
      </c>
      <c r="D54" s="110"/>
      <c r="E54" s="103">
        <v>0</v>
      </c>
      <c r="F54" s="103">
        <f>IF(E78-SUM($E8:E8)/$D32&gt;=0,SUM($E8:E8)/$D32,E78)</f>
        <v>0</v>
      </c>
      <c r="G54" s="103">
        <f>IF(F78-SUM($E8:F8)/$D32&gt;=0,SUM($E8:F8)/$D32,F78)</f>
        <v>0</v>
      </c>
      <c r="H54" s="103">
        <f>IF(G78-SUM($E8:G8)/$D32&gt;=0,SUM($E8:G8)/$D32,G78)</f>
        <v>0</v>
      </c>
      <c r="I54" s="103">
        <f>IF(H78-SUM($E8:H8)/$D32&gt;=0,SUM($E8:H8)/$D32,H78)</f>
        <v>0</v>
      </c>
      <c r="J54" s="103">
        <f>IF(I78-SUM($E8:I8)/$D32&gt;=0,SUM($E8:I8)/$D32,I78)</f>
        <v>0</v>
      </c>
      <c r="K54" s="103">
        <f>IF(J78-SUM($E8:J8)/$D32&gt;=0,SUM($E8:J8)/$D32,J78)</f>
        <v>0</v>
      </c>
      <c r="L54" s="103">
        <f>IF(K78-SUM($E8:K8)/$D32&gt;=0,SUM($E8:K8)/$D32,K78)</f>
        <v>0</v>
      </c>
      <c r="M54" s="103">
        <f>IF(L78-SUM($E8:L8)/$D32&gt;=0,SUM($E8:L8)/$D32,L78)</f>
        <v>0</v>
      </c>
      <c r="N54" s="103">
        <f>IF(M78-SUM($E8:M8)/$D32&gt;=0,SUM($E8:M8)/$D32,M78)</f>
        <v>0</v>
      </c>
      <c r="O54" s="103">
        <f>IF(N78-SUM($E8:N8)/$D32&gt;=0,SUM($E8:N8)/$D32,N78)</f>
        <v>0</v>
      </c>
      <c r="P54" s="103">
        <f>IF(O78-SUM($E8:O8)/$D32&gt;=0,SUM($E8:O8)/$D32,O78)</f>
        <v>0</v>
      </c>
      <c r="Q54" s="103">
        <f>IF(P78-SUM($E8:P8)/$D32&gt;=0,SUM($E8:P8)/$D32,P78)</f>
        <v>0</v>
      </c>
      <c r="R54" s="103">
        <f>IF(Q78-SUM($E8:Q8)/$D32&gt;=0,SUM($E8:Q8)/$D32,Q78)</f>
        <v>0</v>
      </c>
      <c r="S54" s="103">
        <f>IF(R78-SUM($E8:R8)/$D32&gt;=0,SUM($E8:R8)/$D32,R78)</f>
        <v>0</v>
      </c>
      <c r="T54" s="103">
        <f>IF(S78-SUM($E8:S8)/$D32&gt;=0,SUM($E8:S8)/$D32,S78)</f>
        <v>0</v>
      </c>
      <c r="U54" s="103">
        <f>IF(T78-SUM($E8:T8)/$D32&gt;=0,SUM($E8:T8)/$D32,T78)</f>
        <v>0</v>
      </c>
      <c r="V54" s="103">
        <f>IF(U78-SUM($E8:U8)/$D32&gt;=0,SUM($E8:U8)/$D32,U78)</f>
        <v>0</v>
      </c>
      <c r="W54" s="103">
        <f>IF(V78-SUM($E8:V8)/$D32&gt;=0,SUM($E8:V8)/$D32,V78)</f>
        <v>0</v>
      </c>
      <c r="X54" s="103">
        <f>IF(W78-SUM($E8:W8)/$D32&gt;=0,SUM($E8:W8)/$D32,W78)</f>
        <v>0</v>
      </c>
      <c r="Y54" s="103">
        <f>IF(X78-SUM($E8:X8)/$D32&gt;=0,SUM($E8:X8)/$D32,X78)</f>
        <v>0</v>
      </c>
      <c r="Z54" s="103">
        <f>IF(Y78-SUM($E8:Y8)/$D32&gt;=0,SUM($E8:Y8)/$D32,Y78)</f>
        <v>0</v>
      </c>
      <c r="AA54" s="103">
        <f>IF(Z78-SUM($E8:Z8)/$D32&gt;=0,SUM($E8:Z8)/$D32,Z78)</f>
        <v>0</v>
      </c>
      <c r="AB54" s="103">
        <f>IF(AA78-SUM($E8:AA8)/$D32&gt;=0,SUM($E8:AA8)/$D32,AA78)</f>
        <v>0</v>
      </c>
      <c r="AC54" s="103">
        <f>IF(AB78-SUM($E8:AB8)/$D32&gt;=0,SUM($E8:AB8)/$D32,AB78)</f>
        <v>0</v>
      </c>
      <c r="AD54" s="103">
        <f>IF(AC78-SUM($E8:AC8)/$D32&gt;=0,SUM($E8:AC8)/$D32,AC78)</f>
        <v>0</v>
      </c>
      <c r="AE54" s="103">
        <f>IF(AD78-SUM($E8:AD8)/$D32&gt;=0,SUM($E8:AD8)/$D32,AD78)</f>
        <v>0</v>
      </c>
      <c r="AF54" s="103">
        <f>IF(AE78-SUM($E8:AE8)/$D32&gt;=0,SUM($E8:AE8)/$D32,AE78)</f>
        <v>0</v>
      </c>
      <c r="AG54" s="116">
        <f t="shared" si="4"/>
        <v>0</v>
      </c>
    </row>
    <row r="55" spans="1:33">
      <c r="B55" s="90" t="str">
        <f t="shared" si="5"/>
        <v>Закупка офисного оборудования и вычислительной техники</v>
      </c>
      <c r="C55" s="91" t="s">
        <v>71</v>
      </c>
      <c r="D55" s="110"/>
      <c r="E55" s="103">
        <v>0</v>
      </c>
      <c r="F55" s="103">
        <f>IF(E79-SUM($E9:E9)/$D33&gt;=0,SUM($E9:E9)/$D33,E79)</f>
        <v>3.5714285714285712E-2</v>
      </c>
      <c r="G55" s="103">
        <f>IF(F79-SUM($E9:F9)/$D33&gt;=0,SUM($E9:F9)/$D33,F79)</f>
        <v>3.5714285714285712E-2</v>
      </c>
      <c r="H55" s="103">
        <f>IF(G79-SUM($E9:G9)/$D33&gt;=0,SUM($E9:G9)/$D33,G79)</f>
        <v>3.5714285714285712E-2</v>
      </c>
      <c r="I55" s="103">
        <f>IF(H79-SUM($E9:H9)/$D33&gt;=0,SUM($E9:H9)/$D33,H79)</f>
        <v>3.5714285714285712E-2</v>
      </c>
      <c r="J55" s="103">
        <f>IF(I79-SUM($E9:I9)/$D33&gt;=0,SUM($E9:I9)/$D33,I79)</f>
        <v>3.5714285714285712E-2</v>
      </c>
      <c r="K55" s="103">
        <f>IF(J79-SUM($E9:J9)/$D33&gt;=0,SUM($E9:J9)/$D33,J79)</f>
        <v>3.5714285714285712E-2</v>
      </c>
      <c r="L55" s="103">
        <f>IF(K79-SUM($E9:K9)/$D33&gt;=0,SUM($E9:K9)/$D33,K79)</f>
        <v>3.5714285714285712E-2</v>
      </c>
      <c r="M55" s="103">
        <f>IF(L79-SUM($E9:L9)/$D33&gt;=0,SUM($E9:L9)/$D33,L79)</f>
        <v>3.5714285714285712E-2</v>
      </c>
      <c r="N55" s="103">
        <f>IF(M79-SUM($E9:M9)/$D33&gt;=0,SUM($E9:M9)/$D33,M79)</f>
        <v>3.5714285714285712E-2</v>
      </c>
      <c r="O55" s="103">
        <f>IF(N79-SUM($E9:N9)/$D33&gt;=0,SUM($E9:N9)/$D33,N79)</f>
        <v>3.5714285714285712E-2</v>
      </c>
      <c r="P55" s="103">
        <f>IF(O79-SUM($E9:O9)/$D33&gt;=0,SUM($E9:O9)/$D33,O79)</f>
        <v>3.5714285714285712E-2</v>
      </c>
      <c r="Q55" s="103">
        <f>IF(P79-SUM($E9:P9)/$D33&gt;=0,SUM($E9:P9)/$D33,P79)</f>
        <v>3.5714285714285712E-2</v>
      </c>
      <c r="R55" s="103">
        <f>IF(Q79-SUM($E9:Q9)/$D33&gt;=0,SUM($E9:Q9)/$D33,Q79)</f>
        <v>3.5714285714285712E-2</v>
      </c>
      <c r="S55" s="103">
        <f>IF(R79-SUM($E9:R9)/$D33&gt;=0,SUM($E9:R9)/$D33,R79)</f>
        <v>3.5714285714285712E-2</v>
      </c>
      <c r="T55" s="103">
        <f>IF(S79-SUM($E9:S9)/$D33&gt;=0,SUM($E9:S9)/$D33,S79)</f>
        <v>3.5714285714285712E-2</v>
      </c>
      <c r="U55" s="103">
        <f>IF(T79-SUM($E9:T9)/$D33&gt;=0,SUM($E9:T9)/$D33,T79)</f>
        <v>3.5714285714285712E-2</v>
      </c>
      <c r="V55" s="103">
        <f>IF(U79-SUM($E9:U9)/$D33&gt;=0,SUM($E9:U9)/$D33,U79)</f>
        <v>3.5714285714285712E-2</v>
      </c>
      <c r="W55" s="103">
        <f>IF(V79-SUM($E9:V9)/$D33&gt;=0,SUM($E9:V9)/$D33,V79)</f>
        <v>3.5714285714285712E-2</v>
      </c>
      <c r="X55" s="103">
        <f>IF(W79-SUM($E9:W9)/$D33&gt;=0,SUM($E9:W9)/$D33,W79)</f>
        <v>3.5714285714285712E-2</v>
      </c>
      <c r="Y55" s="103">
        <f>IF(X79-SUM($E9:X9)/$D33&gt;=0,SUM($E9:X9)/$D33,X79)</f>
        <v>3.5714285714285712E-2</v>
      </c>
      <c r="Z55" s="103">
        <f>IF(Y79-SUM($E9:Y9)/$D33&gt;=0,SUM($E9:Y9)/$D33,Y79)</f>
        <v>3.5714285714285712E-2</v>
      </c>
      <c r="AA55" s="103">
        <f>IF(Z79-SUM($E9:Z9)/$D33&gt;=0,SUM($E9:Z9)/$D33,Z79)</f>
        <v>3.5714285714285712E-2</v>
      </c>
      <c r="AB55" s="103">
        <f>IF(AA79-SUM($E9:AA9)/$D33&gt;=0,SUM($E9:AA9)/$D33,AA79)</f>
        <v>3.5714285714285712E-2</v>
      </c>
      <c r="AC55" s="103">
        <f>IF(AB79-SUM($E9:AB9)/$D33&gt;=0,SUM($E9:AB9)/$D33,AB79)</f>
        <v>3.5714285714285712E-2</v>
      </c>
      <c r="AD55" s="103">
        <f>IF(AC79-SUM($E9:AC9)/$D33&gt;=0,SUM($E9:AC9)/$D33,AC79)</f>
        <v>3.5714285714285712E-2</v>
      </c>
      <c r="AE55" s="103">
        <f>IF(AD79-SUM($E9:AD9)/$D33&gt;=0,SUM($E9:AD9)/$D33,AD79)</f>
        <v>3.5714285714285712E-2</v>
      </c>
      <c r="AF55" s="103">
        <f>IF(AE79-SUM($E9:AE9)/$D33&gt;=0,SUM($E9:AE9)/$D33,AE79)</f>
        <v>3.5714285714285712E-2</v>
      </c>
      <c r="AG55" s="116">
        <f t="shared" si="4"/>
        <v>0.96428571428571397</v>
      </c>
    </row>
    <row r="56" spans="1:33">
      <c r="B56" s="90" t="str">
        <f t="shared" si="5"/>
        <v>Коммутационная подсистема</v>
      </c>
      <c r="C56" s="91" t="s">
        <v>71</v>
      </c>
      <c r="D56" s="110"/>
      <c r="E56" s="103">
        <v>0</v>
      </c>
      <c r="F56" s="103">
        <f>IF(E80-SUM($E10:E10)/$D34&gt;=0,SUM($E10:E10)/$D34,E80)</f>
        <v>0</v>
      </c>
      <c r="G56" s="103">
        <f>IF(F80-SUM($E10:F10)/$D34&gt;=0,SUM($E10:F10)/$D34,F80)</f>
        <v>0</v>
      </c>
      <c r="H56" s="103">
        <f>IF(G80-SUM($E10:G10)/$D34&gt;=0,SUM($E10:G10)/$D34,G80)</f>
        <v>0</v>
      </c>
      <c r="I56" s="103">
        <f>IF(H80-SUM($E10:H10)/$D34&gt;=0,SUM($E10:H10)/$D34,H80)</f>
        <v>0</v>
      </c>
      <c r="J56" s="103">
        <f>IF(I80-SUM($E10:I10)/$D34&gt;=0,SUM($E10:I10)/$D34,I80)</f>
        <v>0</v>
      </c>
      <c r="K56" s="103">
        <f>IF(J80-SUM($E10:J10)/$D34&gt;=0,SUM($E10:J10)/$D34,J80)</f>
        <v>0</v>
      </c>
      <c r="L56" s="103">
        <f>IF(K80-SUM($E10:K10)/$D34&gt;=0,SUM($E10:K10)/$D34,K80)</f>
        <v>0</v>
      </c>
      <c r="M56" s="103">
        <f>IF(L80-SUM($E10:L10)/$D34&gt;=0,SUM($E10:L10)/$D34,L80)</f>
        <v>0</v>
      </c>
      <c r="N56" s="103">
        <f>IF(M80-SUM($E10:M10)/$D34&gt;=0,SUM($E10:M10)/$D34,M80)</f>
        <v>0</v>
      </c>
      <c r="O56" s="103">
        <f>IF(N80-SUM($E10:N10)/$D34&gt;=0,SUM($E10:N10)/$D34,N80)</f>
        <v>0</v>
      </c>
      <c r="P56" s="103">
        <f>IF(O80-SUM($E10:O10)/$D34&gt;=0,SUM($E10:O10)/$D34,O80)</f>
        <v>0</v>
      </c>
      <c r="Q56" s="103">
        <f>IF(P80-SUM($E10:P10)/$D34&gt;=0,SUM($E10:P10)/$D34,P80)</f>
        <v>0</v>
      </c>
      <c r="R56" s="103">
        <f>IF(Q80-SUM($E10:Q10)/$D34&gt;=0,SUM($E10:Q10)/$D34,Q80)</f>
        <v>0</v>
      </c>
      <c r="S56" s="103">
        <f>IF(R80-SUM($E10:R10)/$D34&gt;=0,SUM($E10:R10)/$D34,R80)</f>
        <v>0</v>
      </c>
      <c r="T56" s="103">
        <f>IF(S80-SUM($E10:S10)/$D34&gt;=0,SUM($E10:S10)/$D34,S80)</f>
        <v>0</v>
      </c>
      <c r="U56" s="103">
        <f>IF(T80-SUM($E10:T10)/$D34&gt;=0,SUM($E10:T10)/$D34,T80)</f>
        <v>0</v>
      </c>
      <c r="V56" s="103">
        <f>IF(U80-SUM($E10:U10)/$D34&gt;=0,SUM($E10:U10)/$D34,U80)</f>
        <v>0</v>
      </c>
      <c r="W56" s="103">
        <f>IF(V80-SUM($E10:V10)/$D34&gt;=0,SUM($E10:V10)/$D34,V80)</f>
        <v>0</v>
      </c>
      <c r="X56" s="103">
        <f>IF(W80-SUM($E10:W10)/$D34&gt;=0,SUM($E10:W10)/$D34,W80)</f>
        <v>0</v>
      </c>
      <c r="Y56" s="103">
        <f>IF(X80-SUM($E10:X10)/$D34&gt;=0,SUM($E10:X10)/$D34,X80)</f>
        <v>0</v>
      </c>
      <c r="Z56" s="103">
        <f>IF(Y80-SUM($E10:Y10)/$D34&gt;=0,SUM($E10:Y10)/$D34,Y80)</f>
        <v>0</v>
      </c>
      <c r="AA56" s="103">
        <f>IF(Z80-SUM($E10:Z10)/$D34&gt;=0,SUM($E10:Z10)/$D34,Z80)</f>
        <v>0</v>
      </c>
      <c r="AB56" s="103">
        <f>IF(AA80-SUM($E10:AA10)/$D34&gt;=0,SUM($E10:AA10)/$D34,AA80)</f>
        <v>0</v>
      </c>
      <c r="AC56" s="103">
        <f>IF(AB80-SUM($E10:AB10)/$D34&gt;=0,SUM($E10:AB10)/$D34,AB80)</f>
        <v>0</v>
      </c>
      <c r="AD56" s="103">
        <f>IF(AC80-SUM($E10:AC10)/$D34&gt;=0,SUM($E10:AC10)/$D34,AC80)</f>
        <v>0</v>
      </c>
      <c r="AE56" s="103">
        <f>IF(AD80-SUM($E10:AD10)/$D34&gt;=0,SUM($E10:AD10)/$D34,AD80)</f>
        <v>0</v>
      </c>
      <c r="AF56" s="103">
        <f>IF(AE80-SUM($E10:AE10)/$D34&gt;=0,SUM($E10:AE10)/$D34,AE80)</f>
        <v>0</v>
      </c>
      <c r="AG56" s="116">
        <f t="shared" si="4"/>
        <v>0</v>
      </c>
    </row>
    <row r="57" spans="1:33">
      <c r="B57" s="90" t="str">
        <f t="shared" si="5"/>
        <v>Корпоративная сеть</v>
      </c>
      <c r="C57" s="91" t="s">
        <v>71</v>
      </c>
      <c r="D57" s="110"/>
      <c r="E57" s="103">
        <v>0</v>
      </c>
      <c r="F57" s="103">
        <f>IF(E81-SUM($E11:E11)/$D35&gt;=0,SUM($E11:E11)/$D35,E81)</f>
        <v>0</v>
      </c>
      <c r="G57" s="103">
        <f>IF(F81-SUM($E11:F11)/$D35&gt;=0,SUM($E11:F11)/$D35,F81)</f>
        <v>0</v>
      </c>
      <c r="H57" s="103">
        <f>IF(G81-SUM($E11:G11)/$D35&gt;=0,SUM($E11:G11)/$D35,G81)</f>
        <v>0</v>
      </c>
      <c r="I57" s="103">
        <f>IF(H81-SUM($E11:H11)/$D35&gt;=0,SUM($E11:H11)/$D35,H81)</f>
        <v>0</v>
      </c>
      <c r="J57" s="103">
        <f>IF(I81-SUM($E11:I11)/$D35&gt;=0,SUM($E11:I11)/$D35,I81)</f>
        <v>0</v>
      </c>
      <c r="K57" s="103">
        <f>IF(J81-SUM($E11:J11)/$D35&gt;=0,SUM($E11:J11)/$D35,J81)</f>
        <v>0</v>
      </c>
      <c r="L57" s="103">
        <f>IF(K81-SUM($E11:K11)/$D35&gt;=0,SUM($E11:K11)/$D35,K81)</f>
        <v>0</v>
      </c>
      <c r="M57" s="103">
        <f>IF(L81-SUM($E11:L11)/$D35&gt;=0,SUM($E11:L11)/$D35,L81)</f>
        <v>0</v>
      </c>
      <c r="N57" s="103">
        <f>IF(M81-SUM($E11:M11)/$D35&gt;=0,SUM($E11:M11)/$D35,M81)</f>
        <v>0</v>
      </c>
      <c r="O57" s="103">
        <f>IF(N81-SUM($E11:N11)/$D35&gt;=0,SUM($E11:N11)/$D35,N81)</f>
        <v>0</v>
      </c>
      <c r="P57" s="103">
        <f>IF(O81-SUM($E11:O11)/$D35&gt;=0,SUM($E11:O11)/$D35,O81)</f>
        <v>0</v>
      </c>
      <c r="Q57" s="103">
        <f>IF(P81-SUM($E11:P11)/$D35&gt;=0,SUM($E11:P11)/$D35,P81)</f>
        <v>0</v>
      </c>
      <c r="R57" s="103">
        <f>IF(Q81-SUM($E11:Q11)/$D35&gt;=0,SUM($E11:Q11)/$D35,Q81)</f>
        <v>0</v>
      </c>
      <c r="S57" s="103">
        <f>IF(R81-SUM($E11:R11)/$D35&gt;=0,SUM($E11:R11)/$D35,R81)</f>
        <v>0</v>
      </c>
      <c r="T57" s="103">
        <f>IF(S81-SUM($E11:S11)/$D35&gt;=0,SUM($E11:S11)/$D35,S81)</f>
        <v>0</v>
      </c>
      <c r="U57" s="103">
        <f>IF(T81-SUM($E11:T11)/$D35&gt;=0,SUM($E11:T11)/$D35,T81)</f>
        <v>0</v>
      </c>
      <c r="V57" s="103">
        <f>IF(U81-SUM($E11:U11)/$D35&gt;=0,SUM($E11:U11)/$D35,U81)</f>
        <v>0</v>
      </c>
      <c r="W57" s="103">
        <f>IF(V81-SUM($E11:V11)/$D35&gt;=0,SUM($E11:V11)/$D35,V81)</f>
        <v>0</v>
      </c>
      <c r="X57" s="103">
        <f>IF(W81-SUM($E11:W11)/$D35&gt;=0,SUM($E11:W11)/$D35,W81)</f>
        <v>0</v>
      </c>
      <c r="Y57" s="103">
        <f>IF(X81-SUM($E11:X11)/$D35&gt;=0,SUM($E11:X11)/$D35,X81)</f>
        <v>0</v>
      </c>
      <c r="Z57" s="103">
        <f>IF(Y81-SUM($E11:Y11)/$D35&gt;=0,SUM($E11:Y11)/$D35,Y81)</f>
        <v>0</v>
      </c>
      <c r="AA57" s="103">
        <f>IF(Z81-SUM($E11:Z11)/$D35&gt;=0,SUM($E11:Z11)/$D35,Z81)</f>
        <v>0</v>
      </c>
      <c r="AB57" s="103">
        <f>IF(AA81-SUM($E11:AA11)/$D35&gt;=0,SUM($E11:AA11)/$D35,AA81)</f>
        <v>0</v>
      </c>
      <c r="AC57" s="103">
        <f>IF(AB81-SUM($E11:AB11)/$D35&gt;=0,SUM($E11:AB11)/$D35,AB81)</f>
        <v>0</v>
      </c>
      <c r="AD57" s="103">
        <f>IF(AC81-SUM($E11:AC11)/$D35&gt;=0,SUM($E11:AC11)/$D35,AC81)</f>
        <v>0</v>
      </c>
      <c r="AE57" s="103">
        <f>IF(AD81-SUM($E11:AD11)/$D35&gt;=0,SUM($E11:AD11)/$D35,AD81)</f>
        <v>0</v>
      </c>
      <c r="AF57" s="103">
        <f>IF(AE81-SUM($E11:AE11)/$D35&gt;=0,SUM($E11:AE11)/$D35,AE81)</f>
        <v>0</v>
      </c>
      <c r="AG57" s="116">
        <f t="shared" si="4"/>
        <v>0</v>
      </c>
    </row>
    <row r="58" spans="1:33">
      <c r="B58" s="90" t="str">
        <f t="shared" si="5"/>
        <v>Лицензии на услуги и РЧ</v>
      </c>
      <c r="C58" s="91" t="s">
        <v>71</v>
      </c>
      <c r="D58" s="110"/>
      <c r="E58" s="103">
        <v>0</v>
      </c>
      <c r="F58" s="103">
        <f>IF(E82-SUM($E12:E12)/$D36&gt;=0,SUM($E12:E12)/$D36,E82)</f>
        <v>0</v>
      </c>
      <c r="G58" s="103">
        <f>IF(F82-SUM($E12:F12)/$D36&gt;=0,SUM($E12:F12)/$D36,F82)</f>
        <v>0</v>
      </c>
      <c r="H58" s="103">
        <f>IF(G82-SUM($E12:G12)/$D36&gt;=0,SUM($E12:G12)/$D36,G82)</f>
        <v>0</v>
      </c>
      <c r="I58" s="103">
        <f>IF(H82-SUM($E12:H12)/$D36&gt;=0,SUM($E12:H12)/$D36,H82)</f>
        <v>0</v>
      </c>
      <c r="J58" s="103">
        <f>IF(I82-SUM($E12:I12)/$D36&gt;=0,SUM($E12:I12)/$D36,I82)</f>
        <v>0</v>
      </c>
      <c r="K58" s="103">
        <f>IF(J82-SUM($E12:J12)/$D36&gt;=0,SUM($E12:J12)/$D36,J82)</f>
        <v>0</v>
      </c>
      <c r="L58" s="103">
        <f>IF(K82-SUM($E12:K12)/$D36&gt;=0,SUM($E12:K12)/$D36,K82)</f>
        <v>0</v>
      </c>
      <c r="M58" s="103">
        <f>IF(L82-SUM($E12:L12)/$D36&gt;=0,SUM($E12:L12)/$D36,L82)</f>
        <v>0</v>
      </c>
      <c r="N58" s="103">
        <f>IF(M82-SUM($E12:M12)/$D36&gt;=0,SUM($E12:M12)/$D36,M82)</f>
        <v>0</v>
      </c>
      <c r="O58" s="103">
        <f>IF(N82-SUM($E12:N12)/$D36&gt;=0,SUM($E12:N12)/$D36,N82)</f>
        <v>0</v>
      </c>
      <c r="P58" s="103">
        <f>IF(O82-SUM($E12:O12)/$D36&gt;=0,SUM($E12:O12)/$D36,O82)</f>
        <v>0</v>
      </c>
      <c r="Q58" s="103">
        <f>IF(P82-SUM($E12:P12)/$D36&gt;=0,SUM($E12:P12)/$D36,P82)</f>
        <v>0</v>
      </c>
      <c r="R58" s="103">
        <f>IF(Q82-SUM($E12:Q12)/$D36&gt;=0,SUM($E12:Q12)/$D36,Q82)</f>
        <v>0</v>
      </c>
      <c r="S58" s="103">
        <f>IF(R82-SUM($E12:R12)/$D36&gt;=0,SUM($E12:R12)/$D36,R82)</f>
        <v>0</v>
      </c>
      <c r="T58" s="103">
        <f>IF(S82-SUM($E12:S12)/$D36&gt;=0,SUM($E12:S12)/$D36,S82)</f>
        <v>0</v>
      </c>
      <c r="U58" s="103">
        <f>IF(T82-SUM($E12:T12)/$D36&gt;=0,SUM($E12:T12)/$D36,T82)</f>
        <v>0</v>
      </c>
      <c r="V58" s="103">
        <f>IF(U82-SUM($E12:U12)/$D36&gt;=0,SUM($E12:U12)/$D36,U82)</f>
        <v>0</v>
      </c>
      <c r="W58" s="103">
        <f>IF(V82-SUM($E12:V12)/$D36&gt;=0,SUM($E12:V12)/$D36,V82)</f>
        <v>0</v>
      </c>
      <c r="X58" s="103">
        <f>IF(W82-SUM($E12:W12)/$D36&gt;=0,SUM($E12:W12)/$D36,W82)</f>
        <v>0</v>
      </c>
      <c r="Y58" s="103">
        <f>IF(X82-SUM($E12:X12)/$D36&gt;=0,SUM($E12:X12)/$D36,X82)</f>
        <v>0</v>
      </c>
      <c r="Z58" s="103">
        <f>IF(Y82-SUM($E12:Y12)/$D36&gt;=0,SUM($E12:Y12)/$D36,Y82)</f>
        <v>0</v>
      </c>
      <c r="AA58" s="103">
        <f>IF(Z82-SUM($E12:Z12)/$D36&gt;=0,SUM($E12:Z12)/$D36,Z82)</f>
        <v>0</v>
      </c>
      <c r="AB58" s="103">
        <f>IF(AA82-SUM($E12:AA12)/$D36&gt;=0,SUM($E12:AA12)/$D36,AA82)</f>
        <v>0</v>
      </c>
      <c r="AC58" s="103">
        <f>IF(AB82-SUM($E12:AB12)/$D36&gt;=0,SUM($E12:AB12)/$D36,AB82)</f>
        <v>0</v>
      </c>
      <c r="AD58" s="103">
        <f>IF(AC82-SUM($E12:AC12)/$D36&gt;=0,SUM($E12:AC12)/$D36,AC82)</f>
        <v>0</v>
      </c>
      <c r="AE58" s="103">
        <f>IF(AD82-SUM($E12:AD12)/$D36&gt;=0,SUM($E12:AD12)/$D36,AD82)</f>
        <v>0</v>
      </c>
      <c r="AF58" s="103">
        <f>IF(AE82-SUM($E12:AE12)/$D36&gt;=0,SUM($E12:AE12)/$D36,AE82)</f>
        <v>0</v>
      </c>
      <c r="AG58" s="116">
        <f t="shared" si="4"/>
        <v>0</v>
      </c>
    </row>
    <row r="59" spans="1:33">
      <c r="B59" s="90" t="str">
        <f t="shared" si="5"/>
        <v>Лицензии на ПО</v>
      </c>
      <c r="C59" s="91" t="s">
        <v>71</v>
      </c>
      <c r="D59" s="110"/>
      <c r="E59" s="103">
        <v>0</v>
      </c>
      <c r="F59" s="103">
        <f>IF(E83-SUM($E13:E13)/$D37&gt;=0,SUM($E13:E13)/$D37,E83)</f>
        <v>0</v>
      </c>
      <c r="G59" s="103">
        <f>IF(F83-SUM($E13:F13)/$D37&gt;=0,SUM($E13:F13)/$D37,F83)</f>
        <v>0</v>
      </c>
      <c r="H59" s="103">
        <f>IF(G83-SUM($E13:G13)/$D37&gt;=0,SUM($E13:G13)/$D37,G83)</f>
        <v>0</v>
      </c>
      <c r="I59" s="103">
        <f>IF(H83-SUM($E13:H13)/$D37&gt;=0,SUM($E13:H13)/$D37,H83)</f>
        <v>0</v>
      </c>
      <c r="J59" s="103">
        <f>IF(I83-SUM($E13:I13)/$D37&gt;=0,SUM($E13:I13)/$D37,I83)</f>
        <v>0</v>
      </c>
      <c r="K59" s="103">
        <f>IF(J83-SUM($E13:J13)/$D37&gt;=0,SUM($E13:J13)/$D37,J83)</f>
        <v>0</v>
      </c>
      <c r="L59" s="103">
        <f>IF(K83-SUM($E13:K13)/$D37&gt;=0,SUM($E13:K13)/$D37,K83)</f>
        <v>0</v>
      </c>
      <c r="M59" s="103">
        <f>IF(L83-SUM($E13:L13)/$D37&gt;=0,SUM($E13:L13)/$D37,L83)</f>
        <v>0</v>
      </c>
      <c r="N59" s="103">
        <f>IF(M83-SUM($E13:M13)/$D37&gt;=0,SUM($E13:M13)/$D37,M83)</f>
        <v>0</v>
      </c>
      <c r="O59" s="103">
        <f>IF(N83-SUM($E13:N13)/$D37&gt;=0,SUM($E13:N13)/$D37,N83)</f>
        <v>0</v>
      </c>
      <c r="P59" s="103">
        <f>IF(O83-SUM($E13:O13)/$D37&gt;=0,SUM($E13:O13)/$D37,O83)</f>
        <v>0</v>
      </c>
      <c r="Q59" s="103">
        <f>IF(P83-SUM($E13:P13)/$D37&gt;=0,SUM($E13:P13)/$D37,P83)</f>
        <v>0</v>
      </c>
      <c r="R59" s="103">
        <f>IF(Q83-SUM($E13:Q13)/$D37&gt;=0,SUM($E13:Q13)/$D37,Q83)</f>
        <v>0</v>
      </c>
      <c r="S59" s="103">
        <f>IF(R83-SUM($E13:R13)/$D37&gt;=0,SUM($E13:R13)/$D37,R83)</f>
        <v>0</v>
      </c>
      <c r="T59" s="103">
        <f>IF(S83-SUM($E13:S13)/$D37&gt;=0,SUM($E13:S13)/$D37,S83)</f>
        <v>0</v>
      </c>
      <c r="U59" s="103">
        <f>IF(T83-SUM($E13:T13)/$D37&gt;=0,SUM($E13:T13)/$D37,T83)</f>
        <v>0</v>
      </c>
      <c r="V59" s="103">
        <f>IF(U83-SUM($E13:U13)/$D37&gt;=0,SUM($E13:U13)/$D37,U83)</f>
        <v>0</v>
      </c>
      <c r="W59" s="103">
        <f>IF(V83-SUM($E13:V13)/$D37&gt;=0,SUM($E13:V13)/$D37,V83)</f>
        <v>0</v>
      </c>
      <c r="X59" s="103">
        <f>IF(W83-SUM($E13:W13)/$D37&gt;=0,SUM($E13:W13)/$D37,W83)</f>
        <v>0</v>
      </c>
      <c r="Y59" s="103">
        <f>IF(X83-SUM($E13:X13)/$D37&gt;=0,SUM($E13:X13)/$D37,X83)</f>
        <v>0</v>
      </c>
      <c r="Z59" s="103">
        <f>IF(Y83-SUM($E13:Y13)/$D37&gt;=0,SUM($E13:Y13)/$D37,Y83)</f>
        <v>0</v>
      </c>
      <c r="AA59" s="103">
        <f>IF(Z83-SUM($E13:Z13)/$D37&gt;=0,SUM($E13:Z13)/$D37,Z83)</f>
        <v>0</v>
      </c>
      <c r="AB59" s="103">
        <f>IF(AA83-SUM($E13:AA13)/$D37&gt;=0,SUM($E13:AA13)/$D37,AA83)</f>
        <v>0</v>
      </c>
      <c r="AC59" s="103">
        <f>IF(AB83-SUM($E13:AB13)/$D37&gt;=0,SUM($E13:AB13)/$D37,AB83)</f>
        <v>0</v>
      </c>
      <c r="AD59" s="103">
        <f>IF(AC83-SUM($E13:AC13)/$D37&gt;=0,SUM($E13:AC13)/$D37,AC83)</f>
        <v>0</v>
      </c>
      <c r="AE59" s="103">
        <f>IF(AD83-SUM($E13:AD13)/$D37&gt;=0,SUM($E13:AD13)/$D37,AD83)</f>
        <v>0</v>
      </c>
      <c r="AF59" s="103">
        <f>IF(AE83-SUM($E13:AE13)/$D37&gt;=0,SUM($E13:AE13)/$D37,AE83)</f>
        <v>0</v>
      </c>
      <c r="AG59" s="116">
        <f t="shared" si="4"/>
        <v>0</v>
      </c>
    </row>
    <row r="60" spans="1:33">
      <c r="B60" s="90" t="str">
        <f t="shared" si="5"/>
        <v>НИОКР</v>
      </c>
      <c r="C60" s="91" t="s">
        <v>71</v>
      </c>
      <c r="D60" s="110"/>
      <c r="E60" s="103">
        <v>0</v>
      </c>
      <c r="F60" s="103">
        <f>IF(E84-SUM($E14:E14)/$D38&gt;=0,SUM($E14:E14)/$D38,E84)</f>
        <v>0</v>
      </c>
      <c r="G60" s="103">
        <f>IF(F84-SUM($E14:F14)/$D38&gt;=0,SUM($E14:F14)/$D38,F84)</f>
        <v>0</v>
      </c>
      <c r="H60" s="103">
        <f>IF(G84-SUM($E14:G14)/$D38&gt;=0,SUM($E14:G14)/$D38,G84)</f>
        <v>0</v>
      </c>
      <c r="I60" s="103">
        <f>IF(H84-SUM($E14:H14)/$D38&gt;=0,SUM($E14:H14)/$D38,H84)</f>
        <v>0</v>
      </c>
      <c r="J60" s="103">
        <f>IF(I84-SUM($E14:I14)/$D38&gt;=0,SUM($E14:I14)/$D38,I84)</f>
        <v>0</v>
      </c>
      <c r="K60" s="103">
        <f>IF(J84-SUM($E14:J14)/$D38&gt;=0,SUM($E14:J14)/$D38,J84)</f>
        <v>0</v>
      </c>
      <c r="L60" s="103">
        <f>IF(K84-SUM($E14:K14)/$D38&gt;=0,SUM($E14:K14)/$D38,K84)</f>
        <v>0</v>
      </c>
      <c r="M60" s="103">
        <f>IF(L84-SUM($E14:L14)/$D38&gt;=0,SUM($E14:L14)/$D38,L84)</f>
        <v>0</v>
      </c>
      <c r="N60" s="103">
        <f>IF(M84-SUM($E14:M14)/$D38&gt;=0,SUM($E14:M14)/$D38,M84)</f>
        <v>0</v>
      </c>
      <c r="O60" s="103">
        <f>IF(N84-SUM($E14:N14)/$D38&gt;=0,SUM($E14:N14)/$D38,N84)</f>
        <v>0</v>
      </c>
      <c r="P60" s="103">
        <f>IF(O84-SUM($E14:O14)/$D38&gt;=0,SUM($E14:O14)/$D38,O84)</f>
        <v>0</v>
      </c>
      <c r="Q60" s="103">
        <f>IF(P84-SUM($E14:P14)/$D38&gt;=0,SUM($E14:P14)/$D38,P84)</f>
        <v>0</v>
      </c>
      <c r="R60" s="103">
        <f>IF(Q84-SUM($E14:Q14)/$D38&gt;=0,SUM($E14:Q14)/$D38,Q84)</f>
        <v>0</v>
      </c>
      <c r="S60" s="103">
        <f>IF(R84-SUM($E14:R14)/$D38&gt;=0,SUM($E14:R14)/$D38,R84)</f>
        <v>0</v>
      </c>
      <c r="T60" s="103">
        <f>IF(S84-SUM($E14:S14)/$D38&gt;=0,SUM($E14:S14)/$D38,S84)</f>
        <v>0</v>
      </c>
      <c r="U60" s="103">
        <f>IF(T84-SUM($E14:T14)/$D38&gt;=0,SUM($E14:T14)/$D38,T84)</f>
        <v>0</v>
      </c>
      <c r="V60" s="103">
        <f>IF(U84-SUM($E14:U14)/$D38&gt;=0,SUM($E14:U14)/$D38,U84)</f>
        <v>0</v>
      </c>
      <c r="W60" s="103">
        <f>IF(V84-SUM($E14:V14)/$D38&gt;=0,SUM($E14:V14)/$D38,V84)</f>
        <v>0</v>
      </c>
      <c r="X60" s="103">
        <f>IF(W84-SUM($E14:W14)/$D38&gt;=0,SUM($E14:W14)/$D38,W84)</f>
        <v>0</v>
      </c>
      <c r="Y60" s="103">
        <f>IF(X84-SUM($E14:X14)/$D38&gt;=0,SUM($E14:X14)/$D38,X84)</f>
        <v>0</v>
      </c>
      <c r="Z60" s="103">
        <f>IF(Y84-SUM($E14:Y14)/$D38&gt;=0,SUM($E14:Y14)/$D38,Y84)</f>
        <v>0</v>
      </c>
      <c r="AA60" s="103">
        <f>IF(Z84-SUM($E14:Z14)/$D38&gt;=0,SUM($E14:Z14)/$D38,Z84)</f>
        <v>0</v>
      </c>
      <c r="AB60" s="103">
        <f>IF(AA84-SUM($E14:AA14)/$D38&gt;=0,SUM($E14:AA14)/$D38,AA84)</f>
        <v>0</v>
      </c>
      <c r="AC60" s="103">
        <f>IF(AB84-SUM($E14:AB14)/$D38&gt;=0,SUM($E14:AB14)/$D38,AB84)</f>
        <v>0</v>
      </c>
      <c r="AD60" s="103">
        <f>IF(AC84-SUM($E14:AC14)/$D38&gt;=0,SUM($E14:AC14)/$D38,AC84)</f>
        <v>0</v>
      </c>
      <c r="AE60" s="103">
        <f>IF(AD84-SUM($E14:AD14)/$D38&gt;=0,SUM($E14:AD14)/$D38,AD84)</f>
        <v>0</v>
      </c>
      <c r="AF60" s="103">
        <f>IF(AE84-SUM($E14:AE14)/$D38&gt;=0,SUM($E14:AE14)/$D38,AE84)</f>
        <v>0</v>
      </c>
      <c r="AG60" s="116">
        <f t="shared" si="4"/>
        <v>0</v>
      </c>
    </row>
    <row r="61" spans="1:33">
      <c r="B61" s="90" t="str">
        <f t="shared" si="5"/>
        <v>Обслуживание абонентов</v>
      </c>
      <c r="C61" s="91" t="s">
        <v>71</v>
      </c>
      <c r="D61" s="110"/>
      <c r="E61" s="103">
        <v>0</v>
      </c>
      <c r="F61" s="103">
        <f>IF(E85-SUM($E15:E15)/$D39&gt;=0,SUM($E15:E15)/$D39,E85)</f>
        <v>0</v>
      </c>
      <c r="G61" s="103">
        <f>IF(F85-SUM($E15:F15)/$D39&gt;=0,SUM($E15:F15)/$D39,F85)</f>
        <v>0</v>
      </c>
      <c r="H61" s="103">
        <f>IF(G85-SUM($E15:G15)/$D39&gt;=0,SUM($E15:G15)/$D39,G85)</f>
        <v>0</v>
      </c>
      <c r="I61" s="103">
        <f>IF(H85-SUM($E15:H15)/$D39&gt;=0,SUM($E15:H15)/$D39,H85)</f>
        <v>0</v>
      </c>
      <c r="J61" s="103">
        <f>IF(I85-SUM($E15:I15)/$D39&gt;=0,SUM($E15:I15)/$D39,I85)</f>
        <v>0</v>
      </c>
      <c r="K61" s="103">
        <f>IF(J85-SUM($E15:J15)/$D39&gt;=0,SUM($E15:J15)/$D39,J85)</f>
        <v>0</v>
      </c>
      <c r="L61" s="103">
        <f>IF(K85-SUM($E15:K15)/$D39&gt;=0,SUM($E15:K15)/$D39,K85)</f>
        <v>0</v>
      </c>
      <c r="M61" s="103">
        <f>IF(L85-SUM($E15:L15)/$D39&gt;=0,SUM($E15:L15)/$D39,L85)</f>
        <v>0</v>
      </c>
      <c r="N61" s="103">
        <f>IF(M85-SUM($E15:M15)/$D39&gt;=0,SUM($E15:M15)/$D39,M85)</f>
        <v>0</v>
      </c>
      <c r="O61" s="103">
        <f>IF(N85-SUM($E15:N15)/$D39&gt;=0,SUM($E15:N15)/$D39,N85)</f>
        <v>0</v>
      </c>
      <c r="P61" s="103">
        <f>IF(O85-SUM($E15:O15)/$D39&gt;=0,SUM($E15:O15)/$D39,O85)</f>
        <v>0</v>
      </c>
      <c r="Q61" s="103">
        <f>IF(P85-SUM($E15:P15)/$D39&gt;=0,SUM($E15:P15)/$D39,P85)</f>
        <v>0</v>
      </c>
      <c r="R61" s="103">
        <f>IF(Q85-SUM($E15:Q15)/$D39&gt;=0,SUM($E15:Q15)/$D39,Q85)</f>
        <v>0</v>
      </c>
      <c r="S61" s="103">
        <f>IF(R85-SUM($E15:R15)/$D39&gt;=0,SUM($E15:R15)/$D39,R85)</f>
        <v>0</v>
      </c>
      <c r="T61" s="103">
        <f>IF(S85-SUM($E15:S15)/$D39&gt;=0,SUM($E15:S15)/$D39,S85)</f>
        <v>0</v>
      </c>
      <c r="U61" s="103">
        <f>IF(T85-SUM($E15:T15)/$D39&gt;=0,SUM($E15:T15)/$D39,T85)</f>
        <v>0</v>
      </c>
      <c r="V61" s="103">
        <f>IF(U85-SUM($E15:U15)/$D39&gt;=0,SUM($E15:U15)/$D39,U85)</f>
        <v>0</v>
      </c>
      <c r="W61" s="103">
        <f>IF(V85-SUM($E15:V15)/$D39&gt;=0,SUM($E15:V15)/$D39,V85)</f>
        <v>0</v>
      </c>
      <c r="X61" s="103">
        <f>IF(W85-SUM($E15:W15)/$D39&gt;=0,SUM($E15:W15)/$D39,W85)</f>
        <v>0</v>
      </c>
      <c r="Y61" s="103">
        <f>IF(X85-SUM($E15:X15)/$D39&gt;=0,SUM($E15:X15)/$D39,X85)</f>
        <v>0</v>
      </c>
      <c r="Z61" s="103">
        <f>IF(Y85-SUM($E15:Y15)/$D39&gt;=0,SUM($E15:Y15)/$D39,Y85)</f>
        <v>0</v>
      </c>
      <c r="AA61" s="103">
        <f>IF(Z85-SUM($E15:Z15)/$D39&gt;=0,SUM($E15:Z15)/$D39,Z85)</f>
        <v>0</v>
      </c>
      <c r="AB61" s="103">
        <f>IF(AA85-SUM($E15:AA15)/$D39&gt;=0,SUM($E15:AA15)/$D39,AA85)</f>
        <v>0</v>
      </c>
      <c r="AC61" s="103">
        <f>IF(AB85-SUM($E15:AB15)/$D39&gt;=0,SUM($E15:AB15)/$D39,AB85)</f>
        <v>0</v>
      </c>
      <c r="AD61" s="103">
        <f>IF(AC85-SUM($E15:AC15)/$D39&gt;=0,SUM($E15:AC15)/$D39,AC85)</f>
        <v>0</v>
      </c>
      <c r="AE61" s="103">
        <f>IF(AD85-SUM($E15:AD15)/$D39&gt;=0,SUM($E15:AD15)/$D39,AD85)</f>
        <v>0</v>
      </c>
      <c r="AF61" s="103">
        <f>IF(AE85-SUM($E15:AE15)/$D39&gt;=0,SUM($E15:AE15)/$D39,AE85)</f>
        <v>0</v>
      </c>
      <c r="AG61" s="116">
        <f t="shared" si="4"/>
        <v>0</v>
      </c>
    </row>
    <row r="62" spans="1:33">
      <c r="B62" s="90" t="str">
        <f t="shared" si="5"/>
        <v>Проекты СОРМ</v>
      </c>
      <c r="C62" s="91" t="s">
        <v>71</v>
      </c>
      <c r="D62" s="110"/>
      <c r="E62" s="103">
        <v>0</v>
      </c>
      <c r="F62" s="103">
        <f>IF(E86-SUM($E16:E16)/$D40&gt;=0,SUM($E16:E16)/$D40,E86)</f>
        <v>0</v>
      </c>
      <c r="G62" s="103">
        <f>IF(F86-SUM($E16:F16)/$D40&gt;=0,SUM($E16:F16)/$D40,F86)</f>
        <v>0</v>
      </c>
      <c r="H62" s="103">
        <f>IF(G86-SUM($E16:G16)/$D40&gt;=0,SUM($E16:G16)/$D40,G86)</f>
        <v>0</v>
      </c>
      <c r="I62" s="103">
        <f>IF(H86-SUM($E16:H16)/$D40&gt;=0,SUM($E16:H16)/$D40,H86)</f>
        <v>0</v>
      </c>
      <c r="J62" s="103">
        <f>IF(I86-SUM($E16:I16)/$D40&gt;=0,SUM($E16:I16)/$D40,I86)</f>
        <v>0</v>
      </c>
      <c r="K62" s="103">
        <f>IF(J86-SUM($E16:J16)/$D40&gt;=0,SUM($E16:J16)/$D40,J86)</f>
        <v>0</v>
      </c>
      <c r="L62" s="103">
        <f>IF(K86-SUM($E16:K16)/$D40&gt;=0,SUM($E16:K16)/$D40,K86)</f>
        <v>0</v>
      </c>
      <c r="M62" s="103">
        <f>IF(L86-SUM($E16:L16)/$D40&gt;=0,SUM($E16:L16)/$D40,L86)</f>
        <v>0</v>
      </c>
      <c r="N62" s="103">
        <f>IF(M86-SUM($E16:M16)/$D40&gt;=0,SUM($E16:M16)/$D40,M86)</f>
        <v>0</v>
      </c>
      <c r="O62" s="103">
        <f>IF(N86-SUM($E16:N16)/$D40&gt;=0,SUM($E16:N16)/$D40,N86)</f>
        <v>0</v>
      </c>
      <c r="P62" s="103">
        <f>IF(O86-SUM($E16:O16)/$D40&gt;=0,SUM($E16:O16)/$D40,O86)</f>
        <v>0</v>
      </c>
      <c r="Q62" s="103">
        <f>IF(P86-SUM($E16:P16)/$D40&gt;=0,SUM($E16:P16)/$D40,P86)</f>
        <v>0</v>
      </c>
      <c r="R62" s="103">
        <f>IF(Q86-SUM($E16:Q16)/$D40&gt;=0,SUM($E16:Q16)/$D40,Q86)</f>
        <v>0</v>
      </c>
      <c r="S62" s="103">
        <f>IF(R86-SUM($E16:R16)/$D40&gt;=0,SUM($E16:R16)/$D40,R86)</f>
        <v>0</v>
      </c>
      <c r="T62" s="103">
        <f>IF(S86-SUM($E16:S16)/$D40&gt;=0,SUM($E16:S16)/$D40,S86)</f>
        <v>0</v>
      </c>
      <c r="U62" s="103">
        <f>IF(T86-SUM($E16:T16)/$D40&gt;=0,SUM($E16:T16)/$D40,T86)</f>
        <v>0</v>
      </c>
      <c r="V62" s="103">
        <f>IF(U86-SUM($E16:U16)/$D40&gt;=0,SUM($E16:U16)/$D40,U86)</f>
        <v>0</v>
      </c>
      <c r="W62" s="103">
        <f>IF(V86-SUM($E16:V16)/$D40&gt;=0,SUM($E16:V16)/$D40,V86)</f>
        <v>0</v>
      </c>
      <c r="X62" s="103">
        <f>IF(W86-SUM($E16:W16)/$D40&gt;=0,SUM($E16:W16)/$D40,W86)</f>
        <v>0</v>
      </c>
      <c r="Y62" s="103">
        <f>IF(X86-SUM($E16:X16)/$D40&gt;=0,SUM($E16:X16)/$D40,X86)</f>
        <v>0</v>
      </c>
      <c r="Z62" s="103">
        <f>IF(Y86-SUM($E16:Y16)/$D40&gt;=0,SUM($E16:Y16)/$D40,Y86)</f>
        <v>0</v>
      </c>
      <c r="AA62" s="103">
        <f>IF(Z86-SUM($E16:Z16)/$D40&gt;=0,SUM($E16:Z16)/$D40,Z86)</f>
        <v>0</v>
      </c>
      <c r="AB62" s="103">
        <f>IF(AA86-SUM($E16:AA16)/$D40&gt;=0,SUM($E16:AA16)/$D40,AA86)</f>
        <v>0</v>
      </c>
      <c r="AC62" s="103">
        <f>IF(AB86-SUM($E16:AB16)/$D40&gt;=0,SUM($E16:AB16)/$D40,AB86)</f>
        <v>0</v>
      </c>
      <c r="AD62" s="103">
        <f>IF(AC86-SUM($E16:AC16)/$D40&gt;=0,SUM($E16:AC16)/$D40,AC86)</f>
        <v>0</v>
      </c>
      <c r="AE62" s="103">
        <f>IF(AD86-SUM($E16:AD16)/$D40&gt;=0,SUM($E16:AD16)/$D40,AD86)</f>
        <v>0</v>
      </c>
      <c r="AF62" s="103">
        <f>IF(AE86-SUM($E16:AE16)/$D40&gt;=0,SUM($E16:AE16)/$D40,AE86)</f>
        <v>0</v>
      </c>
      <c r="AG62" s="116">
        <f t="shared" si="4"/>
        <v>0</v>
      </c>
    </row>
    <row r="63" spans="1:33">
      <c r="B63" s="90" t="str">
        <f t="shared" si="5"/>
        <v>Развитие непрофильных бизнесов</v>
      </c>
      <c r="C63" s="91" t="s">
        <v>71</v>
      </c>
      <c r="D63" s="110"/>
      <c r="E63" s="103">
        <v>0</v>
      </c>
      <c r="F63" s="103">
        <f>IF(E87-SUM($E17:E17)/$D41&gt;=0,SUM($E17:E17)/$D41,E87)</f>
        <v>0</v>
      </c>
      <c r="G63" s="103">
        <f>IF(F87-SUM($E17:F17)/$D41&gt;=0,SUM($E17:F17)/$D41,F87)</f>
        <v>0</v>
      </c>
      <c r="H63" s="103">
        <f>IF(G87-SUM($E17:G17)/$D41&gt;=0,SUM($E17:G17)/$D41,G87)</f>
        <v>0</v>
      </c>
      <c r="I63" s="103">
        <f>IF(H87-SUM($E17:H17)/$D41&gt;=0,SUM($E17:H17)/$D41,H87)</f>
        <v>0</v>
      </c>
      <c r="J63" s="103">
        <f>IF(I87-SUM($E17:I17)/$D41&gt;=0,SUM($E17:I17)/$D41,I87)</f>
        <v>0</v>
      </c>
      <c r="K63" s="103">
        <f>IF(J87-SUM($E17:J17)/$D41&gt;=0,SUM($E17:J17)/$D41,J87)</f>
        <v>0</v>
      </c>
      <c r="L63" s="103">
        <f>IF(K87-SUM($E17:K17)/$D41&gt;=0,SUM($E17:K17)/$D41,K87)</f>
        <v>0</v>
      </c>
      <c r="M63" s="103">
        <f>IF(L87-SUM($E17:L17)/$D41&gt;=0,SUM($E17:L17)/$D41,L87)</f>
        <v>0</v>
      </c>
      <c r="N63" s="103">
        <f>IF(M87-SUM($E17:M17)/$D41&gt;=0,SUM($E17:M17)/$D41,M87)</f>
        <v>0</v>
      </c>
      <c r="O63" s="103">
        <f>IF(N87-SUM($E17:N17)/$D41&gt;=0,SUM($E17:N17)/$D41,N87)</f>
        <v>0</v>
      </c>
      <c r="P63" s="103">
        <f>IF(O87-SUM($E17:O17)/$D41&gt;=0,SUM($E17:O17)/$D41,O87)</f>
        <v>0</v>
      </c>
      <c r="Q63" s="103">
        <f>IF(P87-SUM($E17:P17)/$D41&gt;=0,SUM($E17:P17)/$D41,P87)</f>
        <v>0</v>
      </c>
      <c r="R63" s="103">
        <f>IF(Q87-SUM($E17:Q17)/$D41&gt;=0,SUM($E17:Q17)/$D41,Q87)</f>
        <v>0</v>
      </c>
      <c r="S63" s="103">
        <f>IF(R87-SUM($E17:R17)/$D41&gt;=0,SUM($E17:R17)/$D41,R87)</f>
        <v>0</v>
      </c>
      <c r="T63" s="103">
        <f>IF(S87-SUM($E17:S17)/$D41&gt;=0,SUM($E17:S17)/$D41,S87)</f>
        <v>0</v>
      </c>
      <c r="U63" s="103">
        <f>IF(T87-SUM($E17:T17)/$D41&gt;=0,SUM($E17:T17)/$D41,T87)</f>
        <v>0</v>
      </c>
      <c r="V63" s="103">
        <f>IF(U87-SUM($E17:U17)/$D41&gt;=0,SUM($E17:U17)/$D41,U87)</f>
        <v>0</v>
      </c>
      <c r="W63" s="103">
        <f>IF(V87-SUM($E17:V17)/$D41&gt;=0,SUM($E17:V17)/$D41,V87)</f>
        <v>0</v>
      </c>
      <c r="X63" s="103">
        <f>IF(W87-SUM($E17:W17)/$D41&gt;=0,SUM($E17:W17)/$D41,W87)</f>
        <v>0</v>
      </c>
      <c r="Y63" s="103">
        <f>IF(X87-SUM($E17:X17)/$D41&gt;=0,SUM($E17:X17)/$D41,X87)</f>
        <v>0</v>
      </c>
      <c r="Z63" s="103">
        <f>IF(Y87-SUM($E17:Y17)/$D41&gt;=0,SUM($E17:Y17)/$D41,Y87)</f>
        <v>0</v>
      </c>
      <c r="AA63" s="103">
        <f>IF(Z87-SUM($E17:Z17)/$D41&gt;=0,SUM($E17:Z17)/$D41,Z87)</f>
        <v>0</v>
      </c>
      <c r="AB63" s="103">
        <f>IF(AA87-SUM($E17:AA17)/$D41&gt;=0,SUM($E17:AA17)/$D41,AA87)</f>
        <v>0</v>
      </c>
      <c r="AC63" s="103">
        <f>IF(AB87-SUM($E17:AB17)/$D41&gt;=0,SUM($E17:AB17)/$D41,AB87)</f>
        <v>0</v>
      </c>
      <c r="AD63" s="103">
        <f>IF(AC87-SUM($E17:AC17)/$D41&gt;=0,SUM($E17:AC17)/$D41,AC87)</f>
        <v>0</v>
      </c>
      <c r="AE63" s="103">
        <f>IF(AD87-SUM($E17:AD17)/$D41&gt;=0,SUM($E17:AD17)/$D41,AD87)</f>
        <v>0</v>
      </c>
      <c r="AF63" s="103">
        <f>IF(AE87-SUM($E17:AE17)/$D41&gt;=0,SUM($E17:AE17)/$D41,AE87)</f>
        <v>0</v>
      </c>
      <c r="AG63" s="116">
        <f t="shared" si="4"/>
        <v>0</v>
      </c>
    </row>
    <row r="64" spans="1:33">
      <c r="B64" s="90" t="str">
        <f t="shared" si="5"/>
        <v>Развитие радиоподсистемы</v>
      </c>
      <c r="C64" s="91" t="s">
        <v>71</v>
      </c>
      <c r="D64" s="110"/>
      <c r="E64" s="103">
        <v>0</v>
      </c>
      <c r="F64" s="103">
        <f>IF(E88-SUM($E18:E18)/$D42&gt;=0,SUM($E18:E18)/$D42,E88)</f>
        <v>0</v>
      </c>
      <c r="G64" s="103">
        <f>IF(F88-SUM($E18:F18)/$D42&gt;=0,SUM($E18:F18)/$D42,F88)</f>
        <v>0</v>
      </c>
      <c r="H64" s="103">
        <f>IF(G88-SUM($E18:G18)/$D42&gt;=0,SUM($E18:G18)/$D42,G88)</f>
        <v>0</v>
      </c>
      <c r="I64" s="103">
        <f>IF(H88-SUM($E18:H18)/$D42&gt;=0,SUM($E18:H18)/$D42,H88)</f>
        <v>0</v>
      </c>
      <c r="J64" s="103">
        <f>IF(I88-SUM($E18:I18)/$D42&gt;=0,SUM($E18:I18)/$D42,I88)</f>
        <v>0</v>
      </c>
      <c r="K64" s="103">
        <f>IF(J88-SUM($E18:J18)/$D42&gt;=0,SUM($E18:J18)/$D42,J88)</f>
        <v>0</v>
      </c>
      <c r="L64" s="103">
        <f>IF(K88-SUM($E18:K18)/$D42&gt;=0,SUM($E18:K18)/$D42,K88)</f>
        <v>0</v>
      </c>
      <c r="M64" s="103">
        <f>IF(L88-SUM($E18:L18)/$D42&gt;=0,SUM($E18:L18)/$D42,L88)</f>
        <v>0</v>
      </c>
      <c r="N64" s="103">
        <f>IF(M88-SUM($E18:M18)/$D42&gt;=0,SUM($E18:M18)/$D42,M88)</f>
        <v>0</v>
      </c>
      <c r="O64" s="103">
        <f>IF(N88-SUM($E18:N18)/$D42&gt;=0,SUM($E18:N18)/$D42,N88)</f>
        <v>0</v>
      </c>
      <c r="P64" s="103">
        <f>IF(O88-SUM($E18:O18)/$D42&gt;=0,SUM($E18:O18)/$D42,O88)</f>
        <v>0</v>
      </c>
      <c r="Q64" s="103">
        <f>IF(P88-SUM($E18:P18)/$D42&gt;=0,SUM($E18:P18)/$D42,P88)</f>
        <v>0</v>
      </c>
      <c r="R64" s="103">
        <f>IF(Q88-SUM($E18:Q18)/$D42&gt;=0,SUM($E18:Q18)/$D42,Q88)</f>
        <v>0</v>
      </c>
      <c r="S64" s="103">
        <f>IF(R88-SUM($E18:R18)/$D42&gt;=0,SUM($E18:R18)/$D42,R88)</f>
        <v>0</v>
      </c>
      <c r="T64" s="103">
        <f>IF(S88-SUM($E18:S18)/$D42&gt;=0,SUM($E18:S18)/$D42,S88)</f>
        <v>0</v>
      </c>
      <c r="U64" s="103">
        <f>IF(T88-SUM($E18:T18)/$D42&gt;=0,SUM($E18:T18)/$D42,T88)</f>
        <v>0</v>
      </c>
      <c r="V64" s="103">
        <f>IF(U88-SUM($E18:U18)/$D42&gt;=0,SUM($E18:U18)/$D42,U88)</f>
        <v>0</v>
      </c>
      <c r="W64" s="103">
        <f>IF(V88-SUM($E18:V18)/$D42&gt;=0,SUM($E18:V18)/$D42,V88)</f>
        <v>0</v>
      </c>
      <c r="X64" s="103">
        <f>IF(W88-SUM($E18:W18)/$D42&gt;=0,SUM($E18:W18)/$D42,W88)</f>
        <v>0</v>
      </c>
      <c r="Y64" s="103">
        <f>IF(X88-SUM($E18:X18)/$D42&gt;=0,SUM($E18:X18)/$D42,X88)</f>
        <v>0</v>
      </c>
      <c r="Z64" s="103">
        <f>IF(Y88-SUM($E18:Y18)/$D42&gt;=0,SUM($E18:Y18)/$D42,Y88)</f>
        <v>0</v>
      </c>
      <c r="AA64" s="103">
        <f>IF(Z88-SUM($E18:Z18)/$D42&gt;=0,SUM($E18:Z18)/$D42,Z88)</f>
        <v>0</v>
      </c>
      <c r="AB64" s="103">
        <f>IF(AA88-SUM($E18:AA18)/$D42&gt;=0,SUM($E18:AA18)/$D42,AA88)</f>
        <v>0</v>
      </c>
      <c r="AC64" s="103">
        <f>IF(AB88-SUM($E18:AB18)/$D42&gt;=0,SUM($E18:AB18)/$D42,AB88)</f>
        <v>0</v>
      </c>
      <c r="AD64" s="103">
        <f>IF(AC88-SUM($E18:AC18)/$D42&gt;=0,SUM($E18:AC18)/$D42,AC88)</f>
        <v>0</v>
      </c>
      <c r="AE64" s="103">
        <f>IF(AD88-SUM($E18:AD18)/$D42&gt;=0,SUM($E18:AD18)/$D42,AD88)</f>
        <v>0</v>
      </c>
      <c r="AF64" s="103">
        <f>IF(AE88-SUM($E18:AE18)/$D42&gt;=0,SUM($E18:AE18)/$D42,AE88)</f>
        <v>0</v>
      </c>
      <c r="AG64" s="116">
        <f t="shared" si="4"/>
        <v>0</v>
      </c>
    </row>
    <row r="65" spans="1:33">
      <c r="B65" s="90" t="str">
        <f t="shared" si="5"/>
        <v>Рекламные объекты</v>
      </c>
      <c r="C65" s="91" t="s">
        <v>71</v>
      </c>
      <c r="D65" s="110"/>
      <c r="E65" s="103">
        <v>0</v>
      </c>
      <c r="F65" s="103">
        <f>IF(E89-SUM($E19:E19)/$D43&gt;=0,SUM($E19:E19)/$D43,E89)</f>
        <v>0</v>
      </c>
      <c r="G65" s="103">
        <f>IF(F89-SUM($E19:F19)/$D43&gt;=0,SUM($E19:F19)/$D43,F89)</f>
        <v>0</v>
      </c>
      <c r="H65" s="103">
        <f>IF(G89-SUM($E19:G19)/$D43&gt;=0,SUM($E19:G19)/$D43,G89)</f>
        <v>0</v>
      </c>
      <c r="I65" s="103">
        <f>IF(H89-SUM($E19:H19)/$D43&gt;=0,SUM($E19:H19)/$D43,H89)</f>
        <v>0</v>
      </c>
      <c r="J65" s="103">
        <f>IF(I89-SUM($E19:I19)/$D43&gt;=0,SUM($E19:I19)/$D43,I89)</f>
        <v>0</v>
      </c>
      <c r="K65" s="103">
        <f>IF(J89-SUM($E19:J19)/$D43&gt;=0,SUM($E19:J19)/$D43,J89)</f>
        <v>0</v>
      </c>
      <c r="L65" s="103">
        <f>IF(K89-SUM($E19:K19)/$D43&gt;=0,SUM($E19:K19)/$D43,K89)</f>
        <v>0</v>
      </c>
      <c r="M65" s="103">
        <f>IF(L89-SUM($E19:L19)/$D43&gt;=0,SUM($E19:L19)/$D43,L89)</f>
        <v>0</v>
      </c>
      <c r="N65" s="103">
        <f>IF(M89-SUM($E19:M19)/$D43&gt;=0,SUM($E19:M19)/$D43,M89)</f>
        <v>0</v>
      </c>
      <c r="O65" s="103">
        <f>IF(N89-SUM($E19:N19)/$D43&gt;=0,SUM($E19:N19)/$D43,N89)</f>
        <v>0</v>
      </c>
      <c r="P65" s="103">
        <f>IF(O89-SUM($E19:O19)/$D43&gt;=0,SUM($E19:O19)/$D43,O89)</f>
        <v>0</v>
      </c>
      <c r="Q65" s="103">
        <f>IF(P89-SUM($E19:P19)/$D43&gt;=0,SUM($E19:P19)/$D43,P89)</f>
        <v>0</v>
      </c>
      <c r="R65" s="103">
        <f>IF(Q89-SUM($E19:Q19)/$D43&gt;=0,SUM($E19:Q19)/$D43,Q89)</f>
        <v>0</v>
      </c>
      <c r="S65" s="103">
        <f>IF(R89-SUM($E19:R19)/$D43&gt;=0,SUM($E19:R19)/$D43,R89)</f>
        <v>0</v>
      </c>
      <c r="T65" s="103">
        <f>IF(S89-SUM($E19:S19)/$D43&gt;=0,SUM($E19:S19)/$D43,S89)</f>
        <v>0</v>
      </c>
      <c r="U65" s="103">
        <f>IF(T89-SUM($E19:T19)/$D43&gt;=0,SUM($E19:T19)/$D43,T89)</f>
        <v>0</v>
      </c>
      <c r="V65" s="103">
        <f>IF(U89-SUM($E19:U19)/$D43&gt;=0,SUM($E19:U19)/$D43,U89)</f>
        <v>0</v>
      </c>
      <c r="W65" s="103">
        <f>IF(V89-SUM($E19:V19)/$D43&gt;=0,SUM($E19:V19)/$D43,V89)</f>
        <v>0</v>
      </c>
      <c r="X65" s="103">
        <f>IF(W89-SUM($E19:W19)/$D43&gt;=0,SUM($E19:W19)/$D43,W89)</f>
        <v>0</v>
      </c>
      <c r="Y65" s="103">
        <f>IF(X89-SUM($E19:X19)/$D43&gt;=0,SUM($E19:X19)/$D43,X89)</f>
        <v>0</v>
      </c>
      <c r="Z65" s="103">
        <f>IF(Y89-SUM($E19:Y19)/$D43&gt;=0,SUM($E19:Y19)/$D43,Y89)</f>
        <v>0</v>
      </c>
      <c r="AA65" s="103">
        <f>IF(Z89-SUM($E19:Z19)/$D43&gt;=0,SUM($E19:Z19)/$D43,Z89)</f>
        <v>0</v>
      </c>
      <c r="AB65" s="103">
        <f>IF(AA89-SUM($E19:AA19)/$D43&gt;=0,SUM($E19:AA19)/$D43,AA89)</f>
        <v>0</v>
      </c>
      <c r="AC65" s="103">
        <f>IF(AB89-SUM($E19:AB19)/$D43&gt;=0,SUM($E19:AB19)/$D43,AB89)</f>
        <v>0</v>
      </c>
      <c r="AD65" s="103">
        <f>IF(AC89-SUM($E19:AC19)/$D43&gt;=0,SUM($E19:AC19)/$D43,AC89)</f>
        <v>0</v>
      </c>
      <c r="AE65" s="103">
        <f>IF(AD89-SUM($E19:AD19)/$D43&gt;=0,SUM($E19:AD19)/$D43,AD89)</f>
        <v>0</v>
      </c>
      <c r="AF65" s="103">
        <f>IF(AE89-SUM($E19:AE19)/$D43&gt;=0,SUM($E19:AE19)/$D43,AE89)</f>
        <v>0</v>
      </c>
      <c r="AG65" s="116">
        <f t="shared" si="4"/>
        <v>0</v>
      </c>
    </row>
    <row r="66" spans="1:33">
      <c r="B66" s="90" t="str">
        <f t="shared" si="5"/>
        <v>Система передачи</v>
      </c>
      <c r="C66" s="91" t="s">
        <v>71</v>
      </c>
      <c r="D66" s="110"/>
      <c r="E66" s="103">
        <v>0</v>
      </c>
      <c r="F66" s="103">
        <f>IF(E90-SUM($E20:E20)/$D44&gt;=0,SUM($E20:E20)/$D44,E90)</f>
        <v>0</v>
      </c>
      <c r="G66" s="103">
        <f>IF(F90-SUM($E20:F20)/$D44&gt;=0,SUM($E20:F20)/$D44,F90)</f>
        <v>0</v>
      </c>
      <c r="H66" s="103">
        <f>IF(G90-SUM($E20:G20)/$D44&gt;=0,SUM($E20:G20)/$D44,G90)</f>
        <v>0</v>
      </c>
      <c r="I66" s="103">
        <f>IF(H90-SUM($E20:H20)/$D44&gt;=0,SUM($E20:H20)/$D44,H90)</f>
        <v>0</v>
      </c>
      <c r="J66" s="103">
        <f>IF(I90-SUM($E20:I20)/$D44&gt;=0,SUM($E20:I20)/$D44,I90)</f>
        <v>0</v>
      </c>
      <c r="K66" s="103">
        <f>IF(J90-SUM($E20:J20)/$D44&gt;=0,SUM($E20:J20)/$D44,J90)</f>
        <v>0</v>
      </c>
      <c r="L66" s="103">
        <f>IF(K90-SUM($E20:K20)/$D44&gt;=0,SUM($E20:K20)/$D44,K90)</f>
        <v>0</v>
      </c>
      <c r="M66" s="103">
        <f>IF(L90-SUM($E20:L20)/$D44&gt;=0,SUM($E20:L20)/$D44,L90)</f>
        <v>0</v>
      </c>
      <c r="N66" s="103">
        <f>IF(M90-SUM($E20:M20)/$D44&gt;=0,SUM($E20:M20)/$D44,M90)</f>
        <v>0</v>
      </c>
      <c r="O66" s="103">
        <f>IF(N90-SUM($E20:N20)/$D44&gt;=0,SUM($E20:N20)/$D44,N90)</f>
        <v>0</v>
      </c>
      <c r="P66" s="103">
        <f>IF(O90-SUM($E20:O20)/$D44&gt;=0,SUM($E20:O20)/$D44,O90)</f>
        <v>0</v>
      </c>
      <c r="Q66" s="103">
        <f>IF(P90-SUM($E20:P20)/$D44&gt;=0,SUM($E20:P20)/$D44,P90)</f>
        <v>0</v>
      </c>
      <c r="R66" s="103">
        <f>IF(Q90-SUM($E20:Q20)/$D44&gt;=0,SUM($E20:Q20)/$D44,Q90)</f>
        <v>0</v>
      </c>
      <c r="S66" s="103">
        <f>IF(R90-SUM($E20:R20)/$D44&gt;=0,SUM($E20:R20)/$D44,R90)</f>
        <v>0</v>
      </c>
      <c r="T66" s="103">
        <f>IF(S90-SUM($E20:S20)/$D44&gt;=0,SUM($E20:S20)/$D44,S90)</f>
        <v>0</v>
      </c>
      <c r="U66" s="103">
        <f>IF(T90-SUM($E20:T20)/$D44&gt;=0,SUM($E20:T20)/$D44,T90)</f>
        <v>0</v>
      </c>
      <c r="V66" s="103">
        <f>IF(U90-SUM($E20:U20)/$D44&gt;=0,SUM($E20:U20)/$D44,U90)</f>
        <v>0</v>
      </c>
      <c r="W66" s="103">
        <f>IF(V90-SUM($E20:V20)/$D44&gt;=0,SUM($E20:V20)/$D44,V90)</f>
        <v>0</v>
      </c>
      <c r="X66" s="103">
        <f>IF(W90-SUM($E20:W20)/$D44&gt;=0,SUM($E20:W20)/$D44,W90)</f>
        <v>0</v>
      </c>
      <c r="Y66" s="103">
        <f>IF(X90-SUM($E20:X20)/$D44&gt;=0,SUM($E20:X20)/$D44,X90)</f>
        <v>0</v>
      </c>
      <c r="Z66" s="103">
        <f>IF(Y90-SUM($E20:Y20)/$D44&gt;=0,SUM($E20:Y20)/$D44,Y90)</f>
        <v>0</v>
      </c>
      <c r="AA66" s="103">
        <f>IF(Z90-SUM($E20:Z20)/$D44&gt;=0,SUM($E20:Z20)/$D44,Z90)</f>
        <v>0</v>
      </c>
      <c r="AB66" s="103">
        <f>IF(AA90-SUM($E20:AA20)/$D44&gt;=0,SUM($E20:AA20)/$D44,AA90)</f>
        <v>0</v>
      </c>
      <c r="AC66" s="103">
        <f>IF(AB90-SUM($E20:AB20)/$D44&gt;=0,SUM($E20:AB20)/$D44,AB90)</f>
        <v>0</v>
      </c>
      <c r="AD66" s="103">
        <f>IF(AC90-SUM($E20:AC20)/$D44&gt;=0,SUM($E20:AC20)/$D44,AC90)</f>
        <v>0</v>
      </c>
      <c r="AE66" s="103">
        <f>IF(AD90-SUM($E20:AD20)/$D44&gt;=0,SUM($E20:AD20)/$D44,AD90)</f>
        <v>0</v>
      </c>
      <c r="AF66" s="103">
        <f>IF(AE90-SUM($E20:AE20)/$D44&gt;=0,SUM($E20:AE20)/$D44,AE90)</f>
        <v>0</v>
      </c>
      <c r="AG66" s="116">
        <f t="shared" si="4"/>
        <v>0</v>
      </c>
    </row>
    <row r="67" spans="1:33">
      <c r="B67" s="90" t="str">
        <f t="shared" si="5"/>
        <v>Тестирование новых технологических платформ</v>
      </c>
      <c r="C67" s="91" t="s">
        <v>71</v>
      </c>
      <c r="D67" s="110"/>
      <c r="E67" s="103">
        <v>0</v>
      </c>
      <c r="F67" s="103">
        <f>IF(E91-SUM($E21:E21)/$D45&gt;=0,SUM($E21:E21)/$D45,E91)</f>
        <v>0</v>
      </c>
      <c r="G67" s="103">
        <f>IF(F91-SUM($E21:F21)/$D45&gt;=0,SUM($E21:F21)/$D45,F91)</f>
        <v>0</v>
      </c>
      <c r="H67" s="103">
        <f>IF(G91-SUM($E21:G21)/$D45&gt;=0,SUM($E21:G21)/$D45,G91)</f>
        <v>0</v>
      </c>
      <c r="I67" s="103">
        <f>IF(H91-SUM($E21:H21)/$D45&gt;=0,SUM($E21:H21)/$D45,H91)</f>
        <v>0</v>
      </c>
      <c r="J67" s="103">
        <f>IF(I91-SUM($E21:I21)/$D45&gt;=0,SUM($E21:I21)/$D45,I91)</f>
        <v>0</v>
      </c>
      <c r="K67" s="103">
        <f>IF(J91-SUM($E21:J21)/$D45&gt;=0,SUM($E21:J21)/$D45,J91)</f>
        <v>0</v>
      </c>
      <c r="L67" s="103">
        <f>IF(K91-SUM($E21:K21)/$D45&gt;=0,SUM($E21:K21)/$D45,K91)</f>
        <v>0</v>
      </c>
      <c r="M67" s="103">
        <f>IF(L91-SUM($E21:L21)/$D45&gt;=0,SUM($E21:L21)/$D45,L91)</f>
        <v>0</v>
      </c>
      <c r="N67" s="103">
        <f>IF(M91-SUM($E21:M21)/$D45&gt;=0,SUM($E21:M21)/$D45,M91)</f>
        <v>0</v>
      </c>
      <c r="O67" s="103">
        <f>IF(N91-SUM($E21:N21)/$D45&gt;=0,SUM($E21:N21)/$D45,N91)</f>
        <v>0</v>
      </c>
      <c r="P67" s="103">
        <f>IF(O91-SUM($E21:O21)/$D45&gt;=0,SUM($E21:O21)/$D45,O91)</f>
        <v>0</v>
      </c>
      <c r="Q67" s="103">
        <f>IF(P91-SUM($E21:P21)/$D45&gt;=0,SUM($E21:P21)/$D45,P91)</f>
        <v>0</v>
      </c>
      <c r="R67" s="103">
        <f>IF(Q91-SUM($E21:Q21)/$D45&gt;=0,SUM($E21:Q21)/$D45,Q91)</f>
        <v>0</v>
      </c>
      <c r="S67" s="103">
        <f>IF(R91-SUM($E21:R21)/$D45&gt;=0,SUM($E21:R21)/$D45,R91)</f>
        <v>0</v>
      </c>
      <c r="T67" s="103">
        <f>IF(S91-SUM($E21:S21)/$D45&gt;=0,SUM($E21:S21)/$D45,S91)</f>
        <v>0</v>
      </c>
      <c r="U67" s="103">
        <f>IF(T91-SUM($E21:T21)/$D45&gt;=0,SUM($E21:T21)/$D45,T91)</f>
        <v>0</v>
      </c>
      <c r="V67" s="103">
        <f>IF(U91-SUM($E21:U21)/$D45&gt;=0,SUM($E21:U21)/$D45,U91)</f>
        <v>0</v>
      </c>
      <c r="W67" s="103">
        <f>IF(V91-SUM($E21:V21)/$D45&gt;=0,SUM($E21:V21)/$D45,V91)</f>
        <v>0</v>
      </c>
      <c r="X67" s="103">
        <f>IF(W91-SUM($E21:W21)/$D45&gt;=0,SUM($E21:W21)/$D45,W91)</f>
        <v>0</v>
      </c>
      <c r="Y67" s="103">
        <f>IF(X91-SUM($E21:X21)/$D45&gt;=0,SUM($E21:X21)/$D45,X91)</f>
        <v>0</v>
      </c>
      <c r="Z67" s="103">
        <f>IF(Y91-SUM($E21:Y21)/$D45&gt;=0,SUM($E21:Y21)/$D45,Y91)</f>
        <v>0</v>
      </c>
      <c r="AA67" s="103">
        <f>IF(Z91-SUM($E21:Z21)/$D45&gt;=0,SUM($E21:Z21)/$D45,Z91)</f>
        <v>0</v>
      </c>
      <c r="AB67" s="103">
        <f>IF(AA91-SUM($E21:AA21)/$D45&gt;=0,SUM($E21:AA21)/$D45,AA91)</f>
        <v>0</v>
      </c>
      <c r="AC67" s="103">
        <f>IF(AB91-SUM($E21:AB21)/$D45&gt;=0,SUM($E21:AB21)/$D45,AB91)</f>
        <v>0</v>
      </c>
      <c r="AD67" s="103">
        <f>IF(AC91-SUM($E21:AC21)/$D45&gt;=0,SUM($E21:AC21)/$D45,AC91)</f>
        <v>0</v>
      </c>
      <c r="AE67" s="103">
        <f>IF(AD91-SUM($E21:AD21)/$D45&gt;=0,SUM($E21:AD21)/$D45,AD91)</f>
        <v>0</v>
      </c>
      <c r="AF67" s="103">
        <f>IF(AE91-SUM($E21:AE21)/$D45&gt;=0,SUM($E21:AE21)/$D45,AE91)</f>
        <v>0</v>
      </c>
      <c r="AG67" s="116">
        <f t="shared" si="4"/>
        <v>0</v>
      </c>
    </row>
    <row r="68" spans="1:33">
      <c r="B68" s="90" t="str">
        <f t="shared" si="5"/>
        <v>Управление сетью</v>
      </c>
      <c r="C68" s="91" t="s">
        <v>71</v>
      </c>
      <c r="D68" s="110"/>
      <c r="E68" s="103">
        <v>0</v>
      </c>
      <c r="F68" s="103">
        <f>IF(E92-SUM($E22:E22)/$D46&gt;=0,SUM($E22:E22)/$D46,E92)</f>
        <v>0</v>
      </c>
      <c r="G68" s="103">
        <f>IF(F92-SUM($E22:F22)/$D46&gt;=0,SUM($E22:F22)/$D46,F92)</f>
        <v>0</v>
      </c>
      <c r="H68" s="103">
        <f>IF(G92-SUM($E22:G22)/$D46&gt;=0,SUM($E22:G22)/$D46,G92)</f>
        <v>0</v>
      </c>
      <c r="I68" s="103">
        <f>IF(H92-SUM($E22:H22)/$D46&gt;=0,SUM($E22:H22)/$D46,H92)</f>
        <v>0</v>
      </c>
      <c r="J68" s="103">
        <f>IF(I92-SUM($E22:I22)/$D46&gt;=0,SUM($E22:I22)/$D46,I92)</f>
        <v>0</v>
      </c>
      <c r="K68" s="103">
        <f>IF(J92-SUM($E22:J22)/$D46&gt;=0,SUM($E22:J22)/$D46,J92)</f>
        <v>0</v>
      </c>
      <c r="L68" s="103">
        <f>IF(K92-SUM($E22:K22)/$D46&gt;=0,SUM($E22:K22)/$D46,K92)</f>
        <v>0</v>
      </c>
      <c r="M68" s="103">
        <f>IF(L92-SUM($E22:L22)/$D46&gt;=0,SUM($E22:L22)/$D46,L92)</f>
        <v>0</v>
      </c>
      <c r="N68" s="103">
        <f>IF(M92-SUM($E22:M22)/$D46&gt;=0,SUM($E22:M22)/$D46,M92)</f>
        <v>0</v>
      </c>
      <c r="O68" s="103">
        <f>IF(N92-SUM($E22:N22)/$D46&gt;=0,SUM($E22:N22)/$D46,N92)</f>
        <v>0</v>
      </c>
      <c r="P68" s="103">
        <f>IF(O92-SUM($E22:O22)/$D46&gt;=0,SUM($E22:O22)/$D46,O92)</f>
        <v>0</v>
      </c>
      <c r="Q68" s="103">
        <f>IF(P92-SUM($E22:P22)/$D46&gt;=0,SUM($E22:P22)/$D46,P92)</f>
        <v>0</v>
      </c>
      <c r="R68" s="103">
        <f>IF(Q92-SUM($E22:Q22)/$D46&gt;=0,SUM($E22:Q22)/$D46,Q92)</f>
        <v>0</v>
      </c>
      <c r="S68" s="103">
        <f>IF(R92-SUM($E22:R22)/$D46&gt;=0,SUM($E22:R22)/$D46,R92)</f>
        <v>0</v>
      </c>
      <c r="T68" s="103">
        <f>IF(S92-SUM($E22:S22)/$D46&gt;=0,SUM($E22:S22)/$D46,S92)</f>
        <v>0</v>
      </c>
      <c r="U68" s="103">
        <f>IF(T92-SUM($E22:T22)/$D46&gt;=0,SUM($E22:T22)/$D46,T92)</f>
        <v>0</v>
      </c>
      <c r="V68" s="103">
        <f>IF(U92-SUM($E22:U22)/$D46&gt;=0,SUM($E22:U22)/$D46,U92)</f>
        <v>0</v>
      </c>
      <c r="W68" s="103">
        <f>IF(V92-SUM($E22:V22)/$D46&gt;=0,SUM($E22:V22)/$D46,V92)</f>
        <v>0</v>
      </c>
      <c r="X68" s="103">
        <f>IF(W92-SUM($E22:W22)/$D46&gt;=0,SUM($E22:W22)/$D46,W92)</f>
        <v>0</v>
      </c>
      <c r="Y68" s="103">
        <f>IF(X92-SUM($E22:X22)/$D46&gt;=0,SUM($E22:X22)/$D46,X92)</f>
        <v>0</v>
      </c>
      <c r="Z68" s="103">
        <f>IF(Y92-SUM($E22:Y22)/$D46&gt;=0,SUM($E22:Y22)/$D46,Y92)</f>
        <v>0</v>
      </c>
      <c r="AA68" s="103">
        <f>IF(Z92-SUM($E22:Z22)/$D46&gt;=0,SUM($E22:Z22)/$D46,Z92)</f>
        <v>0</v>
      </c>
      <c r="AB68" s="103">
        <f>IF(AA92-SUM($E22:AA22)/$D46&gt;=0,SUM($E22:AA22)/$D46,AA92)</f>
        <v>0</v>
      </c>
      <c r="AC68" s="103">
        <f>IF(AB92-SUM($E22:AB22)/$D46&gt;=0,SUM($E22:AB22)/$D46,AB92)</f>
        <v>0</v>
      </c>
      <c r="AD68" s="103">
        <f>IF(AC92-SUM($E22:AC22)/$D46&gt;=0,SUM($E22:AC22)/$D46,AC92)</f>
        <v>0</v>
      </c>
      <c r="AE68" s="103">
        <f>IF(AD92-SUM($E22:AD22)/$D46&gt;=0,SUM($E22:AD22)/$D46,AD92)</f>
        <v>0</v>
      </c>
      <c r="AF68" s="103">
        <f>IF(AE92-SUM($E22:AE22)/$D46&gt;=0,SUM($E22:AE22)/$D46,AE92)</f>
        <v>0</v>
      </c>
      <c r="AG68" s="116">
        <f t="shared" si="4"/>
        <v>0</v>
      </c>
    </row>
    <row r="69" spans="1:33">
      <c r="B69" s="90" t="str">
        <f t="shared" si="5"/>
        <v>Услуги добавленной стоимости VAS</v>
      </c>
      <c r="C69" s="91" t="s">
        <v>71</v>
      </c>
      <c r="D69" s="110"/>
      <c r="E69" s="103">
        <v>0</v>
      </c>
      <c r="F69" s="103">
        <f>IF(E93-SUM($E23:E23)/$D47&gt;=0,SUM($E23:E23)/$D47,E93)</f>
        <v>0</v>
      </c>
      <c r="G69" s="103">
        <f>IF(F93-SUM($E23:F23)/$D47&gt;=0,SUM($E23:F23)/$D47,F93)</f>
        <v>0</v>
      </c>
      <c r="H69" s="103">
        <f>IF(G93-SUM($E23:G23)/$D47&gt;=0,SUM($E23:G23)/$D47,G93)</f>
        <v>0</v>
      </c>
      <c r="I69" s="103">
        <f>IF(H93-SUM($E23:H23)/$D47&gt;=0,SUM($E23:H23)/$D47,H93)</f>
        <v>0</v>
      </c>
      <c r="J69" s="103">
        <f>IF(I93-SUM($E23:I23)/$D47&gt;=0,SUM($E23:I23)/$D47,I93)</f>
        <v>0</v>
      </c>
      <c r="K69" s="103">
        <f>IF(J93-SUM($E23:J23)/$D47&gt;=0,SUM($E23:J23)/$D47,J93)</f>
        <v>0</v>
      </c>
      <c r="L69" s="103">
        <f>IF(K93-SUM($E23:K23)/$D47&gt;=0,SUM($E23:K23)/$D47,K93)</f>
        <v>0</v>
      </c>
      <c r="M69" s="103">
        <f>IF(L93-SUM($E23:L23)/$D47&gt;=0,SUM($E23:L23)/$D47,L93)</f>
        <v>0</v>
      </c>
      <c r="N69" s="103">
        <f>IF(M93-SUM($E23:M23)/$D47&gt;=0,SUM($E23:M23)/$D47,M93)</f>
        <v>0</v>
      </c>
      <c r="O69" s="103">
        <f>IF(N93-SUM($E23:N23)/$D47&gt;=0,SUM($E23:N23)/$D47,N93)</f>
        <v>0</v>
      </c>
      <c r="P69" s="103">
        <f>IF(O93-SUM($E23:O23)/$D47&gt;=0,SUM($E23:O23)/$D47,O93)</f>
        <v>0</v>
      </c>
      <c r="Q69" s="103">
        <f>IF(P93-SUM($E23:P23)/$D47&gt;=0,SUM($E23:P23)/$D47,P93)</f>
        <v>0</v>
      </c>
      <c r="R69" s="103">
        <f>IF(Q93-SUM($E23:Q23)/$D47&gt;=0,SUM($E23:Q23)/$D47,Q93)</f>
        <v>0</v>
      </c>
      <c r="S69" s="103">
        <f>IF(R93-SUM($E23:R23)/$D47&gt;=0,SUM($E23:R23)/$D47,R93)</f>
        <v>0</v>
      </c>
      <c r="T69" s="103">
        <f>IF(S93-SUM($E23:S23)/$D47&gt;=0,SUM($E23:S23)/$D47,S93)</f>
        <v>0</v>
      </c>
      <c r="U69" s="103">
        <f>IF(T93-SUM($E23:T23)/$D47&gt;=0,SUM($E23:T23)/$D47,T93)</f>
        <v>0</v>
      </c>
      <c r="V69" s="103">
        <f>IF(U93-SUM($E23:U23)/$D47&gt;=0,SUM($E23:U23)/$D47,U93)</f>
        <v>0</v>
      </c>
      <c r="W69" s="103">
        <f>IF(V93-SUM($E23:V23)/$D47&gt;=0,SUM($E23:V23)/$D47,V93)</f>
        <v>0</v>
      </c>
      <c r="X69" s="103">
        <f>IF(W93-SUM($E23:W23)/$D47&gt;=0,SUM($E23:W23)/$D47,W93)</f>
        <v>0</v>
      </c>
      <c r="Y69" s="103">
        <f>IF(X93-SUM($E23:X23)/$D47&gt;=0,SUM($E23:X23)/$D47,X93)</f>
        <v>0</v>
      </c>
      <c r="Z69" s="103">
        <f>IF(Y93-SUM($E23:Y23)/$D47&gt;=0,SUM($E23:Y23)/$D47,Y93)</f>
        <v>0</v>
      </c>
      <c r="AA69" s="103">
        <f>IF(Z93-SUM($E23:Z23)/$D47&gt;=0,SUM($E23:Z23)/$D47,Z93)</f>
        <v>0</v>
      </c>
      <c r="AB69" s="103">
        <f>IF(AA93-SUM($E23:AA23)/$D47&gt;=0,SUM($E23:AA23)/$D47,AA93)</f>
        <v>0</v>
      </c>
      <c r="AC69" s="103">
        <f>IF(AB93-SUM($E23:AB23)/$D47&gt;=0,SUM($E23:AB23)/$D47,AB93)</f>
        <v>0</v>
      </c>
      <c r="AD69" s="103">
        <f>IF(AC93-SUM($E23:AC23)/$D47&gt;=0,SUM($E23:AC23)/$D47,AC93)</f>
        <v>0</v>
      </c>
      <c r="AE69" s="103">
        <f>IF(AD93-SUM($E23:AD23)/$D47&gt;=0,SUM($E23:AD23)/$D47,AD93)</f>
        <v>0</v>
      </c>
      <c r="AF69" s="103">
        <f>IF(AE93-SUM($E23:AE23)/$D47&gt;=0,SUM($E23:AE23)/$D47,AE93)</f>
        <v>0</v>
      </c>
      <c r="AG69" s="116">
        <f t="shared" si="4"/>
        <v>0</v>
      </c>
    </row>
    <row r="70" spans="1:33">
      <c r="B70" s="90" t="str">
        <f t="shared" si="5"/>
        <v>Фиксированная связь</v>
      </c>
      <c r="C70" s="91" t="s">
        <v>71</v>
      </c>
      <c r="D70" s="110"/>
      <c r="E70" s="103">
        <v>0</v>
      </c>
      <c r="F70" s="103">
        <f>IF(E94-SUM($E24:E24)/$D48&gt;=0,SUM($E24:E24)/$D48,E94)</f>
        <v>0</v>
      </c>
      <c r="G70" s="103">
        <f>IF(F94-SUM($E24:F24)/$D48&gt;=0,SUM($E24:F24)/$D48,F94)</f>
        <v>0</v>
      </c>
      <c r="H70" s="103">
        <f>IF(G94-SUM($E24:G24)/$D48&gt;=0,SUM($E24:G24)/$D48,G94)</f>
        <v>0</v>
      </c>
      <c r="I70" s="103">
        <f>IF(H94-SUM($E24:H24)/$D48&gt;=0,SUM($E24:H24)/$D48,H94)</f>
        <v>0</v>
      </c>
      <c r="J70" s="103">
        <f>IF(I94-SUM($E24:I24)/$D48&gt;=0,SUM($E24:I24)/$D48,I94)</f>
        <v>0</v>
      </c>
      <c r="K70" s="103">
        <f>IF(J94-SUM($E24:J24)/$D48&gt;=0,SUM($E24:J24)/$D48,J94)</f>
        <v>0</v>
      </c>
      <c r="L70" s="103">
        <f>IF(K94-SUM($E24:K24)/$D48&gt;=0,SUM($E24:K24)/$D48,K94)</f>
        <v>0</v>
      </c>
      <c r="M70" s="103">
        <f>IF(L94-SUM($E24:L24)/$D48&gt;=0,SUM($E24:L24)/$D48,L94)</f>
        <v>0</v>
      </c>
      <c r="N70" s="103">
        <f>IF(M94-SUM($E24:M24)/$D48&gt;=0,SUM($E24:M24)/$D48,M94)</f>
        <v>0</v>
      </c>
      <c r="O70" s="103">
        <f>IF(N94-SUM($E24:N24)/$D48&gt;=0,SUM($E24:N24)/$D48,N94)</f>
        <v>0</v>
      </c>
      <c r="P70" s="103">
        <f>IF(O94-SUM($E24:O24)/$D48&gt;=0,SUM($E24:O24)/$D48,O94)</f>
        <v>0</v>
      </c>
      <c r="Q70" s="103">
        <f>IF(P94-SUM($E24:P24)/$D48&gt;=0,SUM($E24:P24)/$D48,P94)</f>
        <v>0</v>
      </c>
      <c r="R70" s="103">
        <f>IF(Q94-SUM($E24:Q24)/$D48&gt;=0,SUM($E24:Q24)/$D48,Q94)</f>
        <v>0</v>
      </c>
      <c r="S70" s="103">
        <f>IF(R94-SUM($E24:R24)/$D48&gt;=0,SUM($E24:R24)/$D48,R94)</f>
        <v>0</v>
      </c>
      <c r="T70" s="103">
        <f>IF(S94-SUM($E24:S24)/$D48&gt;=0,SUM($E24:S24)/$D48,S94)</f>
        <v>0</v>
      </c>
      <c r="U70" s="103">
        <f>IF(T94-SUM($E24:T24)/$D48&gt;=0,SUM($E24:T24)/$D48,T94)</f>
        <v>0</v>
      </c>
      <c r="V70" s="103">
        <f>IF(U94-SUM($E24:U24)/$D48&gt;=0,SUM($E24:U24)/$D48,U94)</f>
        <v>0</v>
      </c>
      <c r="W70" s="103">
        <f>IF(V94-SUM($E24:V24)/$D48&gt;=0,SUM($E24:V24)/$D48,V94)</f>
        <v>0</v>
      </c>
      <c r="X70" s="103">
        <f>IF(W94-SUM($E24:W24)/$D48&gt;=0,SUM($E24:W24)/$D48,W94)</f>
        <v>0</v>
      </c>
      <c r="Y70" s="103">
        <f>IF(X94-SUM($E24:X24)/$D48&gt;=0,SUM($E24:X24)/$D48,X94)</f>
        <v>0</v>
      </c>
      <c r="Z70" s="103">
        <f>IF(Y94-SUM($E24:Y24)/$D48&gt;=0,SUM($E24:Y24)/$D48,Y94)</f>
        <v>0</v>
      </c>
      <c r="AA70" s="103">
        <f>IF(Z94-SUM($E24:Z24)/$D48&gt;=0,SUM($E24:Z24)/$D48,Z94)</f>
        <v>0</v>
      </c>
      <c r="AB70" s="103">
        <f>IF(AA94-SUM($E24:AA24)/$D48&gt;=0,SUM($E24:AA24)/$D48,AA94)</f>
        <v>0</v>
      </c>
      <c r="AC70" s="103">
        <f>IF(AB94-SUM($E24:AB24)/$D48&gt;=0,SUM($E24:AB24)/$D48,AB94)</f>
        <v>0</v>
      </c>
      <c r="AD70" s="103">
        <f>IF(AC94-SUM($E24:AC24)/$D48&gt;=0,SUM($E24:AC24)/$D48,AC94)</f>
        <v>0</v>
      </c>
      <c r="AE70" s="103">
        <f>IF(AD94-SUM($E24:AD24)/$D48&gt;=0,SUM($E24:AD24)/$D48,AD94)</f>
        <v>0</v>
      </c>
      <c r="AF70" s="103">
        <f>IF(AE94-SUM($E24:AE24)/$D48&gt;=0,SUM($E24:AE24)/$D48,AE94)</f>
        <v>0</v>
      </c>
      <c r="AG70" s="116">
        <f t="shared" si="4"/>
        <v>0</v>
      </c>
    </row>
    <row r="71" spans="1:33">
      <c r="B71" s="90" t="str">
        <f t="shared" si="5"/>
        <v xml:space="preserve">Энергетика, метрология и эксплуатация </v>
      </c>
      <c r="C71" s="91" t="s">
        <v>71</v>
      </c>
      <c r="D71" s="111"/>
      <c r="E71" s="103">
        <v>0</v>
      </c>
      <c r="F71" s="103">
        <f>IF(E95-SUM($E25:E25)/$D49&gt;=0,SUM($E25:E25)/$D49,E95)</f>
        <v>0</v>
      </c>
      <c r="G71" s="103">
        <f>IF(F95-SUM($E25:F25)/$D49&gt;=0,SUM($E25:F25)/$D49,F95)</f>
        <v>0</v>
      </c>
      <c r="H71" s="103">
        <f>IF(G95-SUM($E25:G25)/$D49&gt;=0,SUM($E25:G25)/$D49,G95)</f>
        <v>0</v>
      </c>
      <c r="I71" s="103">
        <f>IF(H95-SUM($E25:H25)/$D49&gt;=0,SUM($E25:H25)/$D49,H95)</f>
        <v>0</v>
      </c>
      <c r="J71" s="103">
        <f>IF(I95-SUM($E25:I25)/$D49&gt;=0,SUM($E25:I25)/$D49,I95)</f>
        <v>0</v>
      </c>
      <c r="K71" s="103">
        <f>IF(J95-SUM($E25:J25)/$D49&gt;=0,SUM($E25:J25)/$D49,J95)</f>
        <v>0</v>
      </c>
      <c r="L71" s="103">
        <f>IF(K95-SUM($E25:K25)/$D49&gt;=0,SUM($E25:K25)/$D49,K95)</f>
        <v>0</v>
      </c>
      <c r="M71" s="103">
        <f>IF(L95-SUM($E25:L25)/$D49&gt;=0,SUM($E25:L25)/$D49,L95)</f>
        <v>0</v>
      </c>
      <c r="N71" s="103">
        <f>IF(M95-SUM($E25:M25)/$D49&gt;=0,SUM($E25:M25)/$D49,M95)</f>
        <v>0</v>
      </c>
      <c r="O71" s="103">
        <f>IF(N95-SUM($E25:N25)/$D49&gt;=0,SUM($E25:N25)/$D49,N95)</f>
        <v>0</v>
      </c>
      <c r="P71" s="103">
        <f>IF(O95-SUM($E25:O25)/$D49&gt;=0,SUM($E25:O25)/$D49,O95)</f>
        <v>0</v>
      </c>
      <c r="Q71" s="103">
        <f>IF(P95-SUM($E25:P25)/$D49&gt;=0,SUM($E25:P25)/$D49,P95)</f>
        <v>0</v>
      </c>
      <c r="R71" s="103">
        <f>IF(Q95-SUM($E25:Q25)/$D49&gt;=0,SUM($E25:Q25)/$D49,Q95)</f>
        <v>0</v>
      </c>
      <c r="S71" s="103">
        <f>IF(R95-SUM($E25:R25)/$D49&gt;=0,SUM($E25:R25)/$D49,R95)</f>
        <v>0</v>
      </c>
      <c r="T71" s="103">
        <f>IF(S95-SUM($E25:S25)/$D49&gt;=0,SUM($E25:S25)/$D49,S95)</f>
        <v>0</v>
      </c>
      <c r="U71" s="103">
        <f>IF(T95-SUM($E25:T25)/$D49&gt;=0,SUM($E25:T25)/$D49,T95)</f>
        <v>0</v>
      </c>
      <c r="V71" s="103">
        <f>IF(U95-SUM($E25:U25)/$D49&gt;=0,SUM($E25:U25)/$D49,U95)</f>
        <v>0</v>
      </c>
      <c r="W71" s="103">
        <f>IF(V95-SUM($E25:V25)/$D49&gt;=0,SUM($E25:V25)/$D49,V95)</f>
        <v>0</v>
      </c>
      <c r="X71" s="103">
        <f>IF(W95-SUM($E25:W25)/$D49&gt;=0,SUM($E25:W25)/$D49,W95)</f>
        <v>0</v>
      </c>
      <c r="Y71" s="103">
        <f>IF(X95-SUM($E25:X25)/$D49&gt;=0,SUM($E25:X25)/$D49,X95)</f>
        <v>0</v>
      </c>
      <c r="Z71" s="103">
        <f>IF(Y95-SUM($E25:Y25)/$D49&gt;=0,SUM($E25:Y25)/$D49,Y95)</f>
        <v>0</v>
      </c>
      <c r="AA71" s="103">
        <f>IF(Z95-SUM($E25:Z25)/$D49&gt;=0,SUM($E25:Z25)/$D49,Z95)</f>
        <v>0</v>
      </c>
      <c r="AB71" s="103">
        <f>IF(AA95-SUM($E25:AA25)/$D49&gt;=0,SUM($E25:AA25)/$D49,AA95)</f>
        <v>0</v>
      </c>
      <c r="AC71" s="103">
        <f>IF(AB95-SUM($E25:AB25)/$D49&gt;=0,SUM($E25:AB25)/$D49,AB95)</f>
        <v>0</v>
      </c>
      <c r="AD71" s="103">
        <f>IF(AC95-SUM($E25:AC25)/$D49&gt;=0,SUM($E25:AC25)/$D49,AC95)</f>
        <v>0</v>
      </c>
      <c r="AE71" s="103">
        <f>IF(AD95-SUM($E25:AD25)/$D49&gt;=0,SUM($E25:AD25)/$D49,AD95)</f>
        <v>0</v>
      </c>
      <c r="AF71" s="103">
        <f>IF(AE95-SUM($E25:AE25)/$D49&gt;=0,SUM($E25:AE25)/$D49,AE95)</f>
        <v>0</v>
      </c>
      <c r="AG71" s="116">
        <f t="shared" si="4"/>
        <v>0</v>
      </c>
    </row>
    <row r="72" spans="1:33" ht="19">
      <c r="A72" s="257"/>
      <c r="B72" s="258" t="s">
        <v>26</v>
      </c>
      <c r="C72" s="261" t="s">
        <v>71</v>
      </c>
      <c r="D72" s="267"/>
      <c r="E72" s="264">
        <f>SUM(E51:E71)</f>
        <v>0</v>
      </c>
      <c r="F72" s="264">
        <f t="shared" ref="F72:M72" si="6">SUM(F51:F71)</f>
        <v>3.5714285714285712E-2</v>
      </c>
      <c r="G72" s="264">
        <f>SUM(G51:G71)</f>
        <v>3.5714285714285712E-2</v>
      </c>
      <c r="H72" s="264">
        <f>SUM(H51:H71)</f>
        <v>3.5714285714285712E-2</v>
      </c>
      <c r="I72" s="264">
        <f t="shared" si="6"/>
        <v>3.5714285714285712E-2</v>
      </c>
      <c r="J72" s="264">
        <f t="shared" si="6"/>
        <v>3.5714285714285712E-2</v>
      </c>
      <c r="K72" s="264">
        <f t="shared" si="6"/>
        <v>3.5714285714285712E-2</v>
      </c>
      <c r="L72" s="264">
        <f t="shared" si="6"/>
        <v>3.5714285714285712E-2</v>
      </c>
      <c r="M72" s="264">
        <f t="shared" si="6"/>
        <v>3.5714285714285712E-2</v>
      </c>
      <c r="N72" s="264">
        <f t="shared" ref="N72:T72" si="7">SUM(N51:N71)</f>
        <v>3.5714285714285712E-2</v>
      </c>
      <c r="O72" s="264">
        <f t="shared" si="7"/>
        <v>3.5714285714285712E-2</v>
      </c>
      <c r="P72" s="264">
        <f t="shared" si="7"/>
        <v>3.5714285714285712E-2</v>
      </c>
      <c r="Q72" s="264">
        <f t="shared" si="7"/>
        <v>3.5714285714285712E-2</v>
      </c>
      <c r="R72" s="264">
        <f t="shared" si="7"/>
        <v>3.5714285714285712E-2</v>
      </c>
      <c r="S72" s="264">
        <f t="shared" si="7"/>
        <v>3.5714285714285712E-2</v>
      </c>
      <c r="T72" s="264">
        <f t="shared" si="7"/>
        <v>3.5714285714285712E-2</v>
      </c>
      <c r="U72" s="264">
        <f t="shared" ref="U72:AF72" si="8">SUM(U51:U71)</f>
        <v>3.5714285714285712E-2</v>
      </c>
      <c r="V72" s="264">
        <f t="shared" si="8"/>
        <v>3.5714285714285712E-2</v>
      </c>
      <c r="W72" s="264">
        <f t="shared" si="8"/>
        <v>3.5714285714285712E-2</v>
      </c>
      <c r="X72" s="264">
        <f t="shared" si="8"/>
        <v>3.5714285714285712E-2</v>
      </c>
      <c r="Y72" s="264">
        <f t="shared" si="8"/>
        <v>3.5714285714285712E-2</v>
      </c>
      <c r="Z72" s="264">
        <f t="shared" si="8"/>
        <v>3.5714285714285712E-2</v>
      </c>
      <c r="AA72" s="264">
        <f t="shared" si="8"/>
        <v>3.5714285714285712E-2</v>
      </c>
      <c r="AB72" s="264">
        <f t="shared" si="8"/>
        <v>3.5714285714285712E-2</v>
      </c>
      <c r="AC72" s="264">
        <f t="shared" si="8"/>
        <v>3.5714285714285712E-2</v>
      </c>
      <c r="AD72" s="264">
        <f t="shared" si="8"/>
        <v>3.5714285714285712E-2</v>
      </c>
      <c r="AE72" s="264">
        <f t="shared" si="8"/>
        <v>3.5714285714285712E-2</v>
      </c>
      <c r="AF72" s="264">
        <f t="shared" si="8"/>
        <v>3.5714285714285712E-2</v>
      </c>
      <c r="AG72" s="265">
        <f t="shared" ref="AG72" si="9">SUM(AG51:AG71)</f>
        <v>0.96428571428571397</v>
      </c>
    </row>
    <row r="73" spans="1:33">
      <c r="C73" s="103"/>
      <c r="D73" s="103"/>
      <c r="E73" s="103"/>
      <c r="F73" s="103"/>
      <c r="G73" s="103"/>
      <c r="H73" s="103"/>
      <c r="I73" s="103"/>
    </row>
    <row r="74" spans="1:33" ht="19">
      <c r="A74" s="258"/>
      <c r="B74" s="258" t="s">
        <v>20</v>
      </c>
      <c r="C74" s="258"/>
      <c r="D74" s="258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6"/>
    </row>
    <row r="75" spans="1:33">
      <c r="B75" s="90" t="str">
        <f>B51</f>
        <v>IN платформа</v>
      </c>
      <c r="C75" s="91" t="s">
        <v>67</v>
      </c>
      <c r="D75" s="109"/>
      <c r="E75" s="103">
        <f>SUM($E5:E5)-SUM($E51:E51)</f>
        <v>0</v>
      </c>
      <c r="F75" s="103">
        <f>SUM($E5:F5)-SUM($E51:F51)</f>
        <v>0</v>
      </c>
      <c r="G75" s="103">
        <f>SUM($E5:G5)-SUM($E51:G51)</f>
        <v>0</v>
      </c>
      <c r="H75" s="103">
        <f>SUM($E5:H5)-SUM($E51:H51)</f>
        <v>0</v>
      </c>
      <c r="I75" s="103">
        <f>SUM($E5:I5)-SUM($E51:I51)</f>
        <v>0</v>
      </c>
      <c r="J75" s="103">
        <f>SUM($E5:J5)-SUM($E51:J51)</f>
        <v>0</v>
      </c>
      <c r="K75" s="103">
        <f>SUM($E5:K5)-SUM($E51:K51)</f>
        <v>0</v>
      </c>
      <c r="L75" s="103">
        <f>SUM($E5:L5)-SUM($E51:L51)</f>
        <v>0</v>
      </c>
      <c r="M75" s="103">
        <f>SUM($E5:M5)-SUM($E51:M51)</f>
        <v>0</v>
      </c>
      <c r="N75" s="103">
        <f>SUM($E5:N5)-SUM($E51:N51)</f>
        <v>0</v>
      </c>
      <c r="O75" s="103">
        <f>SUM($E5:O5)-SUM($E51:O51)</f>
        <v>0</v>
      </c>
      <c r="P75" s="103">
        <f>SUM($E5:P5)-SUM($E51:P51)</f>
        <v>0</v>
      </c>
      <c r="Q75" s="103">
        <f>SUM($E5:Q5)-SUM($E51:Q51)</f>
        <v>0</v>
      </c>
      <c r="R75" s="103">
        <f>SUM($E5:R5)-SUM($E51:R51)</f>
        <v>0</v>
      </c>
      <c r="S75" s="103">
        <f>SUM($E5:S5)-SUM($E51:S51)</f>
        <v>0</v>
      </c>
      <c r="T75" s="103">
        <f>SUM($E5:T5)-SUM($E51:T51)</f>
        <v>0</v>
      </c>
      <c r="U75" s="103">
        <f>SUM($E5:U5)-SUM($E51:U51)</f>
        <v>0</v>
      </c>
      <c r="V75" s="103">
        <f>SUM($E5:V5)-SUM($E51:V51)</f>
        <v>0</v>
      </c>
      <c r="W75" s="103">
        <f>SUM($E5:W5)-SUM($E51:W51)</f>
        <v>0</v>
      </c>
      <c r="X75" s="103">
        <f>SUM($E5:X5)-SUM($E51:X51)</f>
        <v>0</v>
      </c>
      <c r="Y75" s="103">
        <f>SUM($E5:Y5)-SUM($E51:Y51)</f>
        <v>0</v>
      </c>
      <c r="Z75" s="103">
        <f>SUM($E5:Z5)-SUM($E51:Z51)</f>
        <v>0</v>
      </c>
      <c r="AA75" s="103">
        <f>SUM($E5:AA5)-SUM($E51:AA51)</f>
        <v>0</v>
      </c>
      <c r="AB75" s="103">
        <f>SUM($E5:AB5)-SUM($E51:AB51)</f>
        <v>0</v>
      </c>
      <c r="AC75" s="103">
        <f>SUM($E5:AC5)-SUM($E51:AC51)</f>
        <v>0</v>
      </c>
      <c r="AD75" s="103">
        <f>SUM($E5:AD5)-SUM($E51:AD51)</f>
        <v>0</v>
      </c>
      <c r="AE75" s="103">
        <f>SUM($E5:AE5)-SUM($E51:AE51)</f>
        <v>0</v>
      </c>
      <c r="AF75" s="103">
        <f>SUM($E5:AF5)-SUM($E51:AF51)</f>
        <v>0</v>
      </c>
      <c r="AG75" s="116">
        <f t="shared" ref="AG75:AG95" si="10">SUM(E75:AF75)</f>
        <v>0</v>
      </c>
    </row>
    <row r="76" spans="1:33" ht="12.75" customHeight="1">
      <c r="B76" s="90" t="str">
        <f t="shared" ref="B76:B95" si="11">B52</f>
        <v>Административная инфраструктура</v>
      </c>
      <c r="C76" s="91" t="s">
        <v>67</v>
      </c>
      <c r="D76" s="110"/>
      <c r="E76" s="103">
        <f>SUM($E6:E6)-SUM($E52:E52)</f>
        <v>0</v>
      </c>
      <c r="F76" s="103">
        <f>SUM($E6:F6)-SUM($E52:F52)</f>
        <v>0</v>
      </c>
      <c r="G76" s="103">
        <f>SUM($E6:G6)-SUM($E52:G52)</f>
        <v>0</v>
      </c>
      <c r="H76" s="103">
        <f>SUM($E6:H6)-SUM($E52:H52)</f>
        <v>0</v>
      </c>
      <c r="I76" s="103">
        <f>SUM($E6:I6)-SUM($E52:I52)</f>
        <v>0</v>
      </c>
      <c r="J76" s="103">
        <f>SUM($E6:J6)-SUM($E52:J52)</f>
        <v>0</v>
      </c>
      <c r="K76" s="103">
        <f>SUM($E6:K6)-SUM($E52:K52)</f>
        <v>0</v>
      </c>
      <c r="L76" s="103">
        <f>SUM($E6:L6)-SUM($E52:L52)</f>
        <v>0</v>
      </c>
      <c r="M76" s="103">
        <f>SUM($E6:M6)-SUM($E52:M52)</f>
        <v>0</v>
      </c>
      <c r="N76" s="103">
        <f>SUM($E6:N6)-SUM($E52:N52)</f>
        <v>0</v>
      </c>
      <c r="O76" s="103">
        <f>SUM($E6:O6)-SUM($E52:O52)</f>
        <v>0</v>
      </c>
      <c r="P76" s="103">
        <f>SUM($E6:P6)-SUM($E52:P52)</f>
        <v>0</v>
      </c>
      <c r="Q76" s="103">
        <f>SUM($E6:Q6)-SUM($E52:Q52)</f>
        <v>0</v>
      </c>
      <c r="R76" s="103">
        <f>SUM($E6:R6)-SUM($E52:R52)</f>
        <v>0</v>
      </c>
      <c r="S76" s="103">
        <f>SUM($E6:S6)-SUM($E52:S52)</f>
        <v>0</v>
      </c>
      <c r="T76" s="103">
        <f>SUM($E6:T6)-SUM($E52:T52)</f>
        <v>0</v>
      </c>
      <c r="U76" s="103">
        <f>SUM($E6:U6)-SUM($E52:U52)</f>
        <v>0</v>
      </c>
      <c r="V76" s="103">
        <f>SUM($E6:V6)-SUM($E52:V52)</f>
        <v>0</v>
      </c>
      <c r="W76" s="103">
        <f>SUM($E6:W6)-SUM($E52:W52)</f>
        <v>0</v>
      </c>
      <c r="X76" s="103">
        <f>SUM($E6:X6)-SUM($E52:X52)</f>
        <v>0</v>
      </c>
      <c r="Y76" s="103">
        <f>SUM($E6:Y6)-SUM($E52:Y52)</f>
        <v>0</v>
      </c>
      <c r="Z76" s="103">
        <f>SUM($E6:Z6)-SUM($E52:Z52)</f>
        <v>0</v>
      </c>
      <c r="AA76" s="103">
        <f>SUM($E6:AA6)-SUM($E52:AA52)</f>
        <v>0</v>
      </c>
      <c r="AB76" s="103">
        <f>SUM($E6:AB6)-SUM($E52:AB52)</f>
        <v>0</v>
      </c>
      <c r="AC76" s="103">
        <f>SUM($E6:AC6)-SUM($E52:AC52)</f>
        <v>0</v>
      </c>
      <c r="AD76" s="103">
        <f>SUM($E6:AD6)-SUM($E52:AD52)</f>
        <v>0</v>
      </c>
      <c r="AE76" s="103">
        <f>SUM($E6:AE6)-SUM($E52:AE52)</f>
        <v>0</v>
      </c>
      <c r="AF76" s="103">
        <f>SUM($E6:AF6)-SUM($E52:AF52)</f>
        <v>0</v>
      </c>
      <c r="AG76" s="116">
        <f t="shared" si="10"/>
        <v>0</v>
      </c>
    </row>
    <row r="77" spans="1:33">
      <c r="B77" s="90" t="str">
        <f t="shared" si="11"/>
        <v>Биллинговая система</v>
      </c>
      <c r="C77" s="91" t="s">
        <v>67</v>
      </c>
      <c r="D77" s="110"/>
      <c r="E77" s="103">
        <f>SUM($E7:E7)-SUM($E53:E53)</f>
        <v>0</v>
      </c>
      <c r="F77" s="103">
        <f>SUM($E7:F7)-SUM($E53:F53)</f>
        <v>0</v>
      </c>
      <c r="G77" s="103">
        <f>SUM($E7:G7)-SUM($E53:G53)</f>
        <v>0</v>
      </c>
      <c r="H77" s="103">
        <f>SUM($E7:H7)-SUM($E53:H53)</f>
        <v>0</v>
      </c>
      <c r="I77" s="103">
        <f>SUM($E7:I7)-SUM($E53:I53)</f>
        <v>0</v>
      </c>
      <c r="J77" s="103">
        <f>SUM($E7:J7)-SUM($E53:J53)</f>
        <v>0</v>
      </c>
      <c r="K77" s="103">
        <f>SUM($E7:K7)-SUM($E53:K53)</f>
        <v>0</v>
      </c>
      <c r="L77" s="103">
        <f>SUM($E7:L7)-SUM($E53:L53)</f>
        <v>0</v>
      </c>
      <c r="M77" s="103">
        <f>SUM($E7:M7)-SUM($E53:M53)</f>
        <v>0</v>
      </c>
      <c r="N77" s="103">
        <f>SUM($E7:N7)-SUM($E53:N53)</f>
        <v>0</v>
      </c>
      <c r="O77" s="103">
        <f>SUM($E7:O7)-SUM($E53:O53)</f>
        <v>0</v>
      </c>
      <c r="P77" s="103">
        <f>SUM($E7:P7)-SUM($E53:P53)</f>
        <v>0</v>
      </c>
      <c r="Q77" s="103">
        <f>SUM($E7:Q7)-SUM($E53:Q53)</f>
        <v>0</v>
      </c>
      <c r="R77" s="103">
        <f>SUM($E7:R7)-SUM($E53:R53)</f>
        <v>0</v>
      </c>
      <c r="S77" s="103">
        <f>SUM($E7:S7)-SUM($E53:S53)</f>
        <v>0</v>
      </c>
      <c r="T77" s="103">
        <f>SUM($E7:T7)-SUM($E53:T53)</f>
        <v>0</v>
      </c>
      <c r="U77" s="103">
        <f>SUM($E7:U7)-SUM($E53:U53)</f>
        <v>0</v>
      </c>
      <c r="V77" s="103">
        <f>SUM($E7:V7)-SUM($E53:V53)</f>
        <v>0</v>
      </c>
      <c r="W77" s="103">
        <f>SUM($E7:W7)-SUM($E53:W53)</f>
        <v>0</v>
      </c>
      <c r="X77" s="103">
        <f>SUM($E7:X7)-SUM($E53:X53)</f>
        <v>0</v>
      </c>
      <c r="Y77" s="103">
        <f>SUM($E7:Y7)-SUM($E53:Y53)</f>
        <v>0</v>
      </c>
      <c r="Z77" s="103">
        <f>SUM($E7:Z7)-SUM($E53:Z53)</f>
        <v>0</v>
      </c>
      <c r="AA77" s="103">
        <f>SUM($E7:AA7)-SUM($E53:AA53)</f>
        <v>0</v>
      </c>
      <c r="AB77" s="103">
        <f>SUM($E7:AB7)-SUM($E53:AB53)</f>
        <v>0</v>
      </c>
      <c r="AC77" s="103">
        <f>SUM($E7:AC7)-SUM($E53:AC53)</f>
        <v>0</v>
      </c>
      <c r="AD77" s="103">
        <f>SUM($E7:AD7)-SUM($E53:AD53)</f>
        <v>0</v>
      </c>
      <c r="AE77" s="103">
        <f>SUM($E7:AE7)-SUM($E53:AE53)</f>
        <v>0</v>
      </c>
      <c r="AF77" s="103">
        <f>SUM($E7:AF7)-SUM($E53:AF53)</f>
        <v>0</v>
      </c>
      <c r="AG77" s="116">
        <f t="shared" si="10"/>
        <v>0</v>
      </c>
    </row>
    <row r="78" spans="1:33">
      <c r="B78" s="90" t="str">
        <f t="shared" si="11"/>
        <v>Внедрение функциональной ИТ системы</v>
      </c>
      <c r="C78" s="91" t="s">
        <v>67</v>
      </c>
      <c r="D78" s="110"/>
      <c r="E78" s="103">
        <f>SUM($E8:E8)-SUM($E54:E54)</f>
        <v>0</v>
      </c>
      <c r="F78" s="103">
        <f>SUM($E8:F8)-SUM($E54:F54)</f>
        <v>0</v>
      </c>
      <c r="G78" s="103">
        <f>SUM($E8:G8)-SUM($E54:G54)</f>
        <v>0</v>
      </c>
      <c r="H78" s="103">
        <f>SUM($E8:H8)-SUM($E54:H54)</f>
        <v>0</v>
      </c>
      <c r="I78" s="103">
        <f>SUM($E8:I8)-SUM($E54:I54)</f>
        <v>0</v>
      </c>
      <c r="J78" s="103">
        <f>SUM($E8:J8)-SUM($E54:J54)</f>
        <v>0</v>
      </c>
      <c r="K78" s="103">
        <f>SUM($E8:K8)-SUM($E54:K54)</f>
        <v>0</v>
      </c>
      <c r="L78" s="103">
        <f>SUM($E8:L8)-SUM($E54:L54)</f>
        <v>0</v>
      </c>
      <c r="M78" s="103">
        <f>SUM($E8:M8)-SUM($E54:M54)</f>
        <v>0</v>
      </c>
      <c r="N78" s="103">
        <f>SUM($E8:N8)-SUM($E54:N54)</f>
        <v>0</v>
      </c>
      <c r="O78" s="103">
        <f>SUM($E8:O8)-SUM($E54:O54)</f>
        <v>0</v>
      </c>
      <c r="P78" s="103">
        <f>SUM($E8:P8)-SUM($E54:P54)</f>
        <v>0</v>
      </c>
      <c r="Q78" s="103">
        <f>SUM($E8:Q8)-SUM($E54:Q54)</f>
        <v>0</v>
      </c>
      <c r="R78" s="103">
        <f>SUM($E8:R8)-SUM($E54:R54)</f>
        <v>0</v>
      </c>
      <c r="S78" s="103">
        <f>SUM($E8:S8)-SUM($E54:S54)</f>
        <v>0</v>
      </c>
      <c r="T78" s="103">
        <f>SUM($E8:T8)-SUM($E54:T54)</f>
        <v>0</v>
      </c>
      <c r="U78" s="103">
        <f>SUM($E8:U8)-SUM($E54:U54)</f>
        <v>0</v>
      </c>
      <c r="V78" s="103">
        <f>SUM($E8:V8)-SUM($E54:V54)</f>
        <v>0</v>
      </c>
      <c r="W78" s="103">
        <f>SUM($E8:W8)-SUM($E54:W54)</f>
        <v>0</v>
      </c>
      <c r="X78" s="103">
        <f>SUM($E8:X8)-SUM($E54:X54)</f>
        <v>0</v>
      </c>
      <c r="Y78" s="103">
        <f>SUM($E8:Y8)-SUM($E54:Y54)</f>
        <v>0</v>
      </c>
      <c r="Z78" s="103">
        <f>SUM($E8:Z8)-SUM($E54:Z54)</f>
        <v>0</v>
      </c>
      <c r="AA78" s="103">
        <f>SUM($E8:AA8)-SUM($E54:AA54)</f>
        <v>0</v>
      </c>
      <c r="AB78" s="103">
        <f>SUM($E8:AB8)-SUM($E54:AB54)</f>
        <v>0</v>
      </c>
      <c r="AC78" s="103">
        <f>SUM($E8:AC8)-SUM($E54:AC54)</f>
        <v>0</v>
      </c>
      <c r="AD78" s="103">
        <f>SUM($E8:AD8)-SUM($E54:AD54)</f>
        <v>0</v>
      </c>
      <c r="AE78" s="103">
        <f>SUM($E8:AE8)-SUM($E54:AE54)</f>
        <v>0</v>
      </c>
      <c r="AF78" s="103">
        <f>SUM($E8:AF8)-SUM($E54:AF54)</f>
        <v>0</v>
      </c>
      <c r="AG78" s="116">
        <f t="shared" si="10"/>
        <v>0</v>
      </c>
    </row>
    <row r="79" spans="1:33">
      <c r="B79" s="90" t="str">
        <f t="shared" si="11"/>
        <v>Закупка офисного оборудования и вычислительной техники</v>
      </c>
      <c r="C79" s="91" t="s">
        <v>67</v>
      </c>
      <c r="D79" s="110"/>
      <c r="E79" s="103">
        <f>SUM($E9:E9)-SUM($E55:E55)</f>
        <v>1</v>
      </c>
      <c r="F79" s="103">
        <f>SUM($E9:F9)-SUM($E55:F55)</f>
        <v>0.9642857142857143</v>
      </c>
      <c r="G79" s="103">
        <f>SUM($E9:G9)-SUM($E55:G55)</f>
        <v>0.9285714285714286</v>
      </c>
      <c r="H79" s="103">
        <f>SUM($E9:H9)-SUM($E55:H55)</f>
        <v>0.8928571428571429</v>
      </c>
      <c r="I79" s="103">
        <f>SUM($E9:I9)-SUM($E55:I55)</f>
        <v>0.85714285714285721</v>
      </c>
      <c r="J79" s="103">
        <f>SUM($E9:J9)-SUM($E55:J55)</f>
        <v>0.8214285714285714</v>
      </c>
      <c r="K79" s="103">
        <f>SUM($E9:K9)-SUM($E55:K55)</f>
        <v>0.78571428571428581</v>
      </c>
      <c r="L79" s="103">
        <f>SUM($E9:L9)-SUM($E55:L55)</f>
        <v>0.75</v>
      </c>
      <c r="M79" s="103">
        <f>SUM($E9:M9)-SUM($E55:M55)</f>
        <v>0.71428571428571441</v>
      </c>
      <c r="N79" s="103">
        <f>SUM($E9:N9)-SUM($E55:N55)</f>
        <v>0.6785714285714286</v>
      </c>
      <c r="O79" s="103">
        <f>SUM($E9:O9)-SUM($E55:O55)</f>
        <v>0.64285714285714302</v>
      </c>
      <c r="P79" s="103">
        <f>SUM($E9:P9)-SUM($E55:P55)</f>
        <v>0.60714285714285721</v>
      </c>
      <c r="Q79" s="103">
        <f>SUM($E9:Q9)-SUM($E55:Q55)</f>
        <v>0.57142857142857162</v>
      </c>
      <c r="R79" s="103">
        <f>SUM($E9:R9)-SUM($E55:R55)</f>
        <v>0.53571428571428581</v>
      </c>
      <c r="S79" s="103">
        <f>SUM($E9:S9)-SUM($E55:S55)</f>
        <v>0.50000000000000022</v>
      </c>
      <c r="T79" s="103">
        <f>SUM($E9:T9)-SUM($E55:T55)</f>
        <v>0.46428571428571441</v>
      </c>
      <c r="U79" s="103">
        <f>SUM($E9:U9)-SUM($E55:U55)</f>
        <v>0.42857142857142871</v>
      </c>
      <c r="V79" s="103">
        <f>SUM($E9:V9)-SUM($E55:V55)</f>
        <v>0.39285714285714302</v>
      </c>
      <c r="W79" s="103">
        <f>SUM($E9:W9)-SUM($E55:W55)</f>
        <v>0.35714285714285732</v>
      </c>
      <c r="X79" s="103">
        <f>SUM($E9:X9)-SUM($E55:X55)</f>
        <v>0.32142857142857162</v>
      </c>
      <c r="Y79" s="103">
        <f>SUM($E9:Y9)-SUM($E55:Y55)</f>
        <v>0.28571428571428592</v>
      </c>
      <c r="Z79" s="103">
        <f>SUM($E9:Z9)-SUM($E55:Z55)</f>
        <v>0.25000000000000022</v>
      </c>
      <c r="AA79" s="103">
        <f>SUM($E9:AA9)-SUM($E55:AA55)</f>
        <v>0.21428571428571452</v>
      </c>
      <c r="AB79" s="103">
        <f>SUM($E9:AB9)-SUM($E55:AB55)</f>
        <v>0.17857142857142883</v>
      </c>
      <c r="AC79" s="103">
        <f>SUM($E9:AC9)-SUM($E55:AC55)</f>
        <v>0.14285714285714313</v>
      </c>
      <c r="AD79" s="103">
        <f>SUM($E9:AD9)-SUM($E55:AD55)</f>
        <v>0.10714285714285743</v>
      </c>
      <c r="AE79" s="103">
        <f>SUM($E9:AE9)-SUM($E55:AE55)</f>
        <v>7.142857142857173E-2</v>
      </c>
      <c r="AF79" s="103">
        <f>SUM($E9:AF9)-SUM($E55:AF55)</f>
        <v>3.5714285714286031E-2</v>
      </c>
      <c r="AG79" s="116">
        <f t="shared" si="10"/>
        <v>14.500000000000004</v>
      </c>
    </row>
    <row r="80" spans="1:33">
      <c r="B80" s="90" t="str">
        <f t="shared" si="11"/>
        <v>Коммутационная подсистема</v>
      </c>
      <c r="C80" s="91" t="s">
        <v>67</v>
      </c>
      <c r="D80" s="110"/>
      <c r="E80" s="103">
        <f>SUM($E10:E10)-SUM($E56:E56)</f>
        <v>0</v>
      </c>
      <c r="F80" s="103">
        <f>SUM($E10:F10)-SUM($E56:F56)</f>
        <v>0</v>
      </c>
      <c r="G80" s="103">
        <f>SUM($E10:G10)-SUM($E56:G56)</f>
        <v>0</v>
      </c>
      <c r="H80" s="103">
        <f>SUM($E10:H10)-SUM($E56:H56)</f>
        <v>0</v>
      </c>
      <c r="I80" s="103">
        <f>SUM($E10:I10)-SUM($E56:I56)</f>
        <v>0</v>
      </c>
      <c r="J80" s="103">
        <f>SUM($E10:J10)-SUM($E56:J56)</f>
        <v>0</v>
      </c>
      <c r="K80" s="103">
        <f>SUM($E10:K10)-SUM($E56:K56)</f>
        <v>0</v>
      </c>
      <c r="L80" s="103">
        <f>SUM($E10:L10)-SUM($E56:L56)</f>
        <v>0</v>
      </c>
      <c r="M80" s="103">
        <f>SUM($E10:M10)-SUM($E56:M56)</f>
        <v>0</v>
      </c>
      <c r="N80" s="103">
        <f>SUM($E10:N10)-SUM($E56:N56)</f>
        <v>0</v>
      </c>
      <c r="O80" s="103">
        <f>SUM($E10:O10)-SUM($E56:O56)</f>
        <v>0</v>
      </c>
      <c r="P80" s="103">
        <f>SUM($E10:P10)-SUM($E56:P56)</f>
        <v>0</v>
      </c>
      <c r="Q80" s="103">
        <f>SUM($E10:Q10)-SUM($E56:Q56)</f>
        <v>0</v>
      </c>
      <c r="R80" s="103">
        <f>SUM($E10:R10)-SUM($E56:R56)</f>
        <v>0</v>
      </c>
      <c r="S80" s="103">
        <f>SUM($E10:S10)-SUM($E56:S56)</f>
        <v>0</v>
      </c>
      <c r="T80" s="103">
        <f>SUM($E10:T10)-SUM($E56:T56)</f>
        <v>0</v>
      </c>
      <c r="U80" s="103">
        <f>SUM($E10:U10)-SUM($E56:U56)</f>
        <v>0</v>
      </c>
      <c r="V80" s="103">
        <f>SUM($E10:V10)-SUM($E56:V56)</f>
        <v>0</v>
      </c>
      <c r="W80" s="103">
        <f>SUM($E10:W10)-SUM($E56:W56)</f>
        <v>0</v>
      </c>
      <c r="X80" s="103">
        <f>SUM($E10:X10)-SUM($E56:X56)</f>
        <v>0</v>
      </c>
      <c r="Y80" s="103">
        <f>SUM($E10:Y10)-SUM($E56:Y56)</f>
        <v>0</v>
      </c>
      <c r="Z80" s="103">
        <f>SUM($E10:Z10)-SUM($E56:Z56)</f>
        <v>0</v>
      </c>
      <c r="AA80" s="103">
        <f>SUM($E10:AA10)-SUM($E56:AA56)</f>
        <v>0</v>
      </c>
      <c r="AB80" s="103">
        <f>SUM($E10:AB10)-SUM($E56:AB56)</f>
        <v>0</v>
      </c>
      <c r="AC80" s="103">
        <f>SUM($E10:AC10)-SUM($E56:AC56)</f>
        <v>0</v>
      </c>
      <c r="AD80" s="103">
        <f>SUM($E10:AD10)-SUM($E56:AD56)</f>
        <v>0</v>
      </c>
      <c r="AE80" s="103">
        <f>SUM($E10:AE10)-SUM($E56:AE56)</f>
        <v>0</v>
      </c>
      <c r="AF80" s="103">
        <f>SUM($E10:AF10)-SUM($E56:AF56)</f>
        <v>0</v>
      </c>
      <c r="AG80" s="116">
        <f t="shared" si="10"/>
        <v>0</v>
      </c>
    </row>
    <row r="81" spans="1:33">
      <c r="B81" s="90" t="str">
        <f t="shared" si="11"/>
        <v>Корпоративная сеть</v>
      </c>
      <c r="C81" s="91" t="s">
        <v>67</v>
      </c>
      <c r="D81" s="110"/>
      <c r="E81" s="103">
        <f>SUM($E11:E11)-SUM($E57:E57)</f>
        <v>0</v>
      </c>
      <c r="F81" s="103">
        <f>SUM($E11:F11)-SUM($E57:F57)</f>
        <v>0</v>
      </c>
      <c r="G81" s="103">
        <f>SUM($E11:G11)-SUM($E57:G57)</f>
        <v>0</v>
      </c>
      <c r="H81" s="103">
        <f>SUM($E11:H11)-SUM($E57:H57)</f>
        <v>0</v>
      </c>
      <c r="I81" s="103">
        <f>SUM($E11:I11)-SUM($E57:I57)</f>
        <v>0</v>
      </c>
      <c r="J81" s="103">
        <f>SUM($E11:J11)-SUM($E57:J57)</f>
        <v>0</v>
      </c>
      <c r="K81" s="103">
        <f>SUM($E11:K11)-SUM($E57:K57)</f>
        <v>0</v>
      </c>
      <c r="L81" s="103">
        <f>SUM($E11:L11)-SUM($E57:L57)</f>
        <v>0</v>
      </c>
      <c r="M81" s="103">
        <f>SUM($E11:M11)-SUM($E57:M57)</f>
        <v>0</v>
      </c>
      <c r="N81" s="103">
        <f>SUM($E11:N11)-SUM($E57:N57)</f>
        <v>0</v>
      </c>
      <c r="O81" s="103">
        <f>SUM($E11:O11)-SUM($E57:O57)</f>
        <v>0</v>
      </c>
      <c r="P81" s="103">
        <f>SUM($E11:P11)-SUM($E57:P57)</f>
        <v>0</v>
      </c>
      <c r="Q81" s="103">
        <f>SUM($E11:Q11)-SUM($E57:Q57)</f>
        <v>0</v>
      </c>
      <c r="R81" s="103">
        <f>SUM($E11:R11)-SUM($E57:R57)</f>
        <v>0</v>
      </c>
      <c r="S81" s="103">
        <f>SUM($E11:S11)-SUM($E57:S57)</f>
        <v>0</v>
      </c>
      <c r="T81" s="103">
        <f>SUM($E11:T11)-SUM($E57:T57)</f>
        <v>0</v>
      </c>
      <c r="U81" s="103">
        <f>SUM($E11:U11)-SUM($E57:U57)</f>
        <v>0</v>
      </c>
      <c r="V81" s="103">
        <f>SUM($E11:V11)-SUM($E57:V57)</f>
        <v>0</v>
      </c>
      <c r="W81" s="103">
        <f>SUM($E11:W11)-SUM($E57:W57)</f>
        <v>0</v>
      </c>
      <c r="X81" s="103">
        <f>SUM($E11:X11)-SUM($E57:X57)</f>
        <v>0</v>
      </c>
      <c r="Y81" s="103">
        <f>SUM($E11:Y11)-SUM($E57:Y57)</f>
        <v>0</v>
      </c>
      <c r="Z81" s="103">
        <f>SUM($E11:Z11)-SUM($E57:Z57)</f>
        <v>0</v>
      </c>
      <c r="AA81" s="103">
        <f>SUM($E11:AA11)-SUM($E57:AA57)</f>
        <v>0</v>
      </c>
      <c r="AB81" s="103">
        <f>SUM($E11:AB11)-SUM($E57:AB57)</f>
        <v>0</v>
      </c>
      <c r="AC81" s="103">
        <f>SUM($E11:AC11)-SUM($E57:AC57)</f>
        <v>0</v>
      </c>
      <c r="AD81" s="103">
        <f>SUM($E11:AD11)-SUM($E57:AD57)</f>
        <v>0</v>
      </c>
      <c r="AE81" s="103">
        <f>SUM($E11:AE11)-SUM($E57:AE57)</f>
        <v>0</v>
      </c>
      <c r="AF81" s="103">
        <f>SUM($E11:AF11)-SUM($E57:AF57)</f>
        <v>0</v>
      </c>
      <c r="AG81" s="116">
        <f t="shared" si="10"/>
        <v>0</v>
      </c>
    </row>
    <row r="82" spans="1:33">
      <c r="B82" s="90" t="str">
        <f t="shared" si="11"/>
        <v>Лицензии на услуги и РЧ</v>
      </c>
      <c r="C82" s="91" t="s">
        <v>67</v>
      </c>
      <c r="D82" s="110"/>
      <c r="E82" s="103">
        <f>SUM($E12:E12)-SUM($E58:E58)</f>
        <v>0</v>
      </c>
      <c r="F82" s="103">
        <f>SUM($E12:F12)-SUM($E58:F58)</f>
        <v>0</v>
      </c>
      <c r="G82" s="103">
        <f>SUM($E12:G12)-SUM($E58:G58)</f>
        <v>0</v>
      </c>
      <c r="H82" s="103">
        <f>SUM($E12:H12)-SUM($E58:H58)</f>
        <v>0</v>
      </c>
      <c r="I82" s="103">
        <f>SUM($E12:I12)-SUM($E58:I58)</f>
        <v>0</v>
      </c>
      <c r="J82" s="103">
        <f>SUM($E12:J12)-SUM($E58:J58)</f>
        <v>0</v>
      </c>
      <c r="K82" s="103">
        <f>SUM($E12:K12)-SUM($E58:K58)</f>
        <v>0</v>
      </c>
      <c r="L82" s="103">
        <f>SUM($E12:L12)-SUM($E58:L58)</f>
        <v>0</v>
      </c>
      <c r="M82" s="103">
        <f>SUM($E12:M12)-SUM($E58:M58)</f>
        <v>0</v>
      </c>
      <c r="N82" s="103">
        <f>SUM($E12:N12)-SUM($E58:N58)</f>
        <v>0</v>
      </c>
      <c r="O82" s="103">
        <f>SUM($E12:O12)-SUM($E58:O58)</f>
        <v>0</v>
      </c>
      <c r="P82" s="103">
        <f>SUM($E12:P12)-SUM($E58:P58)</f>
        <v>0</v>
      </c>
      <c r="Q82" s="103">
        <f>SUM($E12:Q12)-SUM($E58:Q58)</f>
        <v>0</v>
      </c>
      <c r="R82" s="103">
        <f>SUM($E12:R12)-SUM($E58:R58)</f>
        <v>0</v>
      </c>
      <c r="S82" s="103">
        <f>SUM($E12:S12)-SUM($E58:S58)</f>
        <v>0</v>
      </c>
      <c r="T82" s="103">
        <f>SUM($E12:T12)-SUM($E58:T58)</f>
        <v>0</v>
      </c>
      <c r="U82" s="103">
        <f>SUM($E12:U12)-SUM($E58:U58)</f>
        <v>0</v>
      </c>
      <c r="V82" s="103">
        <f>SUM($E12:V12)-SUM($E58:V58)</f>
        <v>0</v>
      </c>
      <c r="W82" s="103">
        <f>SUM($E12:W12)-SUM($E58:W58)</f>
        <v>0</v>
      </c>
      <c r="X82" s="103">
        <f>SUM($E12:X12)-SUM($E58:X58)</f>
        <v>0</v>
      </c>
      <c r="Y82" s="103">
        <f>SUM($E12:Y12)-SUM($E58:Y58)</f>
        <v>0</v>
      </c>
      <c r="Z82" s="103">
        <f>SUM($E12:Z12)-SUM($E58:Z58)</f>
        <v>0</v>
      </c>
      <c r="AA82" s="103">
        <f>SUM($E12:AA12)-SUM($E58:AA58)</f>
        <v>0</v>
      </c>
      <c r="AB82" s="103">
        <f>SUM($E12:AB12)-SUM($E58:AB58)</f>
        <v>0</v>
      </c>
      <c r="AC82" s="103">
        <f>SUM($E12:AC12)-SUM($E58:AC58)</f>
        <v>0</v>
      </c>
      <c r="AD82" s="103">
        <f>SUM($E12:AD12)-SUM($E58:AD58)</f>
        <v>0</v>
      </c>
      <c r="AE82" s="103">
        <f>SUM($E12:AE12)-SUM($E58:AE58)</f>
        <v>0</v>
      </c>
      <c r="AF82" s="103">
        <f>SUM($E12:AF12)-SUM($E58:AF58)</f>
        <v>0</v>
      </c>
      <c r="AG82" s="116">
        <f t="shared" si="10"/>
        <v>0</v>
      </c>
    </row>
    <row r="83" spans="1:33">
      <c r="B83" s="90" t="str">
        <f t="shared" si="11"/>
        <v>Лицензии на ПО</v>
      </c>
      <c r="C83" s="91" t="s">
        <v>67</v>
      </c>
      <c r="D83" s="110"/>
      <c r="E83" s="103">
        <f>SUM($E13:E13)-SUM($E59:E59)</f>
        <v>0</v>
      </c>
      <c r="F83" s="103">
        <f>SUM($E13:F13)-SUM($E59:F59)</f>
        <v>0</v>
      </c>
      <c r="G83" s="103">
        <f>SUM($E13:G13)-SUM($E59:G59)</f>
        <v>0</v>
      </c>
      <c r="H83" s="103">
        <f>SUM($E13:H13)-SUM($E59:H59)</f>
        <v>0</v>
      </c>
      <c r="I83" s="103">
        <f>SUM($E13:I13)-SUM($E59:I59)</f>
        <v>0</v>
      </c>
      <c r="J83" s="103">
        <f>SUM($E13:J13)-SUM($E59:J59)</f>
        <v>0</v>
      </c>
      <c r="K83" s="103">
        <f>SUM($E13:K13)-SUM($E59:K59)</f>
        <v>0</v>
      </c>
      <c r="L83" s="103">
        <f>SUM($E13:L13)-SUM($E59:L59)</f>
        <v>0</v>
      </c>
      <c r="M83" s="103">
        <f>SUM($E13:M13)-SUM($E59:M59)</f>
        <v>0</v>
      </c>
      <c r="N83" s="103">
        <f>SUM($E13:N13)-SUM($E59:N59)</f>
        <v>0</v>
      </c>
      <c r="O83" s="103">
        <f>SUM($E13:O13)-SUM($E59:O59)</f>
        <v>0</v>
      </c>
      <c r="P83" s="103">
        <f>SUM($E13:P13)-SUM($E59:P59)</f>
        <v>0</v>
      </c>
      <c r="Q83" s="103">
        <f>SUM($E13:Q13)-SUM($E59:Q59)</f>
        <v>0</v>
      </c>
      <c r="R83" s="103">
        <f>SUM($E13:R13)-SUM($E59:R59)</f>
        <v>0</v>
      </c>
      <c r="S83" s="103">
        <f>SUM($E13:S13)-SUM($E59:S59)</f>
        <v>0</v>
      </c>
      <c r="T83" s="103">
        <f>SUM($E13:T13)-SUM($E59:T59)</f>
        <v>0</v>
      </c>
      <c r="U83" s="103">
        <f>SUM($E13:U13)-SUM($E59:U59)</f>
        <v>0</v>
      </c>
      <c r="V83" s="103">
        <f>SUM($E13:V13)-SUM($E59:V59)</f>
        <v>0</v>
      </c>
      <c r="W83" s="103">
        <f>SUM($E13:W13)-SUM($E59:W59)</f>
        <v>0</v>
      </c>
      <c r="X83" s="103">
        <f>SUM($E13:X13)-SUM($E59:X59)</f>
        <v>0</v>
      </c>
      <c r="Y83" s="103">
        <f>SUM($E13:Y13)-SUM($E59:Y59)</f>
        <v>0</v>
      </c>
      <c r="Z83" s="103">
        <f>SUM($E13:Z13)-SUM($E59:Z59)</f>
        <v>0</v>
      </c>
      <c r="AA83" s="103">
        <f>SUM($E13:AA13)-SUM($E59:AA59)</f>
        <v>0</v>
      </c>
      <c r="AB83" s="103">
        <f>SUM($E13:AB13)-SUM($E59:AB59)</f>
        <v>0</v>
      </c>
      <c r="AC83" s="103">
        <f>SUM($E13:AC13)-SUM($E59:AC59)</f>
        <v>0</v>
      </c>
      <c r="AD83" s="103">
        <f>SUM($E13:AD13)-SUM($E59:AD59)</f>
        <v>0</v>
      </c>
      <c r="AE83" s="103">
        <f>SUM($E13:AE13)-SUM($E59:AE59)</f>
        <v>0</v>
      </c>
      <c r="AF83" s="103">
        <f>SUM($E13:AF13)-SUM($E59:AF59)</f>
        <v>0</v>
      </c>
      <c r="AG83" s="116">
        <f t="shared" si="10"/>
        <v>0</v>
      </c>
    </row>
    <row r="84" spans="1:33">
      <c r="B84" s="90" t="str">
        <f t="shared" si="11"/>
        <v>НИОКР</v>
      </c>
      <c r="C84" s="91" t="s">
        <v>67</v>
      </c>
      <c r="D84" s="110"/>
      <c r="E84" s="103">
        <f>SUM($E14:E14)-SUM($E60:E60)</f>
        <v>0</v>
      </c>
      <c r="F84" s="103">
        <f>SUM($E14:F14)-SUM($E60:F60)</f>
        <v>0</v>
      </c>
      <c r="G84" s="103">
        <f>SUM($E14:G14)-SUM($E60:G60)</f>
        <v>0</v>
      </c>
      <c r="H84" s="103">
        <f>SUM($E14:H14)-SUM($E60:H60)</f>
        <v>0</v>
      </c>
      <c r="I84" s="103">
        <f>SUM($E14:I14)-SUM($E60:I60)</f>
        <v>0</v>
      </c>
      <c r="J84" s="103">
        <f>SUM($E14:J14)-SUM($E60:J60)</f>
        <v>0</v>
      </c>
      <c r="K84" s="103">
        <f>SUM($E14:K14)-SUM($E60:K60)</f>
        <v>0</v>
      </c>
      <c r="L84" s="103">
        <f>SUM($E14:L14)-SUM($E60:L60)</f>
        <v>0</v>
      </c>
      <c r="M84" s="103">
        <f>SUM($E14:M14)-SUM($E60:M60)</f>
        <v>0</v>
      </c>
      <c r="N84" s="103">
        <f>SUM($E14:N14)-SUM($E60:N60)</f>
        <v>0</v>
      </c>
      <c r="O84" s="103">
        <f>SUM($E14:O14)-SUM($E60:O60)</f>
        <v>0</v>
      </c>
      <c r="P84" s="103">
        <f>SUM($E14:P14)-SUM($E60:P60)</f>
        <v>0</v>
      </c>
      <c r="Q84" s="103">
        <f>SUM($E14:Q14)-SUM($E60:Q60)</f>
        <v>0</v>
      </c>
      <c r="R84" s="103">
        <f>SUM($E14:R14)-SUM($E60:R60)</f>
        <v>0</v>
      </c>
      <c r="S84" s="103">
        <f>SUM($E14:S14)-SUM($E60:S60)</f>
        <v>0</v>
      </c>
      <c r="T84" s="103">
        <f>SUM($E14:T14)-SUM($E60:T60)</f>
        <v>0</v>
      </c>
      <c r="U84" s="103">
        <f>SUM($E14:U14)-SUM($E60:U60)</f>
        <v>0</v>
      </c>
      <c r="V84" s="103">
        <f>SUM($E14:V14)-SUM($E60:V60)</f>
        <v>0</v>
      </c>
      <c r="W84" s="103">
        <f>SUM($E14:W14)-SUM($E60:W60)</f>
        <v>0</v>
      </c>
      <c r="X84" s="103">
        <f>SUM($E14:X14)-SUM($E60:X60)</f>
        <v>0</v>
      </c>
      <c r="Y84" s="103">
        <f>SUM($E14:Y14)-SUM($E60:Y60)</f>
        <v>0</v>
      </c>
      <c r="Z84" s="103">
        <f>SUM($E14:Z14)-SUM($E60:Z60)</f>
        <v>0</v>
      </c>
      <c r="AA84" s="103">
        <f>SUM($E14:AA14)-SUM($E60:AA60)</f>
        <v>0</v>
      </c>
      <c r="AB84" s="103">
        <f>SUM($E14:AB14)-SUM($E60:AB60)</f>
        <v>0</v>
      </c>
      <c r="AC84" s="103">
        <f>SUM($E14:AC14)-SUM($E60:AC60)</f>
        <v>0</v>
      </c>
      <c r="AD84" s="103">
        <f>SUM($E14:AD14)-SUM($E60:AD60)</f>
        <v>0</v>
      </c>
      <c r="AE84" s="103">
        <f>SUM($E14:AE14)-SUM($E60:AE60)</f>
        <v>0</v>
      </c>
      <c r="AF84" s="103">
        <f>SUM($E14:AF14)-SUM($E60:AF60)</f>
        <v>0</v>
      </c>
      <c r="AG84" s="116">
        <f t="shared" si="10"/>
        <v>0</v>
      </c>
    </row>
    <row r="85" spans="1:33">
      <c r="B85" s="90" t="str">
        <f t="shared" si="11"/>
        <v>Обслуживание абонентов</v>
      </c>
      <c r="C85" s="91" t="s">
        <v>67</v>
      </c>
      <c r="D85" s="110"/>
      <c r="E85" s="103">
        <f>SUM($E15:E15)-SUM($E61:E61)</f>
        <v>0</v>
      </c>
      <c r="F85" s="103">
        <f>SUM($E15:F15)-SUM($E61:F61)</f>
        <v>0</v>
      </c>
      <c r="G85" s="103">
        <f>SUM($E15:G15)-SUM($E61:G61)</f>
        <v>0</v>
      </c>
      <c r="H85" s="103">
        <f>SUM($E15:H15)-SUM($E61:H61)</f>
        <v>0</v>
      </c>
      <c r="I85" s="103">
        <f>SUM($E15:I15)-SUM($E61:I61)</f>
        <v>0</v>
      </c>
      <c r="J85" s="103">
        <f>SUM($E15:J15)-SUM($E61:J61)</f>
        <v>0</v>
      </c>
      <c r="K85" s="103">
        <f>SUM($E15:K15)-SUM($E61:K61)</f>
        <v>0</v>
      </c>
      <c r="L85" s="103">
        <f>SUM($E15:L15)-SUM($E61:L61)</f>
        <v>0</v>
      </c>
      <c r="M85" s="103">
        <f>SUM($E15:M15)-SUM($E61:M61)</f>
        <v>0</v>
      </c>
      <c r="N85" s="103">
        <f>SUM($E15:N15)-SUM($E61:N61)</f>
        <v>0</v>
      </c>
      <c r="O85" s="103">
        <f>SUM($E15:O15)-SUM($E61:O61)</f>
        <v>0</v>
      </c>
      <c r="P85" s="103">
        <f>SUM($E15:P15)-SUM($E61:P61)</f>
        <v>0</v>
      </c>
      <c r="Q85" s="103">
        <f>SUM($E15:Q15)-SUM($E61:Q61)</f>
        <v>0</v>
      </c>
      <c r="R85" s="103">
        <f>SUM($E15:R15)-SUM($E61:R61)</f>
        <v>0</v>
      </c>
      <c r="S85" s="103">
        <f>SUM($E15:S15)-SUM($E61:S61)</f>
        <v>0</v>
      </c>
      <c r="T85" s="103">
        <f>SUM($E15:T15)-SUM($E61:T61)</f>
        <v>0</v>
      </c>
      <c r="U85" s="103">
        <f>SUM($E15:U15)-SUM($E61:U61)</f>
        <v>0</v>
      </c>
      <c r="V85" s="103">
        <f>SUM($E15:V15)-SUM($E61:V61)</f>
        <v>0</v>
      </c>
      <c r="W85" s="103">
        <f>SUM($E15:W15)-SUM($E61:W61)</f>
        <v>0</v>
      </c>
      <c r="X85" s="103">
        <f>SUM($E15:X15)-SUM($E61:X61)</f>
        <v>0</v>
      </c>
      <c r="Y85" s="103">
        <f>SUM($E15:Y15)-SUM($E61:Y61)</f>
        <v>0</v>
      </c>
      <c r="Z85" s="103">
        <f>SUM($E15:Z15)-SUM($E61:Z61)</f>
        <v>0</v>
      </c>
      <c r="AA85" s="103">
        <f>SUM($E15:AA15)-SUM($E61:AA61)</f>
        <v>0</v>
      </c>
      <c r="AB85" s="103">
        <f>SUM($E15:AB15)-SUM($E61:AB61)</f>
        <v>0</v>
      </c>
      <c r="AC85" s="103">
        <f>SUM($E15:AC15)-SUM($E61:AC61)</f>
        <v>0</v>
      </c>
      <c r="AD85" s="103">
        <f>SUM($E15:AD15)-SUM($E61:AD61)</f>
        <v>0</v>
      </c>
      <c r="AE85" s="103">
        <f>SUM($E15:AE15)-SUM($E61:AE61)</f>
        <v>0</v>
      </c>
      <c r="AF85" s="103">
        <f>SUM($E15:AF15)-SUM($E61:AF61)</f>
        <v>0</v>
      </c>
      <c r="AG85" s="116">
        <f t="shared" si="10"/>
        <v>0</v>
      </c>
    </row>
    <row r="86" spans="1:33">
      <c r="B86" s="90" t="str">
        <f t="shared" si="11"/>
        <v>Проекты СОРМ</v>
      </c>
      <c r="C86" s="91" t="s">
        <v>67</v>
      </c>
      <c r="D86" s="110"/>
      <c r="E86" s="103">
        <f>SUM($E16:E16)-SUM($E62:E62)</f>
        <v>0</v>
      </c>
      <c r="F86" s="103">
        <f>SUM($E16:F16)-SUM($E62:F62)</f>
        <v>0</v>
      </c>
      <c r="G86" s="103">
        <f>SUM($E16:G16)-SUM($E62:G62)</f>
        <v>0</v>
      </c>
      <c r="H86" s="103">
        <f>SUM($E16:H16)-SUM($E62:H62)</f>
        <v>0</v>
      </c>
      <c r="I86" s="103">
        <f>SUM($E16:I16)-SUM($E62:I62)</f>
        <v>0</v>
      </c>
      <c r="J86" s="103">
        <f>SUM($E16:J16)-SUM($E62:J62)</f>
        <v>0</v>
      </c>
      <c r="K86" s="103">
        <f>SUM($E16:K16)-SUM($E62:K62)</f>
        <v>0</v>
      </c>
      <c r="L86" s="103">
        <f>SUM($E16:L16)-SUM($E62:L62)</f>
        <v>0</v>
      </c>
      <c r="M86" s="103">
        <f>SUM($E16:M16)-SUM($E62:M62)</f>
        <v>0</v>
      </c>
      <c r="N86" s="103">
        <f>SUM($E16:N16)-SUM($E62:N62)</f>
        <v>0</v>
      </c>
      <c r="O86" s="103">
        <f>SUM($E16:O16)-SUM($E62:O62)</f>
        <v>0</v>
      </c>
      <c r="P86" s="103">
        <f>SUM($E16:P16)-SUM($E62:P62)</f>
        <v>0</v>
      </c>
      <c r="Q86" s="103">
        <f>SUM($E16:Q16)-SUM($E62:Q62)</f>
        <v>0</v>
      </c>
      <c r="R86" s="103">
        <f>SUM($E16:R16)-SUM($E62:R62)</f>
        <v>0</v>
      </c>
      <c r="S86" s="103">
        <f>SUM($E16:S16)-SUM($E62:S62)</f>
        <v>0</v>
      </c>
      <c r="T86" s="103">
        <f>SUM($E16:T16)-SUM($E62:T62)</f>
        <v>0</v>
      </c>
      <c r="U86" s="103">
        <f>SUM($E16:U16)-SUM($E62:U62)</f>
        <v>0</v>
      </c>
      <c r="V86" s="103">
        <f>SUM($E16:V16)-SUM($E62:V62)</f>
        <v>0</v>
      </c>
      <c r="W86" s="103">
        <f>SUM($E16:W16)-SUM($E62:W62)</f>
        <v>0</v>
      </c>
      <c r="X86" s="103">
        <f>SUM($E16:X16)-SUM($E62:X62)</f>
        <v>0</v>
      </c>
      <c r="Y86" s="103">
        <f>SUM($E16:Y16)-SUM($E62:Y62)</f>
        <v>0</v>
      </c>
      <c r="Z86" s="103">
        <f>SUM($E16:Z16)-SUM($E62:Z62)</f>
        <v>0</v>
      </c>
      <c r="AA86" s="103">
        <f>SUM($E16:AA16)-SUM($E62:AA62)</f>
        <v>0</v>
      </c>
      <c r="AB86" s="103">
        <f>SUM($E16:AB16)-SUM($E62:AB62)</f>
        <v>0</v>
      </c>
      <c r="AC86" s="103">
        <f>SUM($E16:AC16)-SUM($E62:AC62)</f>
        <v>0</v>
      </c>
      <c r="AD86" s="103">
        <f>SUM($E16:AD16)-SUM($E62:AD62)</f>
        <v>0</v>
      </c>
      <c r="AE86" s="103">
        <f>SUM($E16:AE16)-SUM($E62:AE62)</f>
        <v>0</v>
      </c>
      <c r="AF86" s="103">
        <f>SUM($E16:AF16)-SUM($E62:AF62)</f>
        <v>0</v>
      </c>
      <c r="AG86" s="116">
        <f t="shared" si="10"/>
        <v>0</v>
      </c>
    </row>
    <row r="87" spans="1:33">
      <c r="B87" s="90" t="str">
        <f t="shared" si="11"/>
        <v>Развитие непрофильных бизнесов</v>
      </c>
      <c r="C87" s="91" t="s">
        <v>67</v>
      </c>
      <c r="D87" s="110"/>
      <c r="E87" s="103">
        <f>SUM($E17:E17)-SUM($E63:E63)</f>
        <v>0</v>
      </c>
      <c r="F87" s="103">
        <f>SUM($E17:F17)-SUM($E63:F63)</f>
        <v>0</v>
      </c>
      <c r="G87" s="103">
        <f>SUM($E17:G17)-SUM($E63:G63)</f>
        <v>0</v>
      </c>
      <c r="H87" s="103">
        <f>SUM($E17:H17)-SUM($E63:H63)</f>
        <v>0</v>
      </c>
      <c r="I87" s="103">
        <f>SUM($E17:I17)-SUM($E63:I63)</f>
        <v>0</v>
      </c>
      <c r="J87" s="103">
        <f>SUM($E17:J17)-SUM($E63:J63)</f>
        <v>0</v>
      </c>
      <c r="K87" s="103">
        <f>SUM($E17:K17)-SUM($E63:K63)</f>
        <v>0</v>
      </c>
      <c r="L87" s="103">
        <f>SUM($E17:L17)-SUM($E63:L63)</f>
        <v>0</v>
      </c>
      <c r="M87" s="103">
        <f>SUM($E17:M17)-SUM($E63:M63)</f>
        <v>0</v>
      </c>
      <c r="N87" s="103">
        <f>SUM($E17:N17)-SUM($E63:N63)</f>
        <v>0</v>
      </c>
      <c r="O87" s="103">
        <f>SUM($E17:O17)-SUM($E63:O63)</f>
        <v>0</v>
      </c>
      <c r="P87" s="103">
        <f>SUM($E17:P17)-SUM($E63:P63)</f>
        <v>0</v>
      </c>
      <c r="Q87" s="103">
        <f>SUM($E17:Q17)-SUM($E63:Q63)</f>
        <v>0</v>
      </c>
      <c r="R87" s="103">
        <f>SUM($E17:R17)-SUM($E63:R63)</f>
        <v>0</v>
      </c>
      <c r="S87" s="103">
        <f>SUM($E17:S17)-SUM($E63:S63)</f>
        <v>0</v>
      </c>
      <c r="T87" s="103">
        <f>SUM($E17:T17)-SUM($E63:T63)</f>
        <v>0</v>
      </c>
      <c r="U87" s="103">
        <f>SUM($E17:U17)-SUM($E63:U63)</f>
        <v>0</v>
      </c>
      <c r="V87" s="103">
        <f>SUM($E17:V17)-SUM($E63:V63)</f>
        <v>0</v>
      </c>
      <c r="W87" s="103">
        <f>SUM($E17:W17)-SUM($E63:W63)</f>
        <v>0</v>
      </c>
      <c r="X87" s="103">
        <f>SUM($E17:X17)-SUM($E63:X63)</f>
        <v>0</v>
      </c>
      <c r="Y87" s="103">
        <f>SUM($E17:Y17)-SUM($E63:Y63)</f>
        <v>0</v>
      </c>
      <c r="Z87" s="103">
        <f>SUM($E17:Z17)-SUM($E63:Z63)</f>
        <v>0</v>
      </c>
      <c r="AA87" s="103">
        <f>SUM($E17:AA17)-SUM($E63:AA63)</f>
        <v>0</v>
      </c>
      <c r="AB87" s="103">
        <f>SUM($E17:AB17)-SUM($E63:AB63)</f>
        <v>0</v>
      </c>
      <c r="AC87" s="103">
        <f>SUM($E17:AC17)-SUM($E63:AC63)</f>
        <v>0</v>
      </c>
      <c r="AD87" s="103">
        <f>SUM($E17:AD17)-SUM($E63:AD63)</f>
        <v>0</v>
      </c>
      <c r="AE87" s="103">
        <f>SUM($E17:AE17)-SUM($E63:AE63)</f>
        <v>0</v>
      </c>
      <c r="AF87" s="103">
        <f>SUM($E17:AF17)-SUM($E63:AF63)</f>
        <v>0</v>
      </c>
      <c r="AG87" s="116">
        <f t="shared" si="10"/>
        <v>0</v>
      </c>
    </row>
    <row r="88" spans="1:33">
      <c r="B88" s="90" t="str">
        <f t="shared" si="11"/>
        <v>Развитие радиоподсистемы</v>
      </c>
      <c r="C88" s="91" t="s">
        <v>67</v>
      </c>
      <c r="D88" s="110"/>
      <c r="E88" s="103">
        <f>SUM($E18:E18)-SUM($E64:E64)</f>
        <v>0</v>
      </c>
      <c r="F88" s="103">
        <f>SUM($E18:F18)-SUM($E64:F64)</f>
        <v>0</v>
      </c>
      <c r="G88" s="103">
        <f>SUM($E18:G18)-SUM($E64:G64)</f>
        <v>0</v>
      </c>
      <c r="H88" s="103">
        <f>SUM($E18:H18)-SUM($E64:H64)</f>
        <v>0</v>
      </c>
      <c r="I88" s="103">
        <f>SUM($E18:I18)-SUM($E64:I64)</f>
        <v>0</v>
      </c>
      <c r="J88" s="103">
        <f>SUM($E18:J18)-SUM($E64:J64)</f>
        <v>0</v>
      </c>
      <c r="K88" s="103">
        <f>SUM($E18:K18)-SUM($E64:K64)</f>
        <v>0</v>
      </c>
      <c r="L88" s="103">
        <f>SUM($E18:L18)-SUM($E64:L64)</f>
        <v>0</v>
      </c>
      <c r="M88" s="103">
        <f>SUM($E18:M18)-SUM($E64:M64)</f>
        <v>0</v>
      </c>
      <c r="N88" s="103">
        <f>SUM($E18:N18)-SUM($E64:N64)</f>
        <v>0</v>
      </c>
      <c r="O88" s="103">
        <f>SUM($E18:O18)-SUM($E64:O64)</f>
        <v>0</v>
      </c>
      <c r="P88" s="103">
        <f>SUM($E18:P18)-SUM($E64:P64)</f>
        <v>0</v>
      </c>
      <c r="Q88" s="103">
        <f>SUM($E18:Q18)-SUM($E64:Q64)</f>
        <v>0</v>
      </c>
      <c r="R88" s="103">
        <f>SUM($E18:R18)-SUM($E64:R64)</f>
        <v>0</v>
      </c>
      <c r="S88" s="103">
        <f>SUM($E18:S18)-SUM($E64:S64)</f>
        <v>0</v>
      </c>
      <c r="T88" s="103">
        <f>SUM($E18:T18)-SUM($E64:T64)</f>
        <v>0</v>
      </c>
      <c r="U88" s="103">
        <f>SUM($E18:U18)-SUM($E64:U64)</f>
        <v>0</v>
      </c>
      <c r="V88" s="103">
        <f>SUM($E18:V18)-SUM($E64:V64)</f>
        <v>0</v>
      </c>
      <c r="W88" s="103">
        <f>SUM($E18:W18)-SUM($E64:W64)</f>
        <v>0</v>
      </c>
      <c r="X88" s="103">
        <f>SUM($E18:X18)-SUM($E64:X64)</f>
        <v>0</v>
      </c>
      <c r="Y88" s="103">
        <f>SUM($E18:Y18)-SUM($E64:Y64)</f>
        <v>0</v>
      </c>
      <c r="Z88" s="103">
        <f>SUM($E18:Z18)-SUM($E64:Z64)</f>
        <v>0</v>
      </c>
      <c r="AA88" s="103">
        <f>SUM($E18:AA18)-SUM($E64:AA64)</f>
        <v>0</v>
      </c>
      <c r="AB88" s="103">
        <f>SUM($E18:AB18)-SUM($E64:AB64)</f>
        <v>0</v>
      </c>
      <c r="AC88" s="103">
        <f>SUM($E18:AC18)-SUM($E64:AC64)</f>
        <v>0</v>
      </c>
      <c r="AD88" s="103">
        <f>SUM($E18:AD18)-SUM($E64:AD64)</f>
        <v>0</v>
      </c>
      <c r="AE88" s="103">
        <f>SUM($E18:AE18)-SUM($E64:AE64)</f>
        <v>0</v>
      </c>
      <c r="AF88" s="103">
        <f>SUM($E18:AF18)-SUM($E64:AF64)</f>
        <v>0</v>
      </c>
      <c r="AG88" s="116">
        <f t="shared" si="10"/>
        <v>0</v>
      </c>
    </row>
    <row r="89" spans="1:33">
      <c r="B89" s="90" t="str">
        <f t="shared" si="11"/>
        <v>Рекламные объекты</v>
      </c>
      <c r="C89" s="91" t="s">
        <v>67</v>
      </c>
      <c r="D89" s="110"/>
      <c r="E89" s="103">
        <f>SUM($E19:E19)-SUM($E65:E65)</f>
        <v>0</v>
      </c>
      <c r="F89" s="103">
        <f>SUM($E19:F19)-SUM($E65:F65)</f>
        <v>0</v>
      </c>
      <c r="G89" s="103">
        <f>SUM($E19:G19)-SUM($E65:G65)</f>
        <v>0</v>
      </c>
      <c r="H89" s="103">
        <f>SUM($E19:H19)-SUM($E65:H65)</f>
        <v>0</v>
      </c>
      <c r="I89" s="103">
        <f>SUM($E19:I19)-SUM($E65:I65)</f>
        <v>0</v>
      </c>
      <c r="J89" s="103">
        <f>SUM($E19:J19)-SUM($E65:J65)</f>
        <v>0</v>
      </c>
      <c r="K89" s="103">
        <f>SUM($E19:K19)-SUM($E65:K65)</f>
        <v>0</v>
      </c>
      <c r="L89" s="103">
        <f>SUM($E19:L19)-SUM($E65:L65)</f>
        <v>0</v>
      </c>
      <c r="M89" s="103">
        <f>SUM($E19:M19)-SUM($E65:M65)</f>
        <v>0</v>
      </c>
      <c r="N89" s="103">
        <f>SUM($E19:N19)-SUM($E65:N65)</f>
        <v>0</v>
      </c>
      <c r="O89" s="103">
        <f>SUM($E19:O19)-SUM($E65:O65)</f>
        <v>0</v>
      </c>
      <c r="P89" s="103">
        <f>SUM($E19:P19)-SUM($E65:P65)</f>
        <v>0</v>
      </c>
      <c r="Q89" s="103">
        <f>SUM($E19:Q19)-SUM($E65:Q65)</f>
        <v>0</v>
      </c>
      <c r="R89" s="103">
        <f>SUM($E19:R19)-SUM($E65:R65)</f>
        <v>0</v>
      </c>
      <c r="S89" s="103">
        <f>SUM($E19:S19)-SUM($E65:S65)</f>
        <v>0</v>
      </c>
      <c r="T89" s="103">
        <f>SUM($E19:T19)-SUM($E65:T65)</f>
        <v>0</v>
      </c>
      <c r="U89" s="103">
        <f>SUM($E19:U19)-SUM($E65:U65)</f>
        <v>0</v>
      </c>
      <c r="V89" s="103">
        <f>SUM($E19:V19)-SUM($E65:V65)</f>
        <v>0</v>
      </c>
      <c r="W89" s="103">
        <f>SUM($E19:W19)-SUM($E65:W65)</f>
        <v>0</v>
      </c>
      <c r="X89" s="103">
        <f>SUM($E19:X19)-SUM($E65:X65)</f>
        <v>0</v>
      </c>
      <c r="Y89" s="103">
        <f>SUM($E19:Y19)-SUM($E65:Y65)</f>
        <v>0</v>
      </c>
      <c r="Z89" s="103">
        <f>SUM($E19:Z19)-SUM($E65:Z65)</f>
        <v>0</v>
      </c>
      <c r="AA89" s="103">
        <f>SUM($E19:AA19)-SUM($E65:AA65)</f>
        <v>0</v>
      </c>
      <c r="AB89" s="103">
        <f>SUM($E19:AB19)-SUM($E65:AB65)</f>
        <v>0</v>
      </c>
      <c r="AC89" s="103">
        <f>SUM($E19:AC19)-SUM($E65:AC65)</f>
        <v>0</v>
      </c>
      <c r="AD89" s="103">
        <f>SUM($E19:AD19)-SUM($E65:AD65)</f>
        <v>0</v>
      </c>
      <c r="AE89" s="103">
        <f>SUM($E19:AE19)-SUM($E65:AE65)</f>
        <v>0</v>
      </c>
      <c r="AF89" s="103">
        <f>SUM($E19:AF19)-SUM($E65:AF65)</f>
        <v>0</v>
      </c>
      <c r="AG89" s="116">
        <f t="shared" si="10"/>
        <v>0</v>
      </c>
    </row>
    <row r="90" spans="1:33">
      <c r="B90" s="90" t="str">
        <f t="shared" si="11"/>
        <v>Система передачи</v>
      </c>
      <c r="C90" s="91" t="s">
        <v>67</v>
      </c>
      <c r="D90" s="110"/>
      <c r="E90" s="103">
        <f>SUM($E20:E20)-SUM($E66:E66)</f>
        <v>0</v>
      </c>
      <c r="F90" s="103">
        <f>SUM($E20:F20)-SUM($E66:F66)</f>
        <v>0</v>
      </c>
      <c r="G90" s="103">
        <f>SUM($E20:G20)-SUM($E66:G66)</f>
        <v>0</v>
      </c>
      <c r="H90" s="103">
        <f>SUM($E20:H20)-SUM($E66:H66)</f>
        <v>0</v>
      </c>
      <c r="I90" s="103">
        <f>SUM($E20:I20)-SUM($E66:I66)</f>
        <v>0</v>
      </c>
      <c r="J90" s="103">
        <f>SUM($E20:J20)-SUM($E66:J66)</f>
        <v>0</v>
      </c>
      <c r="K90" s="103">
        <f>SUM($E20:K20)-SUM($E66:K66)</f>
        <v>0</v>
      </c>
      <c r="L90" s="103">
        <f>SUM($E20:L20)-SUM($E66:L66)</f>
        <v>0</v>
      </c>
      <c r="M90" s="103">
        <f>SUM($E20:M20)-SUM($E66:M66)</f>
        <v>0</v>
      </c>
      <c r="N90" s="103">
        <f>SUM($E20:N20)-SUM($E66:N66)</f>
        <v>0</v>
      </c>
      <c r="O90" s="103">
        <f>SUM($E20:O20)-SUM($E66:O66)</f>
        <v>0</v>
      </c>
      <c r="P90" s="103">
        <f>SUM($E20:P20)-SUM($E66:P66)</f>
        <v>0</v>
      </c>
      <c r="Q90" s="103">
        <f>SUM($E20:Q20)-SUM($E66:Q66)</f>
        <v>0</v>
      </c>
      <c r="R90" s="103">
        <f>SUM($E20:R20)-SUM($E66:R66)</f>
        <v>0</v>
      </c>
      <c r="S90" s="103">
        <f>SUM($E20:S20)-SUM($E66:S66)</f>
        <v>0</v>
      </c>
      <c r="T90" s="103">
        <f>SUM($E20:T20)-SUM($E66:T66)</f>
        <v>0</v>
      </c>
      <c r="U90" s="103">
        <f>SUM($E20:U20)-SUM($E66:U66)</f>
        <v>0</v>
      </c>
      <c r="V90" s="103">
        <f>SUM($E20:V20)-SUM($E66:V66)</f>
        <v>0</v>
      </c>
      <c r="W90" s="103">
        <f>SUM($E20:W20)-SUM($E66:W66)</f>
        <v>0</v>
      </c>
      <c r="X90" s="103">
        <f>SUM($E20:X20)-SUM($E66:X66)</f>
        <v>0</v>
      </c>
      <c r="Y90" s="103">
        <f>SUM($E20:Y20)-SUM($E66:Y66)</f>
        <v>0</v>
      </c>
      <c r="Z90" s="103">
        <f>SUM($E20:Z20)-SUM($E66:Z66)</f>
        <v>0</v>
      </c>
      <c r="AA90" s="103">
        <f>SUM($E20:AA20)-SUM($E66:AA66)</f>
        <v>0</v>
      </c>
      <c r="AB90" s="103">
        <f>SUM($E20:AB20)-SUM($E66:AB66)</f>
        <v>0</v>
      </c>
      <c r="AC90" s="103">
        <f>SUM($E20:AC20)-SUM($E66:AC66)</f>
        <v>0</v>
      </c>
      <c r="AD90" s="103">
        <f>SUM($E20:AD20)-SUM($E66:AD66)</f>
        <v>0</v>
      </c>
      <c r="AE90" s="103">
        <f>SUM($E20:AE20)-SUM($E66:AE66)</f>
        <v>0</v>
      </c>
      <c r="AF90" s="103">
        <f>SUM($E20:AF20)-SUM($E66:AF66)</f>
        <v>0</v>
      </c>
      <c r="AG90" s="116">
        <f t="shared" si="10"/>
        <v>0</v>
      </c>
    </row>
    <row r="91" spans="1:33">
      <c r="B91" s="90" t="str">
        <f t="shared" si="11"/>
        <v>Тестирование новых технологических платформ</v>
      </c>
      <c r="C91" s="91" t="s">
        <v>67</v>
      </c>
      <c r="D91" s="110"/>
      <c r="E91" s="103">
        <f>SUM($E21:E21)-SUM($E67:E67)</f>
        <v>0</v>
      </c>
      <c r="F91" s="103">
        <f>SUM($E21:F21)-SUM($E67:F67)</f>
        <v>0</v>
      </c>
      <c r="G91" s="103">
        <f>SUM($E21:G21)-SUM($E67:G67)</f>
        <v>0</v>
      </c>
      <c r="H91" s="103">
        <f>SUM($E21:H21)-SUM($E67:H67)</f>
        <v>0</v>
      </c>
      <c r="I91" s="103">
        <f>SUM($E21:I21)-SUM($E67:I67)</f>
        <v>0</v>
      </c>
      <c r="J91" s="103">
        <f>SUM($E21:J21)-SUM($E67:J67)</f>
        <v>0</v>
      </c>
      <c r="K91" s="103">
        <f>SUM($E21:K21)-SUM($E67:K67)</f>
        <v>0</v>
      </c>
      <c r="L91" s="103">
        <f>SUM($E21:L21)-SUM($E67:L67)</f>
        <v>0</v>
      </c>
      <c r="M91" s="103">
        <f>SUM($E21:M21)-SUM($E67:M67)</f>
        <v>0</v>
      </c>
      <c r="N91" s="103">
        <f>SUM($E21:N21)-SUM($E67:N67)</f>
        <v>0</v>
      </c>
      <c r="O91" s="103">
        <f>SUM($E21:O21)-SUM($E67:O67)</f>
        <v>0</v>
      </c>
      <c r="P91" s="103">
        <f>SUM($E21:P21)-SUM($E67:P67)</f>
        <v>0</v>
      </c>
      <c r="Q91" s="103">
        <f>SUM($E21:Q21)-SUM($E67:Q67)</f>
        <v>0</v>
      </c>
      <c r="R91" s="103">
        <f>SUM($E21:R21)-SUM($E67:R67)</f>
        <v>0</v>
      </c>
      <c r="S91" s="103">
        <f>SUM($E21:S21)-SUM($E67:S67)</f>
        <v>0</v>
      </c>
      <c r="T91" s="103">
        <f>SUM($E21:T21)-SUM($E67:T67)</f>
        <v>0</v>
      </c>
      <c r="U91" s="103">
        <f>SUM($E21:U21)-SUM($E67:U67)</f>
        <v>0</v>
      </c>
      <c r="V91" s="103">
        <f>SUM($E21:V21)-SUM($E67:V67)</f>
        <v>0</v>
      </c>
      <c r="W91" s="103">
        <f>SUM($E21:W21)-SUM($E67:W67)</f>
        <v>0</v>
      </c>
      <c r="X91" s="103">
        <f>SUM($E21:X21)-SUM($E67:X67)</f>
        <v>0</v>
      </c>
      <c r="Y91" s="103">
        <f>SUM($E21:Y21)-SUM($E67:Y67)</f>
        <v>0</v>
      </c>
      <c r="Z91" s="103">
        <f>SUM($E21:Z21)-SUM($E67:Z67)</f>
        <v>0</v>
      </c>
      <c r="AA91" s="103">
        <f>SUM($E21:AA21)-SUM($E67:AA67)</f>
        <v>0</v>
      </c>
      <c r="AB91" s="103">
        <f>SUM($E21:AB21)-SUM($E67:AB67)</f>
        <v>0</v>
      </c>
      <c r="AC91" s="103">
        <f>SUM($E21:AC21)-SUM($E67:AC67)</f>
        <v>0</v>
      </c>
      <c r="AD91" s="103">
        <f>SUM($E21:AD21)-SUM($E67:AD67)</f>
        <v>0</v>
      </c>
      <c r="AE91" s="103">
        <f>SUM($E21:AE21)-SUM($E67:AE67)</f>
        <v>0</v>
      </c>
      <c r="AF91" s="103">
        <f>SUM($E21:AF21)-SUM($E67:AF67)</f>
        <v>0</v>
      </c>
      <c r="AG91" s="116">
        <f t="shared" si="10"/>
        <v>0</v>
      </c>
    </row>
    <row r="92" spans="1:33">
      <c r="B92" s="90" t="str">
        <f t="shared" si="11"/>
        <v>Управление сетью</v>
      </c>
      <c r="C92" s="91" t="s">
        <v>67</v>
      </c>
      <c r="D92" s="110"/>
      <c r="E92" s="103">
        <f>SUM($E22:E22)-SUM($E68:E68)</f>
        <v>0</v>
      </c>
      <c r="F92" s="103">
        <f>SUM($E22:F22)-SUM($E68:F68)</f>
        <v>0</v>
      </c>
      <c r="G92" s="103">
        <f>SUM($E22:G22)-SUM($E68:G68)</f>
        <v>0</v>
      </c>
      <c r="H92" s="103">
        <f>SUM($E22:H22)-SUM($E68:H68)</f>
        <v>0</v>
      </c>
      <c r="I92" s="103">
        <f>SUM($E22:I22)-SUM($E68:I68)</f>
        <v>0</v>
      </c>
      <c r="J92" s="103">
        <f>SUM($E22:J22)-SUM($E68:J68)</f>
        <v>0</v>
      </c>
      <c r="K92" s="103">
        <f>SUM($E22:K22)-SUM($E68:K68)</f>
        <v>0</v>
      </c>
      <c r="L92" s="103">
        <f>SUM($E22:L22)-SUM($E68:L68)</f>
        <v>0</v>
      </c>
      <c r="M92" s="103">
        <f>SUM($E22:M22)-SUM($E68:M68)</f>
        <v>0</v>
      </c>
      <c r="N92" s="103">
        <f>SUM($E22:N22)-SUM($E68:N68)</f>
        <v>0</v>
      </c>
      <c r="O92" s="103">
        <f>SUM($E22:O22)-SUM($E68:O68)</f>
        <v>0</v>
      </c>
      <c r="P92" s="103">
        <f>SUM($E22:P22)-SUM($E68:P68)</f>
        <v>0</v>
      </c>
      <c r="Q92" s="103">
        <f>SUM($E22:Q22)-SUM($E68:Q68)</f>
        <v>0</v>
      </c>
      <c r="R92" s="103">
        <f>SUM($E22:R22)-SUM($E68:R68)</f>
        <v>0</v>
      </c>
      <c r="S92" s="103">
        <f>SUM($E22:S22)-SUM($E68:S68)</f>
        <v>0</v>
      </c>
      <c r="T92" s="103">
        <f>SUM($E22:T22)-SUM($E68:T68)</f>
        <v>0</v>
      </c>
      <c r="U92" s="103">
        <f>SUM($E22:U22)-SUM($E68:U68)</f>
        <v>0</v>
      </c>
      <c r="V92" s="103">
        <f>SUM($E22:V22)-SUM($E68:V68)</f>
        <v>0</v>
      </c>
      <c r="W92" s="103">
        <f>SUM($E22:W22)-SUM($E68:W68)</f>
        <v>0</v>
      </c>
      <c r="X92" s="103">
        <f>SUM($E22:X22)-SUM($E68:X68)</f>
        <v>0</v>
      </c>
      <c r="Y92" s="103">
        <f>SUM($E22:Y22)-SUM($E68:Y68)</f>
        <v>0</v>
      </c>
      <c r="Z92" s="103">
        <f>SUM($E22:Z22)-SUM($E68:Z68)</f>
        <v>0</v>
      </c>
      <c r="AA92" s="103">
        <f>SUM($E22:AA22)-SUM($E68:AA68)</f>
        <v>0</v>
      </c>
      <c r="AB92" s="103">
        <f>SUM($E22:AB22)-SUM($E68:AB68)</f>
        <v>0</v>
      </c>
      <c r="AC92" s="103">
        <f>SUM($E22:AC22)-SUM($E68:AC68)</f>
        <v>0</v>
      </c>
      <c r="AD92" s="103">
        <f>SUM($E22:AD22)-SUM($E68:AD68)</f>
        <v>0</v>
      </c>
      <c r="AE92" s="103">
        <f>SUM($E22:AE22)-SUM($E68:AE68)</f>
        <v>0</v>
      </c>
      <c r="AF92" s="103">
        <f>SUM($E22:AF22)-SUM($E68:AF68)</f>
        <v>0</v>
      </c>
      <c r="AG92" s="116">
        <f t="shared" si="10"/>
        <v>0</v>
      </c>
    </row>
    <row r="93" spans="1:33">
      <c r="B93" s="90" t="str">
        <f t="shared" si="11"/>
        <v>Услуги добавленной стоимости VAS</v>
      </c>
      <c r="C93" s="91" t="s">
        <v>67</v>
      </c>
      <c r="D93" s="110"/>
      <c r="E93" s="103">
        <f>SUM($E23:E23)-SUM($E69:E69)</f>
        <v>0</v>
      </c>
      <c r="F93" s="103">
        <f>SUM($E23:F23)-SUM($E69:F69)</f>
        <v>0</v>
      </c>
      <c r="G93" s="103">
        <f>SUM($E23:G23)-SUM($E69:G69)</f>
        <v>0</v>
      </c>
      <c r="H93" s="103">
        <f>SUM($E23:H23)-SUM($E69:H69)</f>
        <v>0</v>
      </c>
      <c r="I93" s="103">
        <f>SUM($E23:I23)-SUM($E69:I69)</f>
        <v>0</v>
      </c>
      <c r="J93" s="103">
        <f>SUM($E23:J23)-SUM($E69:J69)</f>
        <v>0</v>
      </c>
      <c r="K93" s="103">
        <f>SUM($E23:K23)-SUM($E69:K69)</f>
        <v>0</v>
      </c>
      <c r="L93" s="103">
        <f>SUM($E23:L23)-SUM($E69:L69)</f>
        <v>0</v>
      </c>
      <c r="M93" s="103">
        <f>SUM($E23:M23)-SUM($E69:M69)</f>
        <v>0</v>
      </c>
      <c r="N93" s="103">
        <f>SUM($E23:N23)-SUM($E69:N69)</f>
        <v>0</v>
      </c>
      <c r="O93" s="103">
        <f>SUM($E23:O23)-SUM($E69:O69)</f>
        <v>0</v>
      </c>
      <c r="P93" s="103">
        <f>SUM($E23:P23)-SUM($E69:P69)</f>
        <v>0</v>
      </c>
      <c r="Q93" s="103">
        <f>SUM($E23:Q23)-SUM($E69:Q69)</f>
        <v>0</v>
      </c>
      <c r="R93" s="103">
        <f>SUM($E23:R23)-SUM($E69:R69)</f>
        <v>0</v>
      </c>
      <c r="S93" s="103">
        <f>SUM($E23:S23)-SUM($E69:S69)</f>
        <v>0</v>
      </c>
      <c r="T93" s="103">
        <f>SUM($E23:T23)-SUM($E69:T69)</f>
        <v>0</v>
      </c>
      <c r="U93" s="103">
        <f>SUM($E23:U23)-SUM($E69:U69)</f>
        <v>0</v>
      </c>
      <c r="V93" s="103">
        <f>SUM($E23:V23)-SUM($E69:V69)</f>
        <v>0</v>
      </c>
      <c r="W93" s="103">
        <f>SUM($E23:W23)-SUM($E69:W69)</f>
        <v>0</v>
      </c>
      <c r="X93" s="103">
        <f>SUM($E23:X23)-SUM($E69:X69)</f>
        <v>0</v>
      </c>
      <c r="Y93" s="103">
        <f>SUM($E23:Y23)-SUM($E69:Y69)</f>
        <v>0</v>
      </c>
      <c r="Z93" s="103">
        <f>SUM($E23:Z23)-SUM($E69:Z69)</f>
        <v>0</v>
      </c>
      <c r="AA93" s="103">
        <f>SUM($E23:AA23)-SUM($E69:AA69)</f>
        <v>0</v>
      </c>
      <c r="AB93" s="103">
        <f>SUM($E23:AB23)-SUM($E69:AB69)</f>
        <v>0</v>
      </c>
      <c r="AC93" s="103">
        <f>SUM($E23:AC23)-SUM($E69:AC69)</f>
        <v>0</v>
      </c>
      <c r="AD93" s="103">
        <f>SUM($E23:AD23)-SUM($E69:AD69)</f>
        <v>0</v>
      </c>
      <c r="AE93" s="103">
        <f>SUM($E23:AE23)-SUM($E69:AE69)</f>
        <v>0</v>
      </c>
      <c r="AF93" s="103">
        <f>SUM($E23:AF23)-SUM($E69:AF69)</f>
        <v>0</v>
      </c>
      <c r="AG93" s="116">
        <f t="shared" si="10"/>
        <v>0</v>
      </c>
    </row>
    <row r="94" spans="1:33">
      <c r="B94" s="90" t="str">
        <f t="shared" si="11"/>
        <v>Фиксированная связь</v>
      </c>
      <c r="C94" s="91" t="s">
        <v>67</v>
      </c>
      <c r="D94" s="110"/>
      <c r="E94" s="103">
        <f>SUM($E24:E24)-SUM($E70:E70)</f>
        <v>0</v>
      </c>
      <c r="F94" s="103">
        <f>SUM($E24:F24)-SUM($E70:F70)</f>
        <v>0</v>
      </c>
      <c r="G94" s="103">
        <f>SUM($E24:G24)-SUM($E70:G70)</f>
        <v>0</v>
      </c>
      <c r="H94" s="103">
        <f>SUM($E24:H24)-SUM($E70:H70)</f>
        <v>0</v>
      </c>
      <c r="I94" s="103">
        <f>SUM($E24:I24)-SUM($E70:I70)</f>
        <v>0</v>
      </c>
      <c r="J94" s="103">
        <f>SUM($E24:J24)-SUM($E70:J70)</f>
        <v>0</v>
      </c>
      <c r="K94" s="103">
        <f>SUM($E24:K24)-SUM($E70:K70)</f>
        <v>0</v>
      </c>
      <c r="L94" s="103">
        <f>SUM($E24:L24)-SUM($E70:L70)</f>
        <v>0</v>
      </c>
      <c r="M94" s="103">
        <f>SUM($E24:M24)-SUM($E70:M70)</f>
        <v>0</v>
      </c>
      <c r="N94" s="103">
        <f>SUM($E24:N24)-SUM($E70:N70)</f>
        <v>0</v>
      </c>
      <c r="O94" s="103">
        <f>SUM($E24:O24)-SUM($E70:O70)</f>
        <v>0</v>
      </c>
      <c r="P94" s="103">
        <f>SUM($E24:P24)-SUM($E70:P70)</f>
        <v>0</v>
      </c>
      <c r="Q94" s="103">
        <f>SUM($E24:Q24)-SUM($E70:Q70)</f>
        <v>0</v>
      </c>
      <c r="R94" s="103">
        <f>SUM($E24:R24)-SUM($E70:R70)</f>
        <v>0</v>
      </c>
      <c r="S94" s="103">
        <f>SUM($E24:S24)-SUM($E70:S70)</f>
        <v>0</v>
      </c>
      <c r="T94" s="103">
        <f>SUM($E24:T24)-SUM($E70:T70)</f>
        <v>0</v>
      </c>
      <c r="U94" s="103">
        <f>SUM($E24:U24)-SUM($E70:U70)</f>
        <v>0</v>
      </c>
      <c r="V94" s="103">
        <f>SUM($E24:V24)-SUM($E70:V70)</f>
        <v>0</v>
      </c>
      <c r="W94" s="103">
        <f>SUM($E24:W24)-SUM($E70:W70)</f>
        <v>0</v>
      </c>
      <c r="X94" s="103">
        <f>SUM($E24:X24)-SUM($E70:X70)</f>
        <v>0</v>
      </c>
      <c r="Y94" s="103">
        <f>SUM($E24:Y24)-SUM($E70:Y70)</f>
        <v>0</v>
      </c>
      <c r="Z94" s="103">
        <f>SUM($E24:Z24)-SUM($E70:Z70)</f>
        <v>0</v>
      </c>
      <c r="AA94" s="103">
        <f>SUM($E24:AA24)-SUM($E70:AA70)</f>
        <v>0</v>
      </c>
      <c r="AB94" s="103">
        <f>SUM($E24:AB24)-SUM($E70:AB70)</f>
        <v>0</v>
      </c>
      <c r="AC94" s="103">
        <f>SUM($E24:AC24)-SUM($E70:AC70)</f>
        <v>0</v>
      </c>
      <c r="AD94" s="103">
        <f>SUM($E24:AD24)-SUM($E70:AD70)</f>
        <v>0</v>
      </c>
      <c r="AE94" s="103">
        <f>SUM($E24:AE24)-SUM($E70:AE70)</f>
        <v>0</v>
      </c>
      <c r="AF94" s="103">
        <f>SUM($E24:AF24)-SUM($E70:AF70)</f>
        <v>0</v>
      </c>
      <c r="AG94" s="116">
        <f t="shared" si="10"/>
        <v>0</v>
      </c>
    </row>
    <row r="95" spans="1:33">
      <c r="B95" s="90" t="str">
        <f t="shared" si="11"/>
        <v xml:space="preserve">Энергетика, метрология и эксплуатация </v>
      </c>
      <c r="C95" s="91" t="s">
        <v>67</v>
      </c>
      <c r="D95" s="111"/>
      <c r="E95" s="103">
        <f>SUM($E25:E25)-SUM($E71:E71)</f>
        <v>0</v>
      </c>
      <c r="F95" s="103">
        <f>SUM($E25:F25)-SUM($E71:F71)</f>
        <v>0</v>
      </c>
      <c r="G95" s="103">
        <f>SUM($E25:G25)-SUM($E71:G71)</f>
        <v>0</v>
      </c>
      <c r="H95" s="103">
        <f>SUM($E25:H25)-SUM($E71:H71)</f>
        <v>0</v>
      </c>
      <c r="I95" s="103">
        <f>SUM($E25:I25)-SUM($E71:I71)</f>
        <v>0</v>
      </c>
      <c r="J95" s="103">
        <f>SUM($E25:J25)-SUM($E71:J71)</f>
        <v>0</v>
      </c>
      <c r="K95" s="103">
        <f>SUM($E25:K25)-SUM($E71:K71)</f>
        <v>0</v>
      </c>
      <c r="L95" s="103">
        <f>SUM($E25:L25)-SUM($E71:L71)</f>
        <v>0</v>
      </c>
      <c r="M95" s="103">
        <f>SUM($E25:M25)-SUM($E71:M71)</f>
        <v>0</v>
      </c>
      <c r="N95" s="103">
        <f>SUM($E25:N25)-SUM($E71:N71)</f>
        <v>0</v>
      </c>
      <c r="O95" s="103">
        <f>SUM($E25:O25)-SUM($E71:O71)</f>
        <v>0</v>
      </c>
      <c r="P95" s="103">
        <f>SUM($E25:P25)-SUM($E71:P71)</f>
        <v>0</v>
      </c>
      <c r="Q95" s="103">
        <f>SUM($E25:Q25)-SUM($E71:Q71)</f>
        <v>0</v>
      </c>
      <c r="R95" s="103">
        <f>SUM($E25:R25)-SUM($E71:R71)</f>
        <v>0</v>
      </c>
      <c r="S95" s="103">
        <f>SUM($E25:S25)-SUM($E71:S71)</f>
        <v>0</v>
      </c>
      <c r="T95" s="103">
        <f>SUM($E25:T25)-SUM($E71:T71)</f>
        <v>0</v>
      </c>
      <c r="U95" s="103">
        <f>SUM($E25:U25)-SUM($E71:U71)</f>
        <v>0</v>
      </c>
      <c r="V95" s="103">
        <f>SUM($E25:V25)-SUM($E71:V71)</f>
        <v>0</v>
      </c>
      <c r="W95" s="103">
        <f>SUM($E25:W25)-SUM($E71:W71)</f>
        <v>0</v>
      </c>
      <c r="X95" s="103">
        <f>SUM($E25:X25)-SUM($E71:X71)</f>
        <v>0</v>
      </c>
      <c r="Y95" s="103">
        <f>SUM($E25:Y25)-SUM($E71:Y71)</f>
        <v>0</v>
      </c>
      <c r="Z95" s="103">
        <f>SUM($E25:Z25)-SUM($E71:Z71)</f>
        <v>0</v>
      </c>
      <c r="AA95" s="103">
        <f>SUM($E25:AA25)-SUM($E71:AA71)</f>
        <v>0</v>
      </c>
      <c r="AB95" s="103">
        <f>SUM($E25:AB25)-SUM($E71:AB71)</f>
        <v>0</v>
      </c>
      <c r="AC95" s="103">
        <f>SUM($E25:AC25)-SUM($E71:AC71)</f>
        <v>0</v>
      </c>
      <c r="AD95" s="103">
        <f>SUM($E25:AD25)-SUM($E71:AD71)</f>
        <v>0</v>
      </c>
      <c r="AE95" s="103">
        <f>SUM($E25:AE25)-SUM($E71:AE71)</f>
        <v>0</v>
      </c>
      <c r="AF95" s="103">
        <f>SUM($E25:AF25)-SUM($E71:AF71)</f>
        <v>0</v>
      </c>
      <c r="AG95" s="116">
        <f t="shared" si="10"/>
        <v>0</v>
      </c>
    </row>
    <row r="96" spans="1:33" ht="19">
      <c r="A96" s="257"/>
      <c r="B96" s="258" t="s">
        <v>21</v>
      </c>
      <c r="C96" s="261" t="s">
        <v>71</v>
      </c>
      <c r="D96" s="257"/>
      <c r="E96" s="264">
        <f>SUM(E75:E95)</f>
        <v>1</v>
      </c>
      <c r="F96" s="264">
        <f>SUM(F75:F95)</f>
        <v>0.9642857142857143</v>
      </c>
      <c r="G96" s="264">
        <f>SUM(G75:G95)</f>
        <v>0.9285714285714286</v>
      </c>
      <c r="H96" s="264">
        <f t="shared" ref="H96:M96" si="12">SUM(H75:H95)</f>
        <v>0.8928571428571429</v>
      </c>
      <c r="I96" s="264">
        <f t="shared" si="12"/>
        <v>0.85714285714285721</v>
      </c>
      <c r="J96" s="264">
        <f t="shared" si="12"/>
        <v>0.8214285714285714</v>
      </c>
      <c r="K96" s="264">
        <f t="shared" si="12"/>
        <v>0.78571428571428581</v>
      </c>
      <c r="L96" s="264">
        <f t="shared" si="12"/>
        <v>0.75</v>
      </c>
      <c r="M96" s="264">
        <f t="shared" si="12"/>
        <v>0.71428571428571441</v>
      </c>
      <c r="N96" s="264">
        <f t="shared" ref="N96:T96" si="13">SUM(N75:N95)</f>
        <v>0.6785714285714286</v>
      </c>
      <c r="O96" s="264">
        <f t="shared" si="13"/>
        <v>0.64285714285714302</v>
      </c>
      <c r="P96" s="264">
        <f t="shared" si="13"/>
        <v>0.60714285714285721</v>
      </c>
      <c r="Q96" s="264">
        <f t="shared" si="13"/>
        <v>0.57142857142857162</v>
      </c>
      <c r="R96" s="264">
        <f t="shared" si="13"/>
        <v>0.53571428571428581</v>
      </c>
      <c r="S96" s="264">
        <f t="shared" si="13"/>
        <v>0.50000000000000022</v>
      </c>
      <c r="T96" s="264">
        <f t="shared" si="13"/>
        <v>0.46428571428571441</v>
      </c>
      <c r="U96" s="264">
        <f t="shared" ref="U96:AF96" si="14">SUM(U75:U95)</f>
        <v>0.42857142857142871</v>
      </c>
      <c r="V96" s="264">
        <f t="shared" si="14"/>
        <v>0.39285714285714302</v>
      </c>
      <c r="W96" s="264">
        <f t="shared" si="14"/>
        <v>0.35714285714285732</v>
      </c>
      <c r="X96" s="264">
        <f t="shared" si="14"/>
        <v>0.32142857142857162</v>
      </c>
      <c r="Y96" s="264">
        <f t="shared" si="14"/>
        <v>0.28571428571428592</v>
      </c>
      <c r="Z96" s="264">
        <f t="shared" si="14"/>
        <v>0.25000000000000022</v>
      </c>
      <c r="AA96" s="264">
        <f t="shared" si="14"/>
        <v>0.21428571428571452</v>
      </c>
      <c r="AB96" s="264">
        <f t="shared" si="14"/>
        <v>0.17857142857142883</v>
      </c>
      <c r="AC96" s="264">
        <f t="shared" si="14"/>
        <v>0.14285714285714313</v>
      </c>
      <c r="AD96" s="264">
        <f t="shared" si="14"/>
        <v>0.10714285714285743</v>
      </c>
      <c r="AE96" s="264">
        <f t="shared" si="14"/>
        <v>7.142857142857173E-2</v>
      </c>
      <c r="AF96" s="264">
        <f t="shared" si="14"/>
        <v>3.5714285714286031E-2</v>
      </c>
      <c r="AG96" s="265">
        <f t="shared" ref="AG96" si="15">SUM(AG75:AG95)</f>
        <v>14.500000000000004</v>
      </c>
    </row>
    <row r="97" spans="1:33">
      <c r="D97" s="91"/>
      <c r="E97" s="91"/>
      <c r="F97" s="103"/>
      <c r="G97" s="103"/>
      <c r="H97" s="103"/>
      <c r="I97" s="103"/>
    </row>
    <row r="98" spans="1:33">
      <c r="D98" s="91"/>
      <c r="E98" s="91"/>
      <c r="F98" s="103"/>
      <c r="G98" s="103"/>
      <c r="H98" s="103"/>
      <c r="I98" s="103"/>
    </row>
    <row r="99" spans="1:33" ht="32">
      <c r="B99" s="96" t="s">
        <v>22</v>
      </c>
      <c r="E99" s="103">
        <f>SUM(E75:E81,E85:E95)</f>
        <v>1</v>
      </c>
      <c r="F99" s="103">
        <f>SUM(F75:F81,F85:F95)</f>
        <v>0.9642857142857143</v>
      </c>
      <c r="G99" s="103">
        <f t="shared" ref="G99:AF99" si="16">SUM(G75:G81,G85:G95)</f>
        <v>0.9285714285714286</v>
      </c>
      <c r="H99" s="103">
        <f t="shared" si="16"/>
        <v>0.8928571428571429</v>
      </c>
      <c r="I99" s="103">
        <f t="shared" si="16"/>
        <v>0.85714285714285721</v>
      </c>
      <c r="J99" s="103">
        <f t="shared" si="16"/>
        <v>0.8214285714285714</v>
      </c>
      <c r="K99" s="103">
        <f t="shared" si="16"/>
        <v>0.78571428571428581</v>
      </c>
      <c r="L99" s="103">
        <f t="shared" si="16"/>
        <v>0.75</v>
      </c>
      <c r="M99" s="103">
        <f t="shared" si="16"/>
        <v>0.71428571428571441</v>
      </c>
      <c r="N99" s="103">
        <f t="shared" si="16"/>
        <v>0.6785714285714286</v>
      </c>
      <c r="O99" s="103">
        <f t="shared" si="16"/>
        <v>0.64285714285714302</v>
      </c>
      <c r="P99" s="103">
        <f t="shared" si="16"/>
        <v>0.60714285714285721</v>
      </c>
      <c r="Q99" s="103">
        <f t="shared" si="16"/>
        <v>0.57142857142857162</v>
      </c>
      <c r="R99" s="103">
        <f t="shared" si="16"/>
        <v>0.53571428571428581</v>
      </c>
      <c r="S99" s="103">
        <f t="shared" si="16"/>
        <v>0.50000000000000022</v>
      </c>
      <c r="T99" s="103">
        <f t="shared" si="16"/>
        <v>0.46428571428571441</v>
      </c>
      <c r="U99" s="103">
        <f t="shared" si="16"/>
        <v>0.42857142857142871</v>
      </c>
      <c r="V99" s="103">
        <f t="shared" si="16"/>
        <v>0.39285714285714302</v>
      </c>
      <c r="W99" s="103">
        <f t="shared" si="16"/>
        <v>0.35714285714285732</v>
      </c>
      <c r="X99" s="103">
        <f t="shared" si="16"/>
        <v>0.32142857142857162</v>
      </c>
      <c r="Y99" s="103">
        <f t="shared" si="16"/>
        <v>0.28571428571428592</v>
      </c>
      <c r="Z99" s="103">
        <f t="shared" si="16"/>
        <v>0.25000000000000022</v>
      </c>
      <c r="AA99" s="103">
        <f t="shared" si="16"/>
        <v>0.21428571428571452</v>
      </c>
      <c r="AB99" s="103">
        <f t="shared" si="16"/>
        <v>0.17857142857142883</v>
      </c>
      <c r="AC99" s="103">
        <f t="shared" si="16"/>
        <v>0.14285714285714313</v>
      </c>
      <c r="AD99" s="103">
        <f t="shared" si="16"/>
        <v>0.10714285714285743</v>
      </c>
      <c r="AE99" s="103">
        <f t="shared" si="16"/>
        <v>7.142857142857173E-2</v>
      </c>
      <c r="AF99" s="103">
        <f t="shared" si="16"/>
        <v>3.5714285714286031E-2</v>
      </c>
    </row>
    <row r="100" spans="1:33">
      <c r="B100" s="90" t="s">
        <v>5</v>
      </c>
      <c r="E100" s="227">
        <f>Осн.положения!E24</f>
        <v>5.4999999999999997E-3</v>
      </c>
      <c r="F100" s="227">
        <f>Осн.положения!F24</f>
        <v>5.4999999999999997E-3</v>
      </c>
      <c r="G100" s="227">
        <f>Осн.положения!G24</f>
        <v>5.4999999999999997E-3</v>
      </c>
      <c r="H100" s="227">
        <f>Осн.положения!H24</f>
        <v>5.4999999999999997E-3</v>
      </c>
      <c r="I100" s="227">
        <f>Осн.положения!I24</f>
        <v>5.4999999999999997E-3</v>
      </c>
      <c r="J100" s="227">
        <f>Осн.положения!J24</f>
        <v>5.4999999999999997E-3</v>
      </c>
      <c r="K100" s="227">
        <f>Осн.положения!K24</f>
        <v>5.4999999999999997E-3</v>
      </c>
      <c r="L100" s="227">
        <f>Осн.положения!L24</f>
        <v>5.4999999999999997E-3</v>
      </c>
      <c r="M100" s="227">
        <f>Осн.положения!M24</f>
        <v>5.4999999999999997E-3</v>
      </c>
      <c r="N100" s="227">
        <f>Осн.положения!N24</f>
        <v>5.4999999999999997E-3</v>
      </c>
      <c r="O100" s="227">
        <f>Осн.положения!O24</f>
        <v>5.4999999999999997E-3</v>
      </c>
      <c r="P100" s="227">
        <f>Осн.положения!P24</f>
        <v>5.4999999999999997E-3</v>
      </c>
      <c r="Q100" s="227">
        <f>Осн.положения!Q24</f>
        <v>5.4999999999999997E-3</v>
      </c>
      <c r="R100" s="227">
        <f>Осн.положения!R24</f>
        <v>5.4999999999999997E-3</v>
      </c>
      <c r="S100" s="227">
        <f>Осн.положения!S24</f>
        <v>5.4999999999999997E-3</v>
      </c>
      <c r="T100" s="227">
        <f>Осн.положения!T24</f>
        <v>5.4999999999999997E-3</v>
      </c>
      <c r="U100" s="227">
        <f>Осн.положения!U24</f>
        <v>5.4999999999999997E-3</v>
      </c>
      <c r="V100" s="227">
        <f>Осн.положения!V24</f>
        <v>5.4999999999999997E-3</v>
      </c>
      <c r="W100" s="227">
        <f>Осн.положения!W24</f>
        <v>5.4999999999999997E-3</v>
      </c>
      <c r="X100" s="227">
        <f>Осн.положения!X24</f>
        <v>5.4999999999999997E-3</v>
      </c>
      <c r="Y100" s="227">
        <f>Осн.положения!Y24</f>
        <v>5.4999999999999997E-3</v>
      </c>
      <c r="Z100" s="227">
        <f>Осн.положения!Z24</f>
        <v>5.4999999999999997E-3</v>
      </c>
      <c r="AA100" s="227">
        <f>Осн.положения!AA24</f>
        <v>5.4999999999999997E-3</v>
      </c>
      <c r="AB100" s="227">
        <f>Осн.положения!AB24</f>
        <v>5.4999999999999997E-3</v>
      </c>
      <c r="AC100" s="227">
        <f>Осн.положения!AC24</f>
        <v>5.4999999999999997E-3</v>
      </c>
      <c r="AD100" s="227">
        <f>Осн.положения!AD24</f>
        <v>5.4999999999999997E-3</v>
      </c>
      <c r="AE100" s="227">
        <f>Осн.положения!AE24</f>
        <v>5.4999999999999997E-3</v>
      </c>
      <c r="AF100" s="227">
        <f>Осн.положения!AF24</f>
        <v>5.4999999999999997E-3</v>
      </c>
    </row>
    <row r="101" spans="1:33" s="118" customFormat="1">
      <c r="A101" s="127"/>
      <c r="B101" s="127" t="s">
        <v>142</v>
      </c>
      <c r="C101" s="228" t="s">
        <v>71</v>
      </c>
      <c r="D101" s="127"/>
      <c r="E101" s="229">
        <f>E99*E100</f>
        <v>5.4999999999999997E-3</v>
      </c>
      <c r="F101" s="229">
        <f t="shared" ref="F101:AF101" si="17">F99*F100</f>
        <v>5.3035714285714283E-3</v>
      </c>
      <c r="G101" s="229">
        <f t="shared" si="17"/>
        <v>5.107142857142857E-3</v>
      </c>
      <c r="H101" s="229">
        <f t="shared" si="17"/>
        <v>4.9107142857142856E-3</v>
      </c>
      <c r="I101" s="229">
        <f t="shared" si="17"/>
        <v>4.7142857142857143E-3</v>
      </c>
      <c r="J101" s="229">
        <f t="shared" si="17"/>
        <v>4.517857142857142E-3</v>
      </c>
      <c r="K101" s="229">
        <f t="shared" si="17"/>
        <v>4.3214285714285715E-3</v>
      </c>
      <c r="L101" s="229">
        <f t="shared" si="17"/>
        <v>4.1250000000000002E-3</v>
      </c>
      <c r="M101" s="229">
        <f t="shared" si="17"/>
        <v>3.9285714285714288E-3</v>
      </c>
      <c r="N101" s="229">
        <f t="shared" si="17"/>
        <v>3.7321428571428571E-3</v>
      </c>
      <c r="O101" s="229">
        <f t="shared" si="17"/>
        <v>3.5357142857142866E-3</v>
      </c>
      <c r="P101" s="229">
        <f t="shared" si="17"/>
        <v>3.3392857142857143E-3</v>
      </c>
      <c r="Q101" s="229">
        <f t="shared" si="17"/>
        <v>3.1428571428571439E-3</v>
      </c>
      <c r="R101" s="229">
        <f t="shared" si="17"/>
        <v>2.9464285714285716E-3</v>
      </c>
      <c r="S101" s="229">
        <f t="shared" si="17"/>
        <v>2.7500000000000011E-3</v>
      </c>
      <c r="T101" s="229">
        <f t="shared" si="17"/>
        <v>2.5535714285714289E-3</v>
      </c>
      <c r="U101" s="229">
        <f t="shared" si="17"/>
        <v>2.357142857142858E-3</v>
      </c>
      <c r="V101" s="229">
        <f t="shared" si="17"/>
        <v>2.1607142857142866E-3</v>
      </c>
      <c r="W101" s="229">
        <f t="shared" si="17"/>
        <v>1.9642857142857153E-3</v>
      </c>
      <c r="X101" s="229">
        <f t="shared" si="17"/>
        <v>1.7678571428571437E-3</v>
      </c>
      <c r="Y101" s="229">
        <f t="shared" si="17"/>
        <v>1.5714285714285726E-3</v>
      </c>
      <c r="Z101" s="229">
        <f t="shared" si="17"/>
        <v>1.3750000000000012E-3</v>
      </c>
      <c r="AA101" s="229">
        <f t="shared" si="17"/>
        <v>1.1785714285714299E-3</v>
      </c>
      <c r="AB101" s="229">
        <f t="shared" si="17"/>
        <v>9.8214285714285851E-4</v>
      </c>
      <c r="AC101" s="229">
        <f t="shared" si="17"/>
        <v>7.8571428571428716E-4</v>
      </c>
      <c r="AD101" s="229">
        <f t="shared" si="17"/>
        <v>5.892857142857158E-4</v>
      </c>
      <c r="AE101" s="229">
        <f t="shared" si="17"/>
        <v>3.928571428571445E-4</v>
      </c>
      <c r="AF101" s="229">
        <f t="shared" si="17"/>
        <v>1.9642857142857317E-4</v>
      </c>
      <c r="AG101" s="229">
        <f>SUM(E101:AF101)</f>
        <v>7.9750000000000015E-2</v>
      </c>
    </row>
    <row r="102" spans="1:33"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</row>
    <row r="104" spans="1:33"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</row>
    <row r="105" spans="1:33"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</row>
    <row r="119" spans="3:4">
      <c r="C119" s="106"/>
      <c r="D119" s="107"/>
    </row>
    <row r="132" ht="15.75" customHeight="1"/>
    <row r="137" ht="6" customHeight="1"/>
    <row r="143" ht="4.75" customHeight="1"/>
  </sheetData>
  <phoneticPr fontId="0" type="noConversion"/>
  <pageMargins left="0.75" right="0.75" top="1" bottom="1" header="0.5" footer="0.5"/>
  <pageSetup paperSize="9" scale="33" orientation="landscape" r:id="rId1"/>
  <headerFooter alignWithMargins="0">
    <oddHeader>&amp;C&amp;A&amp;RРП-199-2 Прил. 7. Станд. модель расчета эффективности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  <pageSetUpPr fitToPage="1"/>
  </sheetPr>
  <dimension ref="A1:AI113"/>
  <sheetViews>
    <sheetView showGridLines="0" zoomScale="75" workbookViewId="0">
      <pane xSplit="4" ySplit="2" topLeftCell="V3" activePane="bottomRight" state="frozen"/>
      <selection pane="topRight" activeCell="D1" sqref="D1"/>
      <selection pane="bottomLeft" activeCell="A3" sqref="A3"/>
      <selection pane="bottomRight" activeCell="E6" sqref="E6"/>
    </sheetView>
  </sheetViews>
  <sheetFormatPr baseColWidth="10" defaultColWidth="9.1640625" defaultRowHeight="15"/>
  <cols>
    <col min="1" max="2" width="6.5" style="90" customWidth="1"/>
    <col min="3" max="3" width="51.5" style="90" customWidth="1"/>
    <col min="4" max="4" width="11.1640625" style="90" customWidth="1"/>
    <col min="5" max="6" width="12.5" style="90" customWidth="1"/>
    <col min="7" max="12" width="12.5" style="102" customWidth="1"/>
    <col min="13" max="32" width="12.5" style="90" customWidth="1"/>
    <col min="33" max="33" width="16.5" style="118" bestFit="1" customWidth="1"/>
    <col min="34" max="16384" width="9.1640625" style="90"/>
  </cols>
  <sheetData>
    <row r="1" spans="1:35" ht="19">
      <c r="A1" s="413" t="s">
        <v>1</v>
      </c>
      <c r="B1" s="413"/>
      <c r="C1" s="151" t="s">
        <v>121</v>
      </c>
      <c r="D1" s="240"/>
      <c r="E1" s="240">
        <f>Осн.положения!E1</f>
        <v>0</v>
      </c>
      <c r="F1" s="240">
        <f>Осн.положения!F1</f>
        <v>1</v>
      </c>
      <c r="G1" s="240">
        <f>Осн.положения!G1</f>
        <v>2</v>
      </c>
      <c r="H1" s="240">
        <f>Осн.положения!H1</f>
        <v>3</v>
      </c>
      <c r="I1" s="240">
        <f>Осн.положения!I1</f>
        <v>4</v>
      </c>
      <c r="J1" s="240">
        <f>Осн.положения!J1</f>
        <v>5</v>
      </c>
      <c r="K1" s="240">
        <f>Осн.положения!K1</f>
        <v>6</v>
      </c>
      <c r="L1" s="240">
        <f>Осн.положения!L1</f>
        <v>7</v>
      </c>
      <c r="M1" s="240">
        <f>Осн.положения!M1</f>
        <v>8</v>
      </c>
      <c r="N1" s="240">
        <f>Осн.положения!N1</f>
        <v>9</v>
      </c>
      <c r="O1" s="240">
        <f>Осн.положения!O1</f>
        <v>10</v>
      </c>
      <c r="P1" s="240">
        <f>Осн.положения!P1</f>
        <v>11</v>
      </c>
      <c r="Q1" s="240">
        <f>Осн.положения!Q1</f>
        <v>12</v>
      </c>
      <c r="R1" s="240">
        <f>Осн.положения!R1</f>
        <v>13</v>
      </c>
      <c r="S1" s="240">
        <f>Осн.положения!S1</f>
        <v>14</v>
      </c>
      <c r="T1" s="240">
        <f>Осн.положения!T1</f>
        <v>15</v>
      </c>
      <c r="U1" s="240">
        <f>Осн.положения!U1</f>
        <v>16</v>
      </c>
      <c r="V1" s="240">
        <f>Осн.положения!V1</f>
        <v>17</v>
      </c>
      <c r="W1" s="240">
        <f>Осн.положения!W1</f>
        <v>18</v>
      </c>
      <c r="X1" s="240">
        <f>Осн.положения!X1</f>
        <v>19</v>
      </c>
      <c r="Y1" s="240">
        <f>Осн.положения!Y1</f>
        <v>20</v>
      </c>
      <c r="Z1" s="240">
        <f>Осн.положения!Z1</f>
        <v>21</v>
      </c>
      <c r="AA1" s="240">
        <f>Осн.положения!AA1</f>
        <v>22</v>
      </c>
      <c r="AB1" s="240">
        <f>Осн.положения!AB1</f>
        <v>23</v>
      </c>
      <c r="AC1" s="240">
        <f>Осн.положения!AC1</f>
        <v>24</v>
      </c>
      <c r="AD1" s="240">
        <f>Осн.положения!AD1</f>
        <v>25</v>
      </c>
      <c r="AE1" s="240">
        <f>Осн.положения!AE1</f>
        <v>26</v>
      </c>
      <c r="AF1" s="240">
        <f>Осн.положения!AF1</f>
        <v>27</v>
      </c>
    </row>
    <row r="2" spans="1:35" ht="32">
      <c r="A2" s="242"/>
      <c r="B2" s="243"/>
      <c r="C2" s="241"/>
      <c r="D2" s="234" t="s">
        <v>2</v>
      </c>
      <c r="E2" s="231" t="str">
        <f>Осн.положения!E3</f>
        <v>3Q22</v>
      </c>
      <c r="F2" s="231" t="str">
        <f>Осн.положения!F3</f>
        <v>4Q22</v>
      </c>
      <c r="G2" s="231" t="str">
        <f>Осн.положения!G3</f>
        <v>1Q23</v>
      </c>
      <c r="H2" s="231" t="str">
        <f>Осн.положения!H3</f>
        <v>2Q23</v>
      </c>
      <c r="I2" s="231" t="str">
        <f>Осн.положения!I3</f>
        <v>3Q23</v>
      </c>
      <c r="J2" s="231" t="str">
        <f>Осн.положения!J3</f>
        <v>4Q23</v>
      </c>
      <c r="K2" s="231" t="str">
        <f>Осн.положения!K3</f>
        <v>1Q24</v>
      </c>
      <c r="L2" s="231" t="str">
        <f>Осн.положения!L3</f>
        <v>2Q24</v>
      </c>
      <c r="M2" s="231" t="str">
        <f>Осн.положения!M3</f>
        <v>3Q24</v>
      </c>
      <c r="N2" s="231" t="str">
        <f>Осн.положения!N3</f>
        <v>4Q24</v>
      </c>
      <c r="O2" s="231" t="str">
        <f>Осн.положения!O3</f>
        <v>1Q25</v>
      </c>
      <c r="P2" s="231" t="str">
        <f>Осн.положения!P3</f>
        <v>2Q25</v>
      </c>
      <c r="Q2" s="231" t="str">
        <f>Осн.положения!Q3</f>
        <v>3Q25</v>
      </c>
      <c r="R2" s="231" t="str">
        <f>Осн.положения!R3</f>
        <v>4Q25</v>
      </c>
      <c r="S2" s="231" t="str">
        <f>Осн.положения!S3</f>
        <v>1Q26</v>
      </c>
      <c r="T2" s="231" t="str">
        <f>Осн.положения!T3</f>
        <v>2Q26</v>
      </c>
      <c r="U2" s="231" t="str">
        <f>Осн.положения!U3</f>
        <v>3Q26</v>
      </c>
      <c r="V2" s="231" t="str">
        <f>Осн.положения!V3</f>
        <v>4Q26</v>
      </c>
      <c r="W2" s="231" t="str">
        <f>Осн.положения!W3</f>
        <v>1Q27</v>
      </c>
      <c r="X2" s="231" t="str">
        <f>Осн.положения!X3</f>
        <v>2Q27</v>
      </c>
      <c r="Y2" s="231" t="str">
        <f>Осн.положения!Y3</f>
        <v>3Q27</v>
      </c>
      <c r="Z2" s="231" t="str">
        <f>Осн.положения!Z3</f>
        <v>4Q27</v>
      </c>
      <c r="AA2" s="231" t="str">
        <f>Осн.положения!AA3</f>
        <v>1Q28</v>
      </c>
      <c r="AB2" s="231" t="str">
        <f>Осн.положения!AB3</f>
        <v>2Q28</v>
      </c>
      <c r="AC2" s="231" t="str">
        <f>Осн.положения!AC3</f>
        <v>3Q28</v>
      </c>
      <c r="AD2" s="231" t="str">
        <f>Осн.положения!AD3</f>
        <v>4Q28</v>
      </c>
      <c r="AE2" s="231" t="str">
        <f>Осн.положения!AE3</f>
        <v>1Q29</v>
      </c>
      <c r="AF2" s="231" t="str">
        <f>Осн.положения!AF3</f>
        <v>2Q29</v>
      </c>
      <c r="AG2" s="231" t="s">
        <v>42</v>
      </c>
    </row>
    <row r="3" spans="1:35">
      <c r="D3" s="119"/>
      <c r="E3" s="120"/>
      <c r="F3" s="120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</row>
    <row r="4" spans="1:35" ht="19">
      <c r="A4" s="257"/>
      <c r="B4" s="257"/>
      <c r="C4" s="258" t="s">
        <v>16</v>
      </c>
      <c r="D4" s="257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60"/>
    </row>
    <row r="5" spans="1:35">
      <c r="C5" s="118" t="s">
        <v>8</v>
      </c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21"/>
      <c r="AH5" s="103"/>
    </row>
    <row r="6" spans="1:35">
      <c r="C6" s="90" t="s">
        <v>9</v>
      </c>
      <c r="D6" s="91" t="s">
        <v>71</v>
      </c>
      <c r="E6" s="105">
        <f>Ден.поток!E4</f>
        <v>979813.875</v>
      </c>
      <c r="F6" s="105">
        <f>Ден.поток!F4</f>
        <v>1028555.8375</v>
      </c>
      <c r="G6" s="105">
        <f>Ден.поток!G4</f>
        <v>1079847.8</v>
      </c>
      <c r="H6" s="105">
        <f>Ден.поток!H4</f>
        <v>1133597.2625</v>
      </c>
      <c r="I6" s="105">
        <f>Ден.поток!I4</f>
        <v>1190121.2250000001</v>
      </c>
      <c r="J6" s="105">
        <f>Ден.поток!J4</f>
        <v>1249379.6875</v>
      </c>
      <c r="K6" s="105">
        <f>Ден.поток!K4</f>
        <v>1311617.1499999999</v>
      </c>
      <c r="L6" s="105">
        <f>Ден.поток!L4</f>
        <v>1377034.6125</v>
      </c>
      <c r="M6" s="105">
        <f>Ден.поток!M4</f>
        <v>1445463.575</v>
      </c>
      <c r="N6" s="105">
        <f>Ден.поток!N4</f>
        <v>1517439.0375000001</v>
      </c>
      <c r="O6" s="105">
        <f>Ден.поток!O4</f>
        <v>1593020</v>
      </c>
      <c r="P6" s="105">
        <f>Ден.поток!P4</f>
        <v>1672245.9624999999</v>
      </c>
      <c r="Q6" s="105">
        <f>Ден.поток!Q4</f>
        <v>1755357.925</v>
      </c>
      <c r="R6" s="105">
        <f>Ден.поток!R4</f>
        <v>1842708.8875</v>
      </c>
      <c r="S6" s="105">
        <f>Ден.поток!S4</f>
        <v>1934371.35</v>
      </c>
      <c r="T6" s="105">
        <f>Ден.поток!T4</f>
        <v>2030615.8125</v>
      </c>
      <c r="U6" s="105">
        <f>Ден.поток!U4</f>
        <v>0</v>
      </c>
      <c r="V6" s="105">
        <f>Ден.поток!V4</f>
        <v>2237870.2374999998</v>
      </c>
      <c r="W6" s="105">
        <f>Ден.поток!W4</f>
        <v>2349223.2000000002</v>
      </c>
      <c r="X6" s="105">
        <f>Ден.поток!X4</f>
        <v>2466085.1625000001</v>
      </c>
      <c r="Y6" s="105">
        <f>Ден.поток!Y4</f>
        <v>2588799.125</v>
      </c>
      <c r="Z6" s="105">
        <f>Ден.поток!Z4</f>
        <v>2717579.5874999999</v>
      </c>
      <c r="AA6" s="105">
        <f>Ден.поток!AA4</f>
        <v>2852766.05</v>
      </c>
      <c r="AB6" s="105">
        <f>Ден.поток!AB4</f>
        <v>2994665.5125000002</v>
      </c>
      <c r="AC6" s="105">
        <f>Ден.поток!AC4</f>
        <v>3143624.4750000001</v>
      </c>
      <c r="AD6" s="105">
        <f>Ден.поток!AD4</f>
        <v>3300078.4375</v>
      </c>
      <c r="AE6" s="105">
        <f>Ден.поток!AE4</f>
        <v>3464274.4</v>
      </c>
      <c r="AF6" s="105">
        <f>Ден.поток!AF4</f>
        <v>3636657.8624999998</v>
      </c>
      <c r="AG6" s="123">
        <f t="shared" ref="AG6:AG13" si="0">SUM(E6:AF6)</f>
        <v>54892814.049999997</v>
      </c>
    </row>
    <row r="7" spans="1:35">
      <c r="C7" s="90" t="s">
        <v>10</v>
      </c>
      <c r="D7" s="91" t="s">
        <v>71</v>
      </c>
      <c r="E7" s="105">
        <f>Ден.поток!E5</f>
        <v>-1266360.5874999999</v>
      </c>
      <c r="F7" s="105">
        <f>Ден.поток!F5</f>
        <v>-1271234.7837499999</v>
      </c>
      <c r="G7" s="105">
        <f>Ден.поток!G5</f>
        <v>-1276363.98</v>
      </c>
      <c r="H7" s="105">
        <f>Ден.поток!H5</f>
        <v>-1281738.92625</v>
      </c>
      <c r="I7" s="105">
        <f>Ден.поток!I5</f>
        <v>-1287391.3225</v>
      </c>
      <c r="J7" s="105">
        <f>Ден.поток!J5</f>
        <v>-1293317.16875</v>
      </c>
      <c r="K7" s="105">
        <f>Ден.поток!K5</f>
        <v>-1299540.915</v>
      </c>
      <c r="L7" s="105">
        <f>Ден.поток!L5</f>
        <v>-1306082.6612499999</v>
      </c>
      <c r="M7" s="105">
        <f>Ден.поток!M5</f>
        <v>-1312925.5574999999</v>
      </c>
      <c r="N7" s="105">
        <f>Ден.поток!N5</f>
        <v>-1320123.10375</v>
      </c>
      <c r="O7" s="105">
        <f>Ден.поток!O5</f>
        <v>-1327681.2</v>
      </c>
      <c r="P7" s="105">
        <f>Ден.поток!P5</f>
        <v>-1335603.7962499999</v>
      </c>
      <c r="Q7" s="105">
        <f>Ден.поток!Q5</f>
        <v>-1343914.9924999999</v>
      </c>
      <c r="R7" s="105">
        <f>Ден.поток!R5</f>
        <v>-1856296.0887499999</v>
      </c>
      <c r="S7" s="105">
        <f>Ден.поток!S5</f>
        <v>-1865462.335</v>
      </c>
      <c r="T7" s="105">
        <f>Ден.поток!T5</f>
        <v>-1875086.78125</v>
      </c>
      <c r="U7" s="105">
        <f>Ден.поток!U5</f>
        <v>-1672025.2</v>
      </c>
      <c r="V7" s="105">
        <f>Ден.поток!V5</f>
        <v>-1895812.2237499999</v>
      </c>
      <c r="W7" s="105">
        <f>Ден.поток!W5</f>
        <v>-1906947.52</v>
      </c>
      <c r="X7" s="105">
        <f>Ден.поток!X5</f>
        <v>-1918633.7162500001</v>
      </c>
      <c r="Y7" s="105">
        <f>Ден.поток!Y5</f>
        <v>-1930905.1125</v>
      </c>
      <c r="Z7" s="105">
        <f>Ден.поток!Z5</f>
        <v>-1943783.1587499999</v>
      </c>
      <c r="AA7" s="105">
        <f>Ден.поток!AA5</f>
        <v>-1957301.8049999999</v>
      </c>
      <c r="AB7" s="105">
        <f>Ден.поток!AB5</f>
        <v>-3986075.7512500002</v>
      </c>
      <c r="AC7" s="105">
        <f>Ден.поток!AC5</f>
        <v>-4000971.6475</v>
      </c>
      <c r="AD7" s="105">
        <f>Ден.поток!AD5</f>
        <v>-4016617.0437500002</v>
      </c>
      <c r="AE7" s="105">
        <f>Ден.поток!AE5</f>
        <v>-4033036.64</v>
      </c>
      <c r="AF7" s="105">
        <f>Ден.поток!AF5</f>
        <v>-4050274.9862500001</v>
      </c>
      <c r="AG7" s="123">
        <f t="shared" si="0"/>
        <v>-55831509.004999995</v>
      </c>
    </row>
    <row r="8" spans="1:35">
      <c r="C8" s="90" t="s">
        <v>25</v>
      </c>
      <c r="D8" s="91" t="s">
        <v>71</v>
      </c>
      <c r="E8" s="105">
        <f>-Амортизация!E72</f>
        <v>0</v>
      </c>
      <c r="F8" s="105">
        <f>-Амортизация!F72</f>
        <v>-3.5714285714285712E-2</v>
      </c>
      <c r="G8" s="105">
        <f>-Амортизация!G72</f>
        <v>-3.5714285714285712E-2</v>
      </c>
      <c r="H8" s="105">
        <f>-Амортизация!H72</f>
        <v>-3.5714285714285712E-2</v>
      </c>
      <c r="I8" s="105">
        <f>-Амортизация!I72</f>
        <v>-3.5714285714285712E-2</v>
      </c>
      <c r="J8" s="105">
        <f>-Амортизация!J72</f>
        <v>-3.5714285714285712E-2</v>
      </c>
      <c r="K8" s="105">
        <f>-Амортизация!K72</f>
        <v>-3.5714285714285712E-2</v>
      </c>
      <c r="L8" s="105">
        <f>-Амортизация!L72</f>
        <v>-3.5714285714285712E-2</v>
      </c>
      <c r="M8" s="105">
        <f>-Амортизация!M72</f>
        <v>-3.5714285714285712E-2</v>
      </c>
      <c r="N8" s="105">
        <f>-Амортизация!N72</f>
        <v>-3.5714285714285712E-2</v>
      </c>
      <c r="O8" s="105">
        <f>-Амортизация!O72</f>
        <v>-3.5714285714285712E-2</v>
      </c>
      <c r="P8" s="105">
        <f>-Амортизация!P72</f>
        <v>-3.5714285714285712E-2</v>
      </c>
      <c r="Q8" s="105">
        <f>-Амортизация!Q72</f>
        <v>-3.5714285714285712E-2</v>
      </c>
      <c r="R8" s="105">
        <f>-Амортизация!R72</f>
        <v>-3.5714285714285712E-2</v>
      </c>
      <c r="S8" s="105">
        <f>-Амортизация!S72</f>
        <v>-3.5714285714285712E-2</v>
      </c>
      <c r="T8" s="105">
        <f>-Амортизация!T72</f>
        <v>-3.5714285714285712E-2</v>
      </c>
      <c r="U8" s="105">
        <f>-Амортизация!U72</f>
        <v>-3.5714285714285712E-2</v>
      </c>
      <c r="V8" s="105">
        <f>-Амортизация!V72</f>
        <v>-3.5714285714285712E-2</v>
      </c>
      <c r="W8" s="105">
        <f>-Амортизация!W72</f>
        <v>-3.5714285714285712E-2</v>
      </c>
      <c r="X8" s="105">
        <f>-Амортизация!X72</f>
        <v>-3.5714285714285712E-2</v>
      </c>
      <c r="Y8" s="105">
        <f>-Амортизация!Y72</f>
        <v>-3.5714285714285712E-2</v>
      </c>
      <c r="Z8" s="105">
        <f>-Амортизация!Z72</f>
        <v>-3.5714285714285712E-2</v>
      </c>
      <c r="AA8" s="105">
        <f>-Амортизация!AA72</f>
        <v>-3.5714285714285712E-2</v>
      </c>
      <c r="AB8" s="105">
        <f>-Амортизация!AB72</f>
        <v>-3.5714285714285712E-2</v>
      </c>
      <c r="AC8" s="105">
        <f>-Амортизация!AC72</f>
        <v>-3.5714285714285712E-2</v>
      </c>
      <c r="AD8" s="105">
        <f>-Амортизация!AD72</f>
        <v>-3.5714285714285712E-2</v>
      </c>
      <c r="AE8" s="105">
        <f>-Амортизация!AE72</f>
        <v>-3.5714285714285712E-2</v>
      </c>
      <c r="AF8" s="105">
        <f>-Амортизация!AF72</f>
        <v>-3.5714285714285712E-2</v>
      </c>
      <c r="AG8" s="123">
        <f t="shared" si="0"/>
        <v>-0.96428571428571397</v>
      </c>
    </row>
    <row r="9" spans="1:35">
      <c r="C9" s="90" t="s">
        <v>11</v>
      </c>
      <c r="D9" s="91" t="s">
        <v>71</v>
      </c>
      <c r="E9" s="122">
        <f t="shared" ref="E9:AF9" si="1">SUM(E6:E8)-E22</f>
        <v>-286546.71799999994</v>
      </c>
      <c r="F9" s="122">
        <f t="shared" si="1"/>
        <v>-242678.98726785707</v>
      </c>
      <c r="G9" s="122">
        <f t="shared" si="1"/>
        <v>-196516.22082142849</v>
      </c>
      <c r="H9" s="122">
        <f t="shared" si="1"/>
        <v>-148141.70437500006</v>
      </c>
      <c r="I9" s="122">
        <f t="shared" si="1"/>
        <v>-97270.137928571334</v>
      </c>
      <c r="J9" s="122">
        <f t="shared" si="1"/>
        <v>-43937.521482142816</v>
      </c>
      <c r="K9" s="122">
        <f t="shared" si="1"/>
        <v>12076.194964285585</v>
      </c>
      <c r="L9" s="122">
        <f t="shared" si="1"/>
        <v>70951.911410714441</v>
      </c>
      <c r="M9" s="122">
        <f t="shared" si="1"/>
        <v>132537.97785714295</v>
      </c>
      <c r="N9" s="122">
        <f t="shared" si="1"/>
        <v>197315.89430357152</v>
      </c>
      <c r="O9" s="122">
        <f t="shared" si="1"/>
        <v>265338.76075000002</v>
      </c>
      <c r="P9" s="122">
        <f t="shared" si="1"/>
        <v>336642.12719642854</v>
      </c>
      <c r="Q9" s="122">
        <f t="shared" si="1"/>
        <v>411442.89364285721</v>
      </c>
      <c r="R9" s="122">
        <f t="shared" si="1"/>
        <v>-13587.23991071421</v>
      </c>
      <c r="S9" s="122">
        <f t="shared" si="1"/>
        <v>68908.976535714421</v>
      </c>
      <c r="T9" s="122">
        <f t="shared" si="1"/>
        <v>155528.99298214287</v>
      </c>
      <c r="U9" s="122">
        <f t="shared" si="1"/>
        <v>-1672025.2380714284</v>
      </c>
      <c r="V9" s="122">
        <f t="shared" si="1"/>
        <v>342057.97587499989</v>
      </c>
      <c r="W9" s="122">
        <f t="shared" si="1"/>
        <v>442275.64232142869</v>
      </c>
      <c r="X9" s="122">
        <f t="shared" si="1"/>
        <v>547451.40876785724</v>
      </c>
      <c r="Y9" s="122">
        <f t="shared" si="1"/>
        <v>657893.97521428566</v>
      </c>
      <c r="Z9" s="122">
        <f t="shared" si="1"/>
        <v>773796.39166071429</v>
      </c>
      <c r="AA9" s="122">
        <f t="shared" si="1"/>
        <v>895464.20810714283</v>
      </c>
      <c r="AB9" s="122">
        <f t="shared" si="1"/>
        <v>-991410.27544642857</v>
      </c>
      <c r="AC9" s="122">
        <f t="shared" si="1"/>
        <v>-857347.2089999998</v>
      </c>
      <c r="AD9" s="122">
        <f t="shared" si="1"/>
        <v>-716538.64255357161</v>
      </c>
      <c r="AE9" s="122">
        <f t="shared" si="1"/>
        <v>-568762.27610714303</v>
      </c>
      <c r="AF9" s="122">
        <f t="shared" si="1"/>
        <v>-413617.15966071456</v>
      </c>
      <c r="AG9" s="139">
        <f t="shared" si="0"/>
        <v>-938695.99903571396</v>
      </c>
    </row>
    <row r="10" spans="1:35">
      <c r="D10" s="91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23"/>
      <c r="AH10" s="103"/>
      <c r="AI10" s="103"/>
    </row>
    <row r="11" spans="1:35">
      <c r="A11" s="118"/>
      <c r="B11" s="118"/>
      <c r="C11" s="118" t="s">
        <v>12</v>
      </c>
      <c r="D11" s="91" t="s">
        <v>3</v>
      </c>
      <c r="E11" s="124">
        <f>Осн.положения!E25</f>
        <v>0.2</v>
      </c>
      <c r="F11" s="124">
        <f>Осн.положения!F25</f>
        <v>0.2</v>
      </c>
      <c r="G11" s="124">
        <f>Осн.положения!G25</f>
        <v>0.2</v>
      </c>
      <c r="H11" s="124">
        <f>Осн.положения!H25</f>
        <v>0.2</v>
      </c>
      <c r="I11" s="124">
        <f>Осн.положения!I25</f>
        <v>0.2</v>
      </c>
      <c r="J11" s="124">
        <f>Осн.положения!J25</f>
        <v>0.2</v>
      </c>
      <c r="K11" s="124">
        <f>Осн.положения!K25</f>
        <v>0.2</v>
      </c>
      <c r="L11" s="124">
        <f>Осн.положения!L25</f>
        <v>0.2</v>
      </c>
      <c r="M11" s="124">
        <f>Осн.положения!M25</f>
        <v>0.2</v>
      </c>
      <c r="N11" s="124">
        <f>Осн.положения!N25</f>
        <v>0.2</v>
      </c>
      <c r="O11" s="124">
        <f>Осн.положения!O25</f>
        <v>0.2</v>
      </c>
      <c r="P11" s="124">
        <f>Осн.положения!P25</f>
        <v>0.2</v>
      </c>
      <c r="Q11" s="124">
        <f>Осн.положения!Q25</f>
        <v>0.2</v>
      </c>
      <c r="R11" s="124">
        <f>Осн.положения!R25</f>
        <v>0.2</v>
      </c>
      <c r="S11" s="124">
        <f>Осн.положения!S25</f>
        <v>0.2</v>
      </c>
      <c r="T11" s="124">
        <f>Осн.положения!T25</f>
        <v>0.2</v>
      </c>
      <c r="U11" s="124">
        <f>Осн.положения!U25</f>
        <v>0.2</v>
      </c>
      <c r="V11" s="124">
        <f>Осн.положения!V25</f>
        <v>0.2</v>
      </c>
      <c r="W11" s="124">
        <f>Осн.положения!W25</f>
        <v>0.2</v>
      </c>
      <c r="X11" s="124">
        <f>Осн.положения!X25</f>
        <v>0.2</v>
      </c>
      <c r="Y11" s="124">
        <f>Осн.положения!Y25</f>
        <v>0.2</v>
      </c>
      <c r="Z11" s="124">
        <f>Осн.положения!Z25</f>
        <v>0.2</v>
      </c>
      <c r="AA11" s="124">
        <f>Осн.положения!AA25</f>
        <v>0.2</v>
      </c>
      <c r="AB11" s="124">
        <f>Осн.положения!AB25</f>
        <v>0.2</v>
      </c>
      <c r="AC11" s="124">
        <f>Осн.положения!AC25</f>
        <v>0.2</v>
      </c>
      <c r="AD11" s="124">
        <f>Осн.положения!AD25</f>
        <v>0.2</v>
      </c>
      <c r="AE11" s="124">
        <f>Осн.положения!AE25</f>
        <v>0.2</v>
      </c>
      <c r="AF11" s="124">
        <f>Осн.положения!AF25</f>
        <v>0.2</v>
      </c>
      <c r="AG11" s="125"/>
    </row>
    <row r="12" spans="1:35">
      <c r="A12" s="118"/>
      <c r="B12" s="118"/>
      <c r="D12" s="91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26"/>
    </row>
    <row r="13" spans="1:35" s="118" customFormat="1" ht="19">
      <c r="A13" s="257"/>
      <c r="B13" s="257"/>
      <c r="C13" s="258" t="s">
        <v>13</v>
      </c>
      <c r="D13" s="261" t="s">
        <v>71</v>
      </c>
      <c r="E13" s="252">
        <f>E11*E9</f>
        <v>-57309.343599999993</v>
      </c>
      <c r="F13" s="252">
        <f t="shared" ref="F13:AF13" si="2">F11*F9</f>
        <v>-48535.797453571417</v>
      </c>
      <c r="G13" s="252">
        <f t="shared" si="2"/>
        <v>-39303.244164285701</v>
      </c>
      <c r="H13" s="252">
        <f t="shared" si="2"/>
        <v>-29628.340875000013</v>
      </c>
      <c r="I13" s="252">
        <f t="shared" si="2"/>
        <v>-19454.027585714266</v>
      </c>
      <c r="J13" s="252">
        <f t="shared" si="2"/>
        <v>-8787.504296428564</v>
      </c>
      <c r="K13" s="252">
        <f t="shared" si="2"/>
        <v>2415.238992857117</v>
      </c>
      <c r="L13" s="252">
        <f t="shared" si="2"/>
        <v>14190.382282142889</v>
      </c>
      <c r="M13" s="252">
        <f t="shared" si="2"/>
        <v>26507.595571428592</v>
      </c>
      <c r="N13" s="252">
        <f t="shared" si="2"/>
        <v>39463.17886071431</v>
      </c>
      <c r="O13" s="252">
        <f t="shared" si="2"/>
        <v>53067.752150000008</v>
      </c>
      <c r="P13" s="252">
        <f t="shared" si="2"/>
        <v>67328.425439285711</v>
      </c>
      <c r="Q13" s="252">
        <f t="shared" si="2"/>
        <v>82288.578728571447</v>
      </c>
      <c r="R13" s="252">
        <f t="shared" si="2"/>
        <v>-2717.4479821428422</v>
      </c>
      <c r="S13" s="252">
        <f t="shared" si="2"/>
        <v>13781.795307142886</v>
      </c>
      <c r="T13" s="252">
        <f t="shared" si="2"/>
        <v>31105.798596428576</v>
      </c>
      <c r="U13" s="252">
        <f t="shared" si="2"/>
        <v>-334405.04761428572</v>
      </c>
      <c r="V13" s="252">
        <f t="shared" si="2"/>
        <v>68411.59517499998</v>
      </c>
      <c r="W13" s="252">
        <f t="shared" si="2"/>
        <v>88455.12846428575</v>
      </c>
      <c r="X13" s="252">
        <f t="shared" si="2"/>
        <v>109490.28175357146</v>
      </c>
      <c r="Y13" s="252">
        <f t="shared" si="2"/>
        <v>131578.79504285715</v>
      </c>
      <c r="Z13" s="252">
        <f t="shared" si="2"/>
        <v>154759.27833214286</v>
      </c>
      <c r="AA13" s="252">
        <f t="shared" si="2"/>
        <v>179092.84162142858</v>
      </c>
      <c r="AB13" s="252">
        <f t="shared" si="2"/>
        <v>-198282.05508928571</v>
      </c>
      <c r="AC13" s="252">
        <f t="shared" si="2"/>
        <v>-171469.44179999997</v>
      </c>
      <c r="AD13" s="252">
        <f t="shared" si="2"/>
        <v>-143307.72851071434</v>
      </c>
      <c r="AE13" s="252">
        <f t="shared" si="2"/>
        <v>-113752.45522142861</v>
      </c>
      <c r="AF13" s="252">
        <f t="shared" si="2"/>
        <v>-82723.431932142921</v>
      </c>
      <c r="AG13" s="253">
        <f t="shared" si="0"/>
        <v>-187739.19980714281</v>
      </c>
    </row>
    <row r="14" spans="1:35">
      <c r="A14" s="118"/>
      <c r="B14" s="118"/>
      <c r="D14" s="9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90"/>
    </row>
    <row r="15" spans="1:35">
      <c r="A15" s="118"/>
      <c r="B15" s="118"/>
      <c r="D15" s="91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90"/>
    </row>
    <row r="16" spans="1:35" ht="19">
      <c r="A16" s="257"/>
      <c r="B16" s="257"/>
      <c r="C16" s="258" t="s">
        <v>31</v>
      </c>
      <c r="D16" s="257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60"/>
    </row>
    <row r="17" spans="1:33">
      <c r="A17" s="127"/>
      <c r="B17" s="127"/>
      <c r="C17" s="127" t="s">
        <v>4</v>
      </c>
      <c r="D17" s="127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36"/>
    </row>
    <row r="18" spans="1:33" ht="32">
      <c r="A18" s="118"/>
      <c r="B18" s="118"/>
      <c r="C18" s="96" t="s">
        <v>22</v>
      </c>
      <c r="D18" s="91" t="s">
        <v>71</v>
      </c>
      <c r="E18" s="105">
        <f>Амортизация!E99</f>
        <v>1</v>
      </c>
      <c r="F18" s="105">
        <f>Амортизация!F99</f>
        <v>0.9642857142857143</v>
      </c>
      <c r="G18" s="105">
        <f>Амортизация!G99</f>
        <v>0.9285714285714286</v>
      </c>
      <c r="H18" s="105">
        <f>Амортизация!H99</f>
        <v>0.8928571428571429</v>
      </c>
      <c r="I18" s="105">
        <f>Амортизация!I99</f>
        <v>0.85714285714285721</v>
      </c>
      <c r="J18" s="105">
        <f>Амортизация!J99</f>
        <v>0.8214285714285714</v>
      </c>
      <c r="K18" s="105">
        <f>Амортизация!K99</f>
        <v>0.78571428571428581</v>
      </c>
      <c r="L18" s="105">
        <f>Амортизация!L99</f>
        <v>0.75</v>
      </c>
      <c r="M18" s="105">
        <f>Амортизация!M99</f>
        <v>0.71428571428571441</v>
      </c>
      <c r="N18" s="105">
        <f>Амортизация!N99</f>
        <v>0.6785714285714286</v>
      </c>
      <c r="O18" s="105">
        <f>Амортизация!O99</f>
        <v>0.64285714285714302</v>
      </c>
      <c r="P18" s="105">
        <f>Амортизация!P99</f>
        <v>0.60714285714285721</v>
      </c>
      <c r="Q18" s="105">
        <f>Амортизация!Q99</f>
        <v>0.57142857142857162</v>
      </c>
      <c r="R18" s="105">
        <f>Амортизация!R99</f>
        <v>0.53571428571428581</v>
      </c>
      <c r="S18" s="105">
        <f>Амортизация!S99</f>
        <v>0.50000000000000022</v>
      </c>
      <c r="T18" s="105">
        <f>Амортизация!T99</f>
        <v>0.46428571428571441</v>
      </c>
      <c r="U18" s="105">
        <f>Амортизация!U99</f>
        <v>0.42857142857142871</v>
      </c>
      <c r="V18" s="105">
        <f>Амортизация!V99</f>
        <v>0.39285714285714302</v>
      </c>
      <c r="W18" s="105">
        <f>Амортизация!W99</f>
        <v>0.35714285714285732</v>
      </c>
      <c r="X18" s="105">
        <f>Амортизация!X99</f>
        <v>0.32142857142857162</v>
      </c>
      <c r="Y18" s="105">
        <f>Амортизация!Y99</f>
        <v>0.28571428571428592</v>
      </c>
      <c r="Z18" s="105">
        <f>Амортизация!Z99</f>
        <v>0.25000000000000022</v>
      </c>
      <c r="AA18" s="105">
        <f>Амортизация!AA99</f>
        <v>0.21428571428571452</v>
      </c>
      <c r="AB18" s="105">
        <f>Амортизация!AB99</f>
        <v>0.17857142857142883</v>
      </c>
      <c r="AC18" s="105">
        <f>Амортизация!AC99</f>
        <v>0.14285714285714313</v>
      </c>
      <c r="AD18" s="105">
        <f>Амортизация!AD99</f>
        <v>0.10714285714285743</v>
      </c>
      <c r="AE18" s="105">
        <f>Амортизация!AE99</f>
        <v>7.142857142857173E-2</v>
      </c>
      <c r="AF18" s="105">
        <f>Амортизация!AF99</f>
        <v>3.5714285714286031E-2</v>
      </c>
      <c r="AG18" s="137"/>
    </row>
    <row r="19" spans="1:33">
      <c r="A19" s="118"/>
      <c r="B19" s="118"/>
      <c r="C19" s="90" t="s">
        <v>5</v>
      </c>
      <c r="D19" s="91" t="s">
        <v>3</v>
      </c>
      <c r="E19" s="128">
        <f>Осн.положения!E24</f>
        <v>5.4999999999999997E-3</v>
      </c>
      <c r="F19" s="128">
        <f>Осн.положения!F24</f>
        <v>5.4999999999999997E-3</v>
      </c>
      <c r="G19" s="128">
        <f>Осн.положения!G24</f>
        <v>5.4999999999999997E-3</v>
      </c>
      <c r="H19" s="128">
        <f>Осн.положения!H24</f>
        <v>5.4999999999999997E-3</v>
      </c>
      <c r="I19" s="128">
        <f>Осн.положения!I24</f>
        <v>5.4999999999999997E-3</v>
      </c>
      <c r="J19" s="128">
        <f>Осн.положения!J24</f>
        <v>5.4999999999999997E-3</v>
      </c>
      <c r="K19" s="128">
        <f>Осн.положения!K24</f>
        <v>5.4999999999999997E-3</v>
      </c>
      <c r="L19" s="128">
        <f>Осн.положения!L24</f>
        <v>5.4999999999999997E-3</v>
      </c>
      <c r="M19" s="128">
        <f>Осн.положения!M24</f>
        <v>5.4999999999999997E-3</v>
      </c>
      <c r="N19" s="128">
        <f>Осн.положения!N24</f>
        <v>5.4999999999999997E-3</v>
      </c>
      <c r="O19" s="128">
        <f>Осн.положения!O24</f>
        <v>5.4999999999999997E-3</v>
      </c>
      <c r="P19" s="128">
        <f>Осн.положения!P24</f>
        <v>5.4999999999999997E-3</v>
      </c>
      <c r="Q19" s="128">
        <f>Осн.положения!Q24</f>
        <v>5.4999999999999997E-3</v>
      </c>
      <c r="R19" s="128">
        <f>Осн.положения!R24</f>
        <v>5.4999999999999997E-3</v>
      </c>
      <c r="S19" s="128">
        <f>Осн.положения!S24</f>
        <v>5.4999999999999997E-3</v>
      </c>
      <c r="T19" s="128">
        <f>Осн.положения!T24</f>
        <v>5.4999999999999997E-3</v>
      </c>
      <c r="U19" s="128">
        <f>Осн.положения!U24</f>
        <v>5.4999999999999997E-3</v>
      </c>
      <c r="V19" s="128">
        <f>Осн.положения!V24</f>
        <v>5.4999999999999997E-3</v>
      </c>
      <c r="W19" s="128">
        <f>Осн.положения!W24</f>
        <v>5.4999999999999997E-3</v>
      </c>
      <c r="X19" s="128">
        <f>Осн.положения!X24</f>
        <v>5.4999999999999997E-3</v>
      </c>
      <c r="Y19" s="128">
        <f>Осн.положения!Y24</f>
        <v>5.4999999999999997E-3</v>
      </c>
      <c r="Z19" s="128">
        <f>Осн.положения!Z24</f>
        <v>5.4999999999999997E-3</v>
      </c>
      <c r="AA19" s="128">
        <f>Осн.положения!AA24</f>
        <v>5.4999999999999997E-3</v>
      </c>
      <c r="AB19" s="128">
        <f>Осн.положения!AB24</f>
        <v>5.4999999999999997E-3</v>
      </c>
      <c r="AC19" s="128">
        <f>Осн.положения!AC24</f>
        <v>5.4999999999999997E-3</v>
      </c>
      <c r="AD19" s="128">
        <f>Осн.положения!AD24</f>
        <v>5.4999999999999997E-3</v>
      </c>
      <c r="AE19" s="128">
        <f>Осн.положения!AE24</f>
        <v>5.4999999999999997E-3</v>
      </c>
      <c r="AF19" s="128">
        <f>Осн.положения!AF24</f>
        <v>5.4999999999999997E-3</v>
      </c>
      <c r="AG19" s="137"/>
    </row>
    <row r="20" spans="1:33">
      <c r="C20" s="134" t="s">
        <v>6</v>
      </c>
      <c r="D20" s="135" t="s">
        <v>71</v>
      </c>
      <c r="E20" s="131">
        <f>E18*E19</f>
        <v>5.4999999999999997E-3</v>
      </c>
      <c r="F20" s="131">
        <f t="shared" ref="F20:AF20" si="3">F18*F19</f>
        <v>5.3035714285714283E-3</v>
      </c>
      <c r="G20" s="131">
        <f t="shared" si="3"/>
        <v>5.107142857142857E-3</v>
      </c>
      <c r="H20" s="131">
        <f t="shared" si="3"/>
        <v>4.9107142857142856E-3</v>
      </c>
      <c r="I20" s="131">
        <f t="shared" si="3"/>
        <v>4.7142857142857143E-3</v>
      </c>
      <c r="J20" s="131">
        <f t="shared" si="3"/>
        <v>4.517857142857142E-3</v>
      </c>
      <c r="K20" s="131">
        <f t="shared" si="3"/>
        <v>4.3214285714285715E-3</v>
      </c>
      <c r="L20" s="131">
        <f t="shared" si="3"/>
        <v>4.1250000000000002E-3</v>
      </c>
      <c r="M20" s="131">
        <f t="shared" si="3"/>
        <v>3.9285714285714288E-3</v>
      </c>
      <c r="N20" s="131">
        <f t="shared" si="3"/>
        <v>3.7321428571428571E-3</v>
      </c>
      <c r="O20" s="131">
        <f t="shared" si="3"/>
        <v>3.5357142857142866E-3</v>
      </c>
      <c r="P20" s="131">
        <f t="shared" si="3"/>
        <v>3.3392857142857143E-3</v>
      </c>
      <c r="Q20" s="131">
        <f t="shared" si="3"/>
        <v>3.1428571428571439E-3</v>
      </c>
      <c r="R20" s="131">
        <f t="shared" si="3"/>
        <v>2.9464285714285716E-3</v>
      </c>
      <c r="S20" s="131">
        <f t="shared" si="3"/>
        <v>2.7500000000000011E-3</v>
      </c>
      <c r="T20" s="131">
        <f t="shared" si="3"/>
        <v>2.5535714285714289E-3</v>
      </c>
      <c r="U20" s="131">
        <f t="shared" si="3"/>
        <v>2.357142857142858E-3</v>
      </c>
      <c r="V20" s="131">
        <f t="shared" si="3"/>
        <v>2.1607142857142866E-3</v>
      </c>
      <c r="W20" s="131">
        <f t="shared" si="3"/>
        <v>1.9642857142857153E-3</v>
      </c>
      <c r="X20" s="131">
        <f t="shared" si="3"/>
        <v>1.7678571428571437E-3</v>
      </c>
      <c r="Y20" s="131">
        <f t="shared" si="3"/>
        <v>1.5714285714285726E-3</v>
      </c>
      <c r="Z20" s="131">
        <f t="shared" si="3"/>
        <v>1.3750000000000012E-3</v>
      </c>
      <c r="AA20" s="131">
        <f t="shared" si="3"/>
        <v>1.1785714285714299E-3</v>
      </c>
      <c r="AB20" s="131">
        <f t="shared" si="3"/>
        <v>9.8214285714285851E-4</v>
      </c>
      <c r="AC20" s="131">
        <f t="shared" si="3"/>
        <v>7.8571428571428716E-4</v>
      </c>
      <c r="AD20" s="131">
        <f t="shared" si="3"/>
        <v>5.892857142857158E-4</v>
      </c>
      <c r="AE20" s="131">
        <f t="shared" si="3"/>
        <v>3.928571428571445E-4</v>
      </c>
      <c r="AF20" s="131">
        <f t="shared" si="3"/>
        <v>1.9642857142857317E-4</v>
      </c>
      <c r="AG20" s="138">
        <f>SUM(E20:AF20)</f>
        <v>7.9750000000000015E-2</v>
      </c>
    </row>
    <row r="21" spans="1:33">
      <c r="A21" s="118"/>
      <c r="B21" s="118"/>
      <c r="D21" s="91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37"/>
    </row>
    <row r="22" spans="1:33" ht="19">
      <c r="A22" s="257"/>
      <c r="B22" s="257"/>
      <c r="C22" s="258" t="s">
        <v>30</v>
      </c>
      <c r="D22" s="261" t="s">
        <v>71</v>
      </c>
      <c r="E22" s="252">
        <f>E20</f>
        <v>5.4999999999999997E-3</v>
      </c>
      <c r="F22" s="252">
        <f t="shared" ref="F22:AF22" si="4">F20</f>
        <v>5.3035714285714283E-3</v>
      </c>
      <c r="G22" s="252">
        <f t="shared" si="4"/>
        <v>5.107142857142857E-3</v>
      </c>
      <c r="H22" s="252">
        <f t="shared" si="4"/>
        <v>4.9107142857142856E-3</v>
      </c>
      <c r="I22" s="252">
        <f t="shared" si="4"/>
        <v>4.7142857142857143E-3</v>
      </c>
      <c r="J22" s="252">
        <f t="shared" si="4"/>
        <v>4.517857142857142E-3</v>
      </c>
      <c r="K22" s="252">
        <f t="shared" si="4"/>
        <v>4.3214285714285715E-3</v>
      </c>
      <c r="L22" s="252">
        <f t="shared" si="4"/>
        <v>4.1250000000000002E-3</v>
      </c>
      <c r="M22" s="252">
        <f t="shared" si="4"/>
        <v>3.9285714285714288E-3</v>
      </c>
      <c r="N22" s="252">
        <f t="shared" si="4"/>
        <v>3.7321428571428571E-3</v>
      </c>
      <c r="O22" s="252">
        <f t="shared" si="4"/>
        <v>3.5357142857142866E-3</v>
      </c>
      <c r="P22" s="252">
        <f t="shared" si="4"/>
        <v>3.3392857142857143E-3</v>
      </c>
      <c r="Q22" s="252">
        <f t="shared" si="4"/>
        <v>3.1428571428571439E-3</v>
      </c>
      <c r="R22" s="252">
        <f t="shared" si="4"/>
        <v>2.9464285714285716E-3</v>
      </c>
      <c r="S22" s="252">
        <f t="shared" si="4"/>
        <v>2.7500000000000011E-3</v>
      </c>
      <c r="T22" s="252">
        <f t="shared" si="4"/>
        <v>2.5535714285714289E-3</v>
      </c>
      <c r="U22" s="252">
        <f t="shared" si="4"/>
        <v>2.357142857142858E-3</v>
      </c>
      <c r="V22" s="252">
        <f t="shared" si="4"/>
        <v>2.1607142857142866E-3</v>
      </c>
      <c r="W22" s="252">
        <f t="shared" si="4"/>
        <v>1.9642857142857153E-3</v>
      </c>
      <c r="X22" s="252">
        <f t="shared" si="4"/>
        <v>1.7678571428571437E-3</v>
      </c>
      <c r="Y22" s="252">
        <f t="shared" si="4"/>
        <v>1.5714285714285726E-3</v>
      </c>
      <c r="Z22" s="252">
        <f t="shared" si="4"/>
        <v>1.3750000000000012E-3</v>
      </c>
      <c r="AA22" s="252">
        <f t="shared" si="4"/>
        <v>1.1785714285714299E-3</v>
      </c>
      <c r="AB22" s="252">
        <f t="shared" si="4"/>
        <v>9.8214285714285851E-4</v>
      </c>
      <c r="AC22" s="252">
        <f t="shared" si="4"/>
        <v>7.8571428571428716E-4</v>
      </c>
      <c r="AD22" s="252">
        <f t="shared" si="4"/>
        <v>5.892857142857158E-4</v>
      </c>
      <c r="AE22" s="252">
        <f t="shared" si="4"/>
        <v>3.928571428571445E-4</v>
      </c>
      <c r="AF22" s="252">
        <f t="shared" si="4"/>
        <v>1.9642857142857317E-4</v>
      </c>
      <c r="AG22" s="253">
        <f>SUM(E22:AF22)</f>
        <v>7.9750000000000015E-2</v>
      </c>
    </row>
    <row r="23" spans="1:33">
      <c r="A23" s="118"/>
      <c r="B23" s="118"/>
      <c r="G23" s="103"/>
      <c r="H23" s="103"/>
      <c r="I23" s="103"/>
      <c r="J23" s="103"/>
      <c r="K23" s="103"/>
      <c r="L23" s="103"/>
    </row>
    <row r="24" spans="1:33">
      <c r="A24" s="118"/>
      <c r="B24" s="118"/>
      <c r="G24" s="103"/>
      <c r="H24" s="103"/>
      <c r="I24" s="103"/>
      <c r="J24" s="103"/>
      <c r="K24" s="103"/>
      <c r="L24" s="103"/>
    </row>
    <row r="25" spans="1:33">
      <c r="A25" s="118"/>
      <c r="B25" s="118"/>
      <c r="G25" s="103"/>
      <c r="H25" s="103"/>
      <c r="I25" s="103"/>
      <c r="J25" s="103"/>
      <c r="K25" s="103"/>
      <c r="L25" s="103"/>
    </row>
    <row r="26" spans="1:33">
      <c r="A26" s="118"/>
      <c r="B26" s="118"/>
    </row>
    <row r="70" ht="15.75" customHeight="1"/>
    <row r="75" ht="6" customHeight="1"/>
    <row r="81" ht="4.75" customHeight="1"/>
    <row r="113" spans="9:12">
      <c r="I113" s="130"/>
      <c r="J113" s="130"/>
      <c r="K113" s="130"/>
      <c r="L113" s="130"/>
    </row>
  </sheetData>
  <mergeCells count="1">
    <mergeCell ref="A1:B1"/>
  </mergeCells>
  <phoneticPr fontId="0" type="noConversion"/>
  <conditionalFormatting sqref="A2:XFD1048576 C1:XFD1">
    <cfRule type="cellIs" dxfId="2" priority="4" stopIfTrue="1" operator="lessThan">
      <formula>0</formula>
    </cfRule>
  </conditionalFormatting>
  <conditionalFormatting sqref="E6:AF6">
    <cfRule type="cellIs" dxfId="1" priority="3" stopIfTrue="1" operator="lessThan">
      <formula>0</formula>
    </cfRule>
  </conditionalFormatting>
  <conditionalFormatting sqref="A1">
    <cfRule type="cellIs" dxfId="0" priority="1" stopIfTrue="1" operator="lessThan">
      <formula>0</formula>
    </cfRule>
  </conditionalFormatting>
  <pageMargins left="0.27" right="0.19" top="1" bottom="1" header="0.5" footer="0.5"/>
  <pageSetup paperSize="9" scale="41" fitToHeight="6" orientation="landscape" r:id="rId1"/>
  <headerFooter alignWithMargins="0">
    <oddHeader>&amp;C&amp;A&amp;RРП-199-2 Прил. 7. Станд. модель расчета эффективности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2"/>
  <sheetViews>
    <sheetView tabSelected="1" topLeftCell="A14" zoomScale="117" zoomScaleNormal="100" workbookViewId="0">
      <selection activeCell="F22" sqref="F22"/>
    </sheetView>
  </sheetViews>
  <sheetFormatPr baseColWidth="10" defaultColWidth="11" defaultRowHeight="13"/>
  <cols>
    <col min="1" max="1" width="28" customWidth="1"/>
    <col min="2" max="2" width="12.6640625" customWidth="1"/>
    <col min="3" max="3" width="43.33203125" bestFit="1" customWidth="1"/>
    <col min="4" max="4" width="13.33203125" bestFit="1" customWidth="1"/>
    <col min="5" max="5" width="18.33203125" bestFit="1" customWidth="1"/>
    <col min="6" max="6" width="16.33203125" bestFit="1" customWidth="1"/>
    <col min="7" max="7" width="16.33203125" customWidth="1"/>
    <col min="8" max="8" width="14.5" customWidth="1"/>
    <col min="9" max="9" width="13.33203125" customWidth="1"/>
    <col min="10" max="10" width="14.33203125" customWidth="1"/>
    <col min="11" max="11" width="18.6640625" customWidth="1"/>
  </cols>
  <sheetData>
    <row r="1" spans="1:9" ht="34">
      <c r="A1" s="407" t="s">
        <v>243</v>
      </c>
      <c r="B1" s="369" t="s">
        <v>163</v>
      </c>
      <c r="C1" s="369" t="s">
        <v>162</v>
      </c>
      <c r="D1" s="369" t="s">
        <v>161</v>
      </c>
      <c r="F1">
        <v>60</v>
      </c>
      <c r="H1" s="382" t="s">
        <v>242</v>
      </c>
    </row>
    <row r="2" spans="1:9" ht="14">
      <c r="A2" s="387" t="s">
        <v>229</v>
      </c>
      <c r="B2" s="284">
        <f>$E$30+$E$29+$D$17+E2*$C$35</f>
        <v>407.47320000000002</v>
      </c>
      <c r="C2" s="284">
        <f>H2*I2</f>
        <v>625</v>
      </c>
      <c r="D2" s="286">
        <f>(C2-B2)/C2</f>
        <v>0.34804287999999994</v>
      </c>
      <c r="E2">
        <v>5</v>
      </c>
      <c r="G2" s="284">
        <v>600</v>
      </c>
      <c r="H2">
        <v>250</v>
      </c>
      <c r="I2">
        <v>2.5</v>
      </c>
    </row>
    <row r="3" spans="1:9" ht="14">
      <c r="A3" s="387" t="s">
        <v>228</v>
      </c>
      <c r="B3" s="284">
        <f t="shared" ref="B3:B6" si="0">$E$30+$E$29+$D$17+E3*$C$35</f>
        <v>427.22320000000002</v>
      </c>
      <c r="C3" s="284">
        <f t="shared" ref="C3:C11" si="1">H3*I3</f>
        <v>660</v>
      </c>
      <c r="D3" s="286">
        <f t="shared" ref="D3:D11" si="2">(C3-B3)/C3</f>
        <v>0.35269212121212118</v>
      </c>
      <c r="E3">
        <v>10</v>
      </c>
      <c r="G3" s="284">
        <v>640</v>
      </c>
      <c r="H3">
        <v>264</v>
      </c>
      <c r="I3">
        <v>2.5</v>
      </c>
    </row>
    <row r="4" spans="1:9" ht="12.75" customHeight="1">
      <c r="A4" s="387" t="s">
        <v>230</v>
      </c>
      <c r="B4" s="284">
        <f t="shared" si="0"/>
        <v>486.47320000000002</v>
      </c>
      <c r="C4" s="284">
        <f t="shared" si="1"/>
        <v>760</v>
      </c>
      <c r="D4" s="286">
        <f t="shared" si="2"/>
        <v>0.35990368421052626</v>
      </c>
      <c r="E4">
        <v>25</v>
      </c>
      <c r="G4" s="284">
        <v>730</v>
      </c>
      <c r="H4">
        <v>304</v>
      </c>
      <c r="I4">
        <v>2.5</v>
      </c>
    </row>
    <row r="5" spans="1:9" ht="12.75" customHeight="1">
      <c r="A5" s="387" t="s">
        <v>231</v>
      </c>
      <c r="B5" s="284">
        <f t="shared" si="0"/>
        <v>545.72320000000002</v>
      </c>
      <c r="C5" s="284">
        <f t="shared" si="1"/>
        <v>860</v>
      </c>
      <c r="D5" s="286">
        <f t="shared" si="2"/>
        <v>0.36543813953488369</v>
      </c>
      <c r="E5">
        <v>40</v>
      </c>
      <c r="G5" s="284">
        <v>810</v>
      </c>
      <c r="H5">
        <v>344</v>
      </c>
      <c r="I5">
        <v>2.5</v>
      </c>
    </row>
    <row r="6" spans="1:9" ht="12.75" customHeight="1">
      <c r="A6" s="387" t="s">
        <v>232</v>
      </c>
      <c r="B6" s="284">
        <f t="shared" si="0"/>
        <v>585.22320000000002</v>
      </c>
      <c r="C6" s="284">
        <f t="shared" si="1"/>
        <v>925</v>
      </c>
      <c r="D6" s="286">
        <f t="shared" si="2"/>
        <v>0.36732627027027026</v>
      </c>
      <c r="E6">
        <v>50</v>
      </c>
      <c r="G6" s="284">
        <v>860</v>
      </c>
      <c r="H6">
        <v>370</v>
      </c>
      <c r="I6">
        <v>2.5</v>
      </c>
    </row>
    <row r="7" spans="1:9" ht="12.75" customHeight="1">
      <c r="A7" s="387" t="s">
        <v>234</v>
      </c>
      <c r="B7" s="284">
        <f>$E$31+$E$29+$D$17+E7*$C$35</f>
        <v>538.89319999999998</v>
      </c>
      <c r="C7" s="284">
        <f t="shared" si="1"/>
        <v>987.75</v>
      </c>
      <c r="D7" s="286">
        <f t="shared" si="2"/>
        <v>0.45442348772462671</v>
      </c>
      <c r="E7">
        <v>5</v>
      </c>
      <c r="G7" s="284">
        <v>810</v>
      </c>
      <c r="H7">
        <v>395.1</v>
      </c>
      <c r="I7">
        <v>2.5</v>
      </c>
    </row>
    <row r="8" spans="1:9" ht="12.75" customHeight="1">
      <c r="A8" s="387" t="s">
        <v>233</v>
      </c>
      <c r="B8" s="284">
        <f t="shared" ref="B8:B11" si="3">$E$31+$E$29+$D$17+E8*$C$35</f>
        <v>558.64319999999998</v>
      </c>
      <c r="C8" s="284">
        <f t="shared" si="1"/>
        <v>1021.0250000000001</v>
      </c>
      <c r="D8" s="286">
        <f t="shared" si="2"/>
        <v>0.45286040988222626</v>
      </c>
      <c r="E8">
        <v>10</v>
      </c>
      <c r="G8" s="284">
        <v>840</v>
      </c>
      <c r="H8">
        <v>408.41</v>
      </c>
      <c r="I8">
        <v>2.5</v>
      </c>
    </row>
    <row r="9" spans="1:9" ht="14">
      <c r="A9" s="387" t="s">
        <v>235</v>
      </c>
      <c r="B9" s="284">
        <f t="shared" si="3"/>
        <v>617.89319999999998</v>
      </c>
      <c r="C9" s="284">
        <f t="shared" si="1"/>
        <v>1120.8499999999999</v>
      </c>
      <c r="D9" s="286">
        <f t="shared" si="2"/>
        <v>0.44872801891421688</v>
      </c>
      <c r="E9">
        <v>25</v>
      </c>
      <c r="G9" s="284">
        <v>910</v>
      </c>
      <c r="H9">
        <v>448.34</v>
      </c>
      <c r="I9">
        <v>2.5</v>
      </c>
    </row>
    <row r="10" spans="1:9" ht="14">
      <c r="A10" s="387" t="s">
        <v>236</v>
      </c>
      <c r="B10" s="284">
        <f t="shared" si="3"/>
        <v>677.14319999999998</v>
      </c>
      <c r="C10" s="284">
        <f t="shared" si="1"/>
        <v>1220</v>
      </c>
      <c r="D10" s="286">
        <f t="shared" si="2"/>
        <v>0.44496459016393447</v>
      </c>
      <c r="E10">
        <v>40</v>
      </c>
      <c r="G10" s="284">
        <v>1010</v>
      </c>
      <c r="H10">
        <v>488</v>
      </c>
      <c r="I10">
        <v>2.5</v>
      </c>
    </row>
    <row r="11" spans="1:9" ht="14">
      <c r="A11" s="387" t="s">
        <v>237</v>
      </c>
      <c r="B11" s="284">
        <f t="shared" si="3"/>
        <v>716.64319999999998</v>
      </c>
      <c r="C11" s="284">
        <f t="shared" si="1"/>
        <v>1285</v>
      </c>
      <c r="D11" s="286">
        <f t="shared" si="2"/>
        <v>0.44230101167315178</v>
      </c>
      <c r="E11">
        <v>50</v>
      </c>
      <c r="G11" s="284">
        <v>1060</v>
      </c>
      <c r="H11">
        <v>514</v>
      </c>
      <c r="I11">
        <v>2.5</v>
      </c>
    </row>
    <row r="12" spans="1:9">
      <c r="A12" s="356"/>
      <c r="B12" s="284"/>
      <c r="C12" s="284"/>
      <c r="D12" s="286"/>
    </row>
    <row r="13" spans="1:9">
      <c r="A13" s="418" t="s">
        <v>226</v>
      </c>
      <c r="B13" s="418"/>
      <c r="C13" s="418"/>
      <c r="D13" s="383"/>
    </row>
    <row r="14" spans="1:9">
      <c r="A14" s="394" t="s">
        <v>180</v>
      </c>
      <c r="B14" s="395">
        <f>B57</f>
        <v>82</v>
      </c>
      <c r="C14" s="284">
        <f>B14*C33</f>
        <v>24600</v>
      </c>
      <c r="D14" s="383"/>
    </row>
    <row r="15" spans="1:9">
      <c r="A15" s="391" t="s">
        <v>181</v>
      </c>
      <c r="B15" s="395">
        <f>C57</f>
        <v>360</v>
      </c>
      <c r="C15" s="284">
        <f>B15*C34</f>
        <v>100800</v>
      </c>
      <c r="D15" s="383"/>
    </row>
    <row r="16" spans="1:9">
      <c r="A16" s="394" t="s">
        <v>195</v>
      </c>
      <c r="B16" s="395">
        <f>D57</f>
        <v>12872</v>
      </c>
      <c r="C16" s="284">
        <f>B16*C35</f>
        <v>50844.4</v>
      </c>
      <c r="D16" s="414" t="s">
        <v>240</v>
      </c>
      <c r="E16" s="415"/>
      <c r="F16" s="415"/>
      <c r="G16" s="415"/>
    </row>
    <row r="17" spans="1:9">
      <c r="A17" s="382"/>
      <c r="C17" s="388">
        <f>SUM(C14:C16)</f>
        <v>176244.4</v>
      </c>
      <c r="D17" s="386">
        <f>C17/2000</f>
        <v>88.122199999999992</v>
      </c>
      <c r="F17" s="415" t="s">
        <v>239</v>
      </c>
      <c r="G17" s="415"/>
      <c r="H17" s="415"/>
      <c r="I17" s="415"/>
    </row>
    <row r="18" spans="1:9">
      <c r="A18" s="416" t="s">
        <v>225</v>
      </c>
      <c r="B18" s="417"/>
      <c r="C18" s="417"/>
      <c r="D18" s="417"/>
    </row>
    <row r="19" spans="1:9" ht="14">
      <c r="A19" s="356" t="s">
        <v>224</v>
      </c>
      <c r="B19" s="384" t="s">
        <v>223</v>
      </c>
    </row>
    <row r="20" spans="1:9" ht="28">
      <c r="A20" s="387" t="s">
        <v>214</v>
      </c>
      <c r="B20" s="384">
        <f>E57</f>
        <v>7</v>
      </c>
      <c r="C20" s="398">
        <v>900</v>
      </c>
      <c r="D20" s="399">
        <f>C20*B20</f>
        <v>6300</v>
      </c>
    </row>
    <row r="21" spans="1:9" ht="28">
      <c r="A21" s="356" t="s">
        <v>215</v>
      </c>
      <c r="B21" s="384">
        <f>F57</f>
        <v>10</v>
      </c>
      <c r="C21" s="398">
        <v>213</v>
      </c>
      <c r="D21" s="399">
        <f t="shared" ref="D21:D25" si="4">C21*B21</f>
        <v>2130</v>
      </c>
    </row>
    <row r="22" spans="1:9" ht="28">
      <c r="A22" s="356" t="s">
        <v>216</v>
      </c>
      <c r="B22" s="384">
        <f>G57</f>
        <v>2</v>
      </c>
      <c r="C22" s="398">
        <v>900</v>
      </c>
      <c r="D22" s="399">
        <f t="shared" si="4"/>
        <v>1800</v>
      </c>
      <c r="F22" s="386">
        <f>E30+E29+D17</f>
        <v>387.72320000000002</v>
      </c>
    </row>
    <row r="23" spans="1:9" ht="28">
      <c r="A23" s="356" t="s">
        <v>217</v>
      </c>
      <c r="B23" s="384">
        <f>H57</f>
        <v>2</v>
      </c>
      <c r="C23" s="398">
        <v>213</v>
      </c>
      <c r="D23" s="399">
        <f t="shared" si="4"/>
        <v>426</v>
      </c>
    </row>
    <row r="24" spans="1:9" ht="28">
      <c r="A24" s="356" t="s">
        <v>218</v>
      </c>
      <c r="B24" s="384">
        <f>I57</f>
        <v>1</v>
      </c>
      <c r="C24" s="398">
        <v>900</v>
      </c>
      <c r="D24" s="399">
        <f t="shared" si="4"/>
        <v>900</v>
      </c>
    </row>
    <row r="25" spans="1:9" ht="28">
      <c r="A25" s="356" t="s">
        <v>219</v>
      </c>
      <c r="B25" s="384">
        <f>J57</f>
        <v>1</v>
      </c>
      <c r="C25" s="398">
        <v>900</v>
      </c>
      <c r="D25" s="399">
        <f t="shared" si="4"/>
        <v>900</v>
      </c>
    </row>
    <row r="26" spans="1:9">
      <c r="A26" s="392"/>
      <c r="B26" s="392"/>
      <c r="C26" s="392"/>
      <c r="D26" s="388">
        <f>SUM(D20:D25)</f>
        <v>12456</v>
      </c>
    </row>
    <row r="27" spans="1:9">
      <c r="D27" s="405">
        <f>C17+D28</f>
        <v>344126.4</v>
      </c>
    </row>
    <row r="28" spans="1:9">
      <c r="D28" s="386">
        <f>C29*65</f>
        <v>167882</v>
      </c>
      <c r="E28" s="414" t="s">
        <v>241</v>
      </c>
      <c r="F28" s="415"/>
      <c r="G28" s="415"/>
      <c r="H28" s="415"/>
    </row>
    <row r="29" spans="1:9" ht="28">
      <c r="A29" s="387" t="s">
        <v>220</v>
      </c>
      <c r="B29" s="384">
        <v>1</v>
      </c>
      <c r="C29" s="393">
        <v>2582.8000000000002</v>
      </c>
      <c r="D29">
        <v>2000</v>
      </c>
      <c r="E29" s="386">
        <f>C29*Осн.положения!D15/D29</f>
        <v>83.941000000000003</v>
      </c>
      <c r="F29" s="415" t="s">
        <v>239</v>
      </c>
      <c r="G29" s="415"/>
      <c r="H29" s="415"/>
      <c r="I29" s="415"/>
    </row>
    <row r="30" spans="1:9" ht="28">
      <c r="A30" s="387" t="s">
        <v>222</v>
      </c>
      <c r="E30" s="392">
        <v>215.66</v>
      </c>
    </row>
    <row r="31" spans="1:9" ht="28">
      <c r="A31" s="356" t="s">
        <v>221</v>
      </c>
      <c r="C31" s="392"/>
      <c r="D31" s="386"/>
      <c r="E31" s="392">
        <v>347.08</v>
      </c>
    </row>
    <row r="32" spans="1:9">
      <c r="A32" s="386"/>
    </row>
    <row r="33" spans="1:11" ht="14">
      <c r="A33" s="356" t="s">
        <v>182</v>
      </c>
      <c r="B33" s="384" t="s">
        <v>183</v>
      </c>
      <c r="C33" s="385">
        <v>300</v>
      </c>
    </row>
    <row r="34" spans="1:11" ht="14">
      <c r="A34" s="356" t="s">
        <v>184</v>
      </c>
      <c r="B34" s="384" t="s">
        <v>185</v>
      </c>
      <c r="C34" s="385">
        <v>280</v>
      </c>
    </row>
    <row r="35" spans="1:11" ht="14">
      <c r="A35" s="356" t="s">
        <v>186</v>
      </c>
      <c r="B35" s="384" t="s">
        <v>185</v>
      </c>
      <c r="C35" s="385">
        <v>3.95</v>
      </c>
    </row>
    <row r="36" spans="1:11" ht="14">
      <c r="A36" s="356" t="s">
        <v>187</v>
      </c>
      <c r="B36" s="384" t="s">
        <v>185</v>
      </c>
      <c r="C36" s="385">
        <v>6.29</v>
      </c>
    </row>
    <row r="37" spans="1:11" ht="14">
      <c r="A37" s="356" t="s">
        <v>188</v>
      </c>
      <c r="B37" s="384" t="s">
        <v>185</v>
      </c>
      <c r="C37" s="385">
        <v>7.93</v>
      </c>
    </row>
    <row r="38" spans="1:11" ht="14">
      <c r="A38" s="356" t="s">
        <v>189</v>
      </c>
      <c r="B38" s="384" t="s">
        <v>185</v>
      </c>
      <c r="C38" s="385">
        <v>16.649999999999999</v>
      </c>
    </row>
    <row r="39" spans="1:11" ht="14">
      <c r="A39" s="356" t="s">
        <v>190</v>
      </c>
      <c r="B39" s="384" t="s">
        <v>185</v>
      </c>
      <c r="C39" s="385">
        <v>23.53</v>
      </c>
    </row>
    <row r="40" spans="1:11" ht="14">
      <c r="A40" s="356" t="s">
        <v>191</v>
      </c>
      <c r="B40" s="384" t="s">
        <v>185</v>
      </c>
      <c r="C40" s="385">
        <v>45.59</v>
      </c>
    </row>
    <row r="42" spans="1:11" ht="46" customHeight="1">
      <c r="A42" s="356" t="s">
        <v>196</v>
      </c>
      <c r="B42" s="356" t="s">
        <v>197</v>
      </c>
      <c r="C42" s="356" t="s">
        <v>198</v>
      </c>
      <c r="D42" s="356" t="s">
        <v>199</v>
      </c>
      <c r="E42" s="387" t="s">
        <v>214</v>
      </c>
      <c r="F42" s="356" t="s">
        <v>215</v>
      </c>
      <c r="G42" s="356" t="s">
        <v>216</v>
      </c>
      <c r="H42" s="356" t="s">
        <v>217</v>
      </c>
      <c r="I42" s="356" t="s">
        <v>218</v>
      </c>
      <c r="J42" s="356" t="s">
        <v>219</v>
      </c>
      <c r="K42" s="356" t="s">
        <v>220</v>
      </c>
    </row>
    <row r="43" spans="1:11" ht="14">
      <c r="A43" s="356" t="s">
        <v>200</v>
      </c>
      <c r="B43" s="389">
        <v>1</v>
      </c>
      <c r="C43" s="356">
        <v>2</v>
      </c>
      <c r="D43" s="384">
        <v>32</v>
      </c>
      <c r="E43" s="391"/>
      <c r="F43" s="391"/>
      <c r="G43" s="391"/>
      <c r="H43" s="391"/>
      <c r="I43" s="391"/>
      <c r="J43" s="391"/>
      <c r="K43" s="391"/>
    </row>
    <row r="44" spans="1:11" ht="14">
      <c r="A44" s="356" t="s">
        <v>201</v>
      </c>
      <c r="B44" s="389">
        <v>1</v>
      </c>
      <c r="C44" s="356">
        <v>2</v>
      </c>
      <c r="D44" s="384">
        <v>32</v>
      </c>
      <c r="E44" s="391"/>
      <c r="F44" s="391"/>
      <c r="G44" s="391"/>
      <c r="H44" s="391"/>
      <c r="I44" s="391"/>
      <c r="J44" s="391"/>
      <c r="K44" s="391"/>
    </row>
    <row r="45" spans="1:11" ht="14">
      <c r="A45" s="356" t="s">
        <v>202</v>
      </c>
      <c r="B45" s="389">
        <v>4</v>
      </c>
      <c r="C45" s="356">
        <v>4</v>
      </c>
      <c r="D45" s="384">
        <v>60</v>
      </c>
      <c r="E45" s="391">
        <v>1</v>
      </c>
      <c r="F45" s="356">
        <v>1</v>
      </c>
      <c r="G45" s="391"/>
      <c r="H45" s="391"/>
      <c r="I45" s="391"/>
      <c r="J45" s="391"/>
      <c r="K45" s="391"/>
    </row>
    <row r="46" spans="1:11" ht="14">
      <c r="A46" s="356" t="s">
        <v>203</v>
      </c>
      <c r="B46" s="389">
        <v>4</v>
      </c>
      <c r="C46" s="356">
        <v>4</v>
      </c>
      <c r="D46" s="384">
        <v>60</v>
      </c>
      <c r="E46" s="391">
        <v>1</v>
      </c>
      <c r="F46" s="391">
        <v>1</v>
      </c>
      <c r="G46" s="391"/>
      <c r="H46" s="391"/>
      <c r="I46" s="391"/>
      <c r="J46" s="391"/>
      <c r="K46" s="391"/>
    </row>
    <row r="47" spans="1:11" ht="14">
      <c r="A47" s="356" t="s">
        <v>204</v>
      </c>
      <c r="B47" s="389">
        <v>16</v>
      </c>
      <c r="C47" s="356">
        <v>128</v>
      </c>
      <c r="D47" s="384">
        <v>5700</v>
      </c>
      <c r="E47" s="387">
        <v>1</v>
      </c>
      <c r="F47" s="391">
        <v>1</v>
      </c>
      <c r="G47" s="391"/>
      <c r="H47" s="391"/>
      <c r="I47" s="391"/>
      <c r="J47" s="391"/>
      <c r="K47" s="391"/>
    </row>
    <row r="48" spans="1:11" ht="14">
      <c r="A48" s="356" t="s">
        <v>205</v>
      </c>
      <c r="B48" s="389">
        <v>16</v>
      </c>
      <c r="C48" s="356">
        <v>128</v>
      </c>
      <c r="D48" s="384">
        <v>5700</v>
      </c>
      <c r="E48" s="387">
        <v>1</v>
      </c>
      <c r="F48" s="391">
        <v>1</v>
      </c>
      <c r="G48" s="391"/>
      <c r="H48" s="391"/>
      <c r="I48" s="391"/>
      <c r="J48" s="391"/>
      <c r="K48" s="391"/>
    </row>
    <row r="49" spans="1:11" ht="14">
      <c r="A49" s="356" t="s">
        <v>206</v>
      </c>
      <c r="B49" s="389">
        <v>4</v>
      </c>
      <c r="C49" s="356">
        <v>8</v>
      </c>
      <c r="D49" s="384">
        <v>80</v>
      </c>
      <c r="E49" s="387"/>
      <c r="F49" s="391">
        <v>1</v>
      </c>
      <c r="G49" s="391">
        <v>1</v>
      </c>
      <c r="H49" s="391"/>
      <c r="I49" s="391"/>
      <c r="J49" s="391"/>
      <c r="K49" s="391"/>
    </row>
    <row r="50" spans="1:11" ht="14">
      <c r="A50" s="356" t="s">
        <v>207</v>
      </c>
      <c r="B50" s="389">
        <v>4</v>
      </c>
      <c r="C50" s="356">
        <v>8</v>
      </c>
      <c r="D50" s="384">
        <v>80</v>
      </c>
      <c r="E50" s="391"/>
      <c r="F50" s="391">
        <v>1</v>
      </c>
      <c r="G50" s="391">
        <v>1</v>
      </c>
      <c r="H50" s="391"/>
      <c r="I50" s="391"/>
      <c r="J50" s="391"/>
      <c r="K50" s="391"/>
    </row>
    <row r="51" spans="1:11" ht="14">
      <c r="A51" s="356" t="s">
        <v>208</v>
      </c>
      <c r="B51" s="389">
        <v>4</v>
      </c>
      <c r="C51" s="356">
        <v>8</v>
      </c>
      <c r="D51" s="384">
        <v>64</v>
      </c>
      <c r="E51" s="391"/>
      <c r="F51" s="391"/>
      <c r="G51" s="391"/>
      <c r="H51" s="391">
        <v>1</v>
      </c>
      <c r="I51" s="391"/>
      <c r="J51" s="391"/>
      <c r="K51" s="391"/>
    </row>
    <row r="52" spans="1:11" ht="14">
      <c r="A52" s="356" t="s">
        <v>209</v>
      </c>
      <c r="B52" s="389">
        <v>4</v>
      </c>
      <c r="C52" s="356">
        <v>8</v>
      </c>
      <c r="D52" s="384">
        <v>64</v>
      </c>
      <c r="E52" s="391"/>
      <c r="F52" s="391"/>
      <c r="G52" s="391"/>
      <c r="H52" s="391">
        <v>1</v>
      </c>
      <c r="I52" s="391"/>
      <c r="J52" s="391"/>
      <c r="K52" s="391"/>
    </row>
    <row r="53" spans="1:11" ht="14">
      <c r="A53" s="356" t="s">
        <v>210</v>
      </c>
      <c r="B53" s="389">
        <v>4</v>
      </c>
      <c r="C53" s="356">
        <v>24</v>
      </c>
      <c r="D53" s="384">
        <v>180</v>
      </c>
      <c r="E53" s="391"/>
      <c r="F53" s="391">
        <v>1</v>
      </c>
      <c r="G53" s="391"/>
      <c r="H53" s="391"/>
      <c r="I53" s="391">
        <v>1</v>
      </c>
      <c r="J53" s="391">
        <v>1</v>
      </c>
      <c r="K53" s="391"/>
    </row>
    <row r="54" spans="1:11" ht="14">
      <c r="A54" s="356" t="s">
        <v>211</v>
      </c>
      <c r="B54" s="389">
        <v>4</v>
      </c>
      <c r="C54" s="356">
        <v>4</v>
      </c>
      <c r="D54" s="384">
        <v>60</v>
      </c>
      <c r="E54" s="391">
        <v>1</v>
      </c>
      <c r="F54" s="391">
        <v>1</v>
      </c>
      <c r="G54" s="391"/>
      <c r="H54" s="391"/>
      <c r="I54" s="391"/>
      <c r="J54" s="391"/>
      <c r="K54" s="391"/>
    </row>
    <row r="55" spans="1:11" ht="14">
      <c r="A55" s="356" t="s">
        <v>212</v>
      </c>
      <c r="B55" s="389">
        <v>8</v>
      </c>
      <c r="C55" s="356">
        <v>16</v>
      </c>
      <c r="D55" s="384">
        <v>380</v>
      </c>
      <c r="E55" s="391">
        <v>1</v>
      </c>
      <c r="F55" s="391">
        <v>1</v>
      </c>
      <c r="G55" s="391"/>
      <c r="H55" s="391"/>
      <c r="I55" s="391"/>
      <c r="J55" s="391"/>
      <c r="K55" s="391">
        <v>1</v>
      </c>
    </row>
    <row r="56" spans="1:11" ht="14">
      <c r="A56" s="356" t="s">
        <v>213</v>
      </c>
      <c r="B56" s="389">
        <v>8</v>
      </c>
      <c r="C56" s="356">
        <v>16</v>
      </c>
      <c r="D56" s="384">
        <v>380</v>
      </c>
      <c r="E56" s="391">
        <v>1</v>
      </c>
      <c r="F56" s="391">
        <v>1</v>
      </c>
      <c r="G56" s="391"/>
      <c r="H56" s="391"/>
      <c r="I56" s="391"/>
      <c r="J56" s="391"/>
      <c r="K56" s="391">
        <v>1</v>
      </c>
    </row>
    <row r="57" spans="1:11">
      <c r="A57" s="390"/>
      <c r="B57" s="390">
        <f>SUM(B43:B56)</f>
        <v>82</v>
      </c>
      <c r="C57" s="390">
        <f t="shared" ref="C57:D57" si="5">SUM(C43:C56)</f>
        <v>360</v>
      </c>
      <c r="D57" s="390">
        <f t="shared" si="5"/>
        <v>12872</v>
      </c>
      <c r="E57" s="390">
        <f>SUM(E43:E56)</f>
        <v>7</v>
      </c>
      <c r="F57" s="390">
        <f t="shared" ref="F57:K57" si="6">SUM(F43:F56)</f>
        <v>10</v>
      </c>
      <c r="G57" s="390">
        <f t="shared" si="6"/>
        <v>2</v>
      </c>
      <c r="H57" s="390">
        <f t="shared" si="6"/>
        <v>2</v>
      </c>
      <c r="I57" s="390">
        <f t="shared" si="6"/>
        <v>1</v>
      </c>
      <c r="J57" s="390">
        <f t="shared" si="6"/>
        <v>1</v>
      </c>
      <c r="K57" s="390">
        <f t="shared" si="6"/>
        <v>2</v>
      </c>
    </row>
    <row r="62" spans="1:11" ht="15" customHeight="1"/>
    <row r="64" spans="1:11" ht="15" customHeight="1"/>
    <row r="66" ht="15" customHeight="1"/>
    <row r="69" ht="15" customHeight="1"/>
    <row r="72" ht="15" customHeight="1"/>
    <row r="74" ht="15" customHeight="1"/>
    <row r="78" ht="15" customHeight="1"/>
    <row r="79" ht="14" customHeight="1"/>
    <row r="80" ht="15" customHeight="1"/>
    <row r="82" ht="15" customHeight="1"/>
    <row r="84" ht="15" customHeight="1"/>
    <row r="87" ht="15" customHeight="1"/>
    <row r="89" ht="15" customHeight="1"/>
    <row r="92" ht="15" customHeight="1"/>
  </sheetData>
  <mergeCells count="6">
    <mergeCell ref="E28:H28"/>
    <mergeCell ref="F29:I29"/>
    <mergeCell ref="A18:D18"/>
    <mergeCell ref="A13:C13"/>
    <mergeCell ref="D16:G16"/>
    <mergeCell ref="F17:I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Основные показатели</vt:lpstr>
      <vt:lpstr>Таблицы для БП</vt:lpstr>
      <vt:lpstr>Осн.положения</vt:lpstr>
      <vt:lpstr>Доходы</vt:lpstr>
      <vt:lpstr>OPEX</vt:lpstr>
      <vt:lpstr>CAPEX</vt:lpstr>
      <vt:lpstr>Ден.поток</vt:lpstr>
      <vt:lpstr>Амортизация</vt:lpstr>
      <vt:lpstr>Налоги</vt:lpstr>
      <vt:lpstr>Драфт_DF Office 2.0</vt:lpstr>
      <vt:lpstr>Осн.положения!Заголовки_для_печати</vt:lpstr>
    </vt:vector>
  </TitlesOfParts>
  <Company>McKinsey &amp;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Kletsko</dc:creator>
  <cp:lastModifiedBy>Microsoft Office User</cp:lastModifiedBy>
  <cp:lastPrinted>2006-11-30T14:09:55Z</cp:lastPrinted>
  <dcterms:created xsi:type="dcterms:W3CDTF">2003-03-11T14:40:05Z</dcterms:created>
  <dcterms:modified xsi:type="dcterms:W3CDTF">2022-10-19T14:16:44Z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